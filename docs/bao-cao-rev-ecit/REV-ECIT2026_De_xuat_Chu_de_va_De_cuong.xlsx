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Tong quan" sheetId="1" state="visible" r:id="rId3"/>
    <sheet name="2-Danh muc chu de" sheetId="2" state="visible" r:id="rId4"/>
    <sheet name="3-De cuong chi tiet" sheetId="3" state="visible" r:id="rId5"/>
    <sheet name="4-Cham diem" sheetId="4" state="visible" r:id="rId6"/>
    <sheet name="5-Phan tich CD1" sheetId="5" state="visible" r:id="rId7"/>
    <sheet name="6-Kho bang chung" sheetId="6" state="visible" r:id="rId8"/>
    <sheet name="7-Lich den 15-10" sheetId="7" state="visible" r:id="rId9"/>
  </sheets>
  <definedNames>
    <definedName function="false" hidden="true" localSheetId="1" name="_xlnm._FilterDatabase" vbProcedure="false">'2-Danh muc chu de'!$A$1:$N$11</definedName>
    <definedName function="false" hidden="true" localSheetId="2" name="_xlnm._FilterDatabase" vbProcedure="false">'3-De cuong chi tiet'!$A$1:$G$53</definedName>
    <definedName function="false" hidden="true" localSheetId="5" name="_xlnm._FilterDatabase" vbProcedure="false">'6-Kho bang chung'!$A$1:$G$29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<sst xmlns="http://schemas.openxmlformats.org/spreadsheetml/2006/main" count="847" uniqueCount="637">
  <si>
    <t xml:space="preserve">Đề xuất chủ đề và đề cương bài báo REV-ECIT 2026 — từ sản phẩm EIDE v3</t>
  </si>
  <si>
    <t xml:space="preserve">Nguồn: thư mục EIDE_v3 (README.md, docs/md, docs/review-v3/test, docs/rtos-tu-viet, docs/robot-tu-can-bang, docs/robot-sinhvien, docs/fpga, docs/riscv-tn20k, bản thảo v6 docs/bao-cao-rev-ecit) và trang rev-ecit.vn. Lập ngày 05/10/2026.</t>
  </si>
  <si>
    <t xml:space="preserve">A · Yêu cầu của hội nghị (đọc từ rev-ecit.vn)</t>
  </si>
  <si>
    <t xml:space="preserve">Mục</t>
  </si>
  <si>
    <t xml:space="preserve">Nội dung</t>
  </si>
  <si>
    <t xml:space="preserve">Hệ quả cho việc chọn chủ đề</t>
  </si>
  <si>
    <t xml:space="preserve">Tên hội nghị</t>
  </si>
  <si>
    <t xml:space="preserve">Hội nghị Quốc gia lần thứ 29 về Điện tử, Truyền thông và CNTT — REV-ECIT 2026</t>
  </si>
  <si>
    <t xml:space="preserve">Hội nghị quốc gia, phản biện độc lập, kỷ yếu có ISBN (NXB Khoa học kỹ thuật).</t>
  </si>
  <si>
    <t xml:space="preserve">Chủ đề năm nay</t>
  </si>
  <si>
    <t xml:space="preserve">“Làm chủ công nghệ chiến lược – Kiến tạo tương lai số Việt Nam”, bám Quyết định 21/2026/QĐ-TTg (AI và bán dẫn là công nghệ chiến lược)</t>
  </si>
  <si>
    <t xml:space="preserve">Chủ đề nào nằm ở giao điểm AI × nhúng × chip (FPGA/RISC-V) sẽ ‘khớp đề’ nhất. Nên nhắc QĐ 21/2026 ở phần Giới thiệu.</t>
  </si>
  <si>
    <t xml:space="preserve">Mốc thời gian</t>
  </si>
  <si>
    <t xml:space="preserve">Nộp bài: 15/10/2026 · Thông báo: 20/11/2026 · Camera-ready: 26/11/2026 · Hội nghị: 19/12/2026 (Hà Nội)</t>
  </si>
  <si>
    <t xml:space="preserve">Còn 10 ngày tính từ 05/10. Chỉ nên chọn chủ đề mà DỮ LIỆU ĐÃ ĐO XONG; không chọn chủ đề cần đo thêm trên bo.</t>
  </si>
  <si>
    <t xml:space="preserve">Ngôn ngữ, định dạng</t>
  </si>
  <si>
    <t xml:space="preserve">Hoàn toàn tiếng Việt; MS-Word hoặc LaTeX theo mẫu IEEE, khổ A4; không quá 6–7 trang; nộp qua EasyChair (revecit2026); bài sai định dạng không được gửi phản biện</t>
  </si>
  <si>
    <t xml:space="preserve">Mỗi đề cương dưới đây đã chia trang theo giới hạn 6–7 trang.</t>
  </si>
  <si>
    <t xml:space="preserve">Trùng lặp</t>
  </si>
  <si>
    <t xml:space="preserve">Không quá 30 % trùng lặp</t>
  </si>
  <si>
    <t xml:space="preserve">Bài thứ hai KHÔNG được chép lại phần kiến trúc (Mục III–IV) của bản thảo v6 — phải viết lại ngắn (≤ ½ trang) và trích dẫn bài 1.</t>
  </si>
  <si>
    <t xml:space="preserve">Tiểu ban (track) liên quan</t>
  </si>
  <si>
    <t xml:space="preserve">(4) Điện tử &amp; Bán dẫn: SoC, hệ thống nhúng, FPGA · (5) An toàn thông tin: bảo mật hệ nhúng/IoT, bảo mật phần mềm · (6) Robot &amp; Tự động hoá · (7) AI &amp; ứng dụng liên ngành: LLM, đa tác tử</t>
  </si>
  <si>
    <t xml:space="preserve">Cùng một sản phẩm có thể nộp các góc khác nhau vào các tiểu ban khác nhau (xem cột ‘Tiểu ban’ ở sheet 2).</t>
  </si>
  <si>
    <t xml:space="preserve">Cơ hội mở rộng</t>
  </si>
  <si>
    <t xml:space="preserve">Bài xuất sắc được mời mở rộng đăng REV-JEC hoặc JST</t>
  </si>
  <si>
    <t xml:space="preserve">Chủ đề có dữ liệu định lượng đủ dày (T1, T2, T5) dễ mở rộng thành bài tạp chí.</t>
  </si>
  <si>
    <t xml:space="preserve">Trang ‘Đăng ký bài phát biểu’</t>
  </si>
  <si>
    <t xml:space="preserve">Thực chất là trang quy cách bài báo + poster (có mẫu PowerPoint poster); không nêu yêu cầu riêng cho ‘bài phát biểu’ (thời lượng, keynote)</t>
  </si>
  <si>
    <t xml:space="preserve">Nên chuẩn bị song song: bài 6–7 trang + poster/slide trình bày. Nếu anh muốn một ‘bài phát biểu’ dạng invited talk thì cần hỏi Ban tổ chức qua rev@rev.org.vn.</t>
  </si>
  <si>
    <t xml:space="preserve">B · Bối cảnh đã có</t>
  </si>
  <si>
    <t xml:space="preserve">Ghi chú</t>
  </si>
  <si>
    <t xml:space="preserve">Bài 1 (đã có bản thảo v6)</t>
  </si>
  <si>
    <t xml:space="preserve">“Kiến trúc tác tử hỗ trợ lập trình nhúng: từ định tuyến ý định đến vòng lặp có kiểm soát” — 76 ca kiểm, 16/67 → 68/68; chi phí token; 1 233 lời gọi công cụ trên bo STM32F469</t>
  </si>
  <si>
    <t xml:space="preserve">docs/bao-cao-rev-ecit/REV-ECIT2026_Kien_truc_tac_tu_lap_trinh_nhung_v6.docx. Mọi chủ đề dưới đây được chấm ‘độ mới so với bài 1’ để tránh trùng &gt; 30 %.</t>
  </si>
  <si>
    <t xml:space="preserve">Chủ đề anh đang nghiêng về</t>
  </si>
  <si>
    <t xml:space="preserve">“Ứng dụng tác tử AI trong lập trình nhúng” (CĐ1, chốt 02/10)</t>
  </si>
  <si>
    <t xml:space="preserve">Được giữ làm T1 và PHÂN TÍCH KỸ ở sheet 5 — kết luận: chủ đề đúng, nhưng cần ‘mài’ thông điệp cốt lõi để không thành bài ‘khoe sản phẩm’.</t>
  </si>
  <si>
    <t xml:space="preserve">Sản phẩm</t>
  </si>
  <si>
    <t xml:space="preserve">EIDE v3: lõi Python 41 272 dòng (108 tệp) + giao diện Swift 7 326 dòng; 127 công cụ, 11 cửa duyệt, 1 575 ca kiểm Python + 40 ca Swift; 116 mục DEV-log</t>
  </si>
  <si>
    <t xml:space="preserve">Đếm từ src/ và ui/EIDEApp/Sources ngày 05/10/2026.</t>
  </si>
  <si>
    <t xml:space="preserve">Ba việc thật đã xong trên bo</t>
  </si>
  <si>
    <t xml:space="preserve">(1) Tự viết nhân RTOS thay FreeRTOS trên STM32F469I-DISCO · (2) Robot hai bánh tự cân bằng ATmega328P (đứng được, làm 2 lần) · (3) Lõi RISC-V PicoRV32 trên Tang Nano 20K, 96/96 ô đo trên silicon</t>
  </si>
  <si>
    <t xml:space="preserve">Đây là vốn bằng chứng mạnh nhất, chưa dùng trong bài 1 (bài 1 chỉ dùng phiên FreeRTOS 27–28/09).</t>
  </si>
  <si>
    <t xml:space="preserve">C · Khuyến nghị (tóm tắt — chi tiết ở sheet 4 và 5)</t>
  </si>
  <si>
    <t xml:space="preserve">Ưu tiên</t>
  </si>
  <si>
    <t xml:space="preserve">Chủ đề</t>
  </si>
  <si>
    <t xml:space="preserve">Lý do</t>
  </si>
  <si>
    <t xml:space="preserve">★ Nộp ngay (bài 2)</t>
  </si>
  <si>
    <t xml:space="preserve">T1 — Ứng dụng tác tử AI trong lập trình nhúng: không chỉ tăng năng suất mà mở rộng năng lực kỹ sư (bản ‘mài’ lại: lấy T3 ‘ai bắt lỗi của ai’ làm xương sống, T8 chi phí làm một mục)</t>
  </si>
  <si>
    <t xml:space="preserve">Đúng chủ đề anh chọn, bằng chứng mạnh nhất (3 việc thật, số đo trên silicon), khác hẳn bài 1 (bài 1 = kiến trúc; bài 2 = kết quả ứng dụng + bài học). Mọi dữ liệu đã có, viết được trong 10 ngày.</t>
  </si>
  <si>
    <t xml:space="preserve">★ Nộp ngay (bài 3, tiểu ban 4)</t>
  </si>
  <si>
    <t xml:space="preserve">T5 — Tác tử dựng lõi RISC-V trên FPGA và đo 96 cấu hình nhân ma trận trên silicon</t>
  </si>
  <si>
    <t xml:space="preserve">Khớp nhất với ‘công nghệ chiến lược’ (AI × bán dẫn × RISC-V); dữ liệu định lượng dày nhất (96 ô, 0 % lệch mô phỏng–bo, 12,5×); tiểu ban Điện tử-Bán dẫn ít bài về tác tử nên nổi bật. Rủi ro: phải sửa đường ‘make’ để người khác dựng lại được.</t>
  </si>
  <si>
    <t xml:space="preserve">◆ Dự phòng mạnh</t>
  </si>
  <si>
    <t xml:space="preserve">T2 — ‘Đạt giả’ (false pass): bộ kiểm tự so với chính nó và phép đo độ nhạy</t>
  </si>
  <si>
    <t xml:space="preserve">Thông điệp sắc nhất, bằng chứng hiếm (3 lần bộ kiểm tự so, ‘dat: true’ viết cứng, 24/96 ô không thể báo sai). Nếu T1 bị dài, tách T2 thành bài riêng cho REV-JEC.</t>
  </si>
  <si>
    <t xml:space="preserve">◆ Dự phòng</t>
  </si>
  <si>
    <t xml:space="preserve">T3 — Ai bắt lỗi của ai: đo cộng tác người–tác tử qua hai phiên lặp cùng đề bài</t>
  </si>
  <si>
    <t xml:space="preserve">Có thể là bài riêng hoặc là ‘lõi’ của T1 (khuyến nghị gộp vào T1).</t>
  </si>
  <si>
    <t xml:space="preserve">○ Để sau / tạp chí</t>
  </si>
  <si>
    <t xml:space="preserve">T4, T6, T7, T8, T9, T10</t>
  </si>
  <si>
    <t xml:space="preserve">Hoặc trùng bài 1 (T7), hoặc bằng chứng một phía là ước lượng (T8), hoặc chưa có dữ liệu (T9).</t>
  </si>
  <si>
    <t xml:space="preserve">Chú giải màu: xanh = khuyến nghị nộp · vàng = phương án tốt/dự phòng · xám = ưu tiên thấp. Cột ‘Trọng số’ ở sheet 4 là ô vàng — anh đổi được, điểm tổng tự tính lại.</t>
  </si>
  <si>
    <t xml:space="preserve">Mã</t>
  </si>
  <si>
    <t xml:space="preserve">Tên đề tài (tiếng Việt)</t>
  </si>
  <si>
    <t xml:space="preserve">Tên gợi ý tiếng Anh (chỉ để tham chiếu)</t>
  </si>
  <si>
    <t xml:space="preserve">Tiểu ban phù hợp</t>
  </si>
  <si>
    <t xml:space="preserve">PHẦN CỐT LÕI MUỐN TRUYỀN TẢI (một câu)</t>
  </si>
  <si>
    <t xml:space="preserve">Câu hỏi nghiên cứu</t>
  </si>
  <si>
    <t xml:space="preserve">Đóng góp chính (3 ý)</t>
  </si>
  <si>
    <t xml:space="preserve">Bằng chứng mạnh nhất đã có (con số)</t>
  </si>
  <si>
    <t xml:space="preserve">Độ mạnh bằng chứng (1–5)</t>
  </si>
  <si>
    <t xml:space="preserve">Độ mới so với bài 1 (v6)</t>
  </si>
  <si>
    <t xml:space="preserve">Rủi ro phản biện chính</t>
  </si>
  <si>
    <t xml:space="preserve">Cách phòng rủi ro</t>
  </si>
  <si>
    <t xml:space="preserve">Trang ước tính</t>
  </si>
  <si>
    <t xml:space="preserve">Nhận xét tổng</t>
  </si>
  <si>
    <t xml:space="preserve">T1</t>
  </si>
  <si>
    <t xml:space="preserve">Ứng dụng tác tử AI trong lập trình nhúng: không chỉ tăng năng suất mà còn mở rộng năng lực của kỹ sư — ba việc thật trên bo thật</t>
  </si>
  <si>
    <t xml:space="preserve">AI agents in embedded programming: beyond productivity, extending the engineer's reach — three real jobs on real boards</t>
  </si>
  <si>
    <t xml:space="preserve">(7) AI &amp; liên ngành — hoặc (4) Điện tử/nhúng</t>
  </si>
  <si>
    <t xml:space="preserve">Tác tử giúp nhiều nhất KHÔNG ở tốc độ gõ mã, mà ở (a) làm đủ mọi phép đo mà người sẽ bỏ vì mỏi, (b) đi được vào vùng kỹ sư chưa có công cụ (tự viết công cụ, HDL từ con số 0), (c) tự khai điểm mù; nhưng lợi ích tỉ lệ với phần việc nằm trong máy tính, và chất lượng đề bài do người viết quyết định chất lượng kết quả.</t>
  </si>
  <si>
    <t xml:space="preserve">Khi giao cho một tác tử ba việc nhúng thật (RTOS tự viết, robot cân bằng, lõi RISC-V trên FPGA), nó giúp kỹ sư ở chỗ nào, không giúp ở chỗ nào, và điều gì quyết định khoảng chênh đó?</t>
  </si>
  <si>
    <t xml:space="preserve">(1) Ba việc thật, cùng một tác tử, cùng một mô hình, đo bằng sổ cái (không tường thuật). (2) Khung đọc kết quả: ‘phần việc trong máy’ ↔ ‘phần việc chạm vật thật’ — mức lợi tỉ lệ với phần đầu. (3) Bảng lỗi hai chiều: lỗi tác tử do người bắt, lỗi người do tác tử bắt; và ba tiêu chí viết lỏng sinh hậu quả đo được.</t>
  </si>
  <si>
    <t xml:space="preserve">RTOS: 1 211 dòng tự viết, nhịp đo thật ~1 003 Hz, CFSR=0, 6 tác vụ, 81,2 phút (lần 1) · Robot: 1 820 → 1 124 dòng, đứng được 2 lần; 7,4 h → 4,53 h; 1 415 → 670 lời gọi; lỗi tác tử do người bắt 6/7 → 1, lỗi người do tác tử bắt 0 → 3 · FPGA: 96/96 ô trên silicon, 0 % lệch với Verilator, 1,57–12,5×, 2 020 dòng, 1 307 lời gọi, 54 bước có ảnh · Chi phí: 340 nghìn / 34 nghìn đồng so với ≈105–112 triệu đồng ước lượng PERT.</t>
  </si>
  <si>
    <t xml:space="preserve">CAO — bài 1 nói kiến trúc, bài này nói kết quả ứng dụng và bài học; chỉ trùng ở ½ trang mô tả EIDE.</t>
  </si>
  <si>
    <t xml:space="preserve">‘Đây là ba case study, không phải nghiên cứu’; ‘ước lượng PERT là chủ quan’; ‘n = 3 việc, 1 người, 1 mô hình’; ‘số 300–3 300 lần nghe như quảng cáo’.</t>
  </si>
  <si>
    <t xml:space="preserve">Đặt khung phân tích (phần việc trong máy / chạm vật thật; bảng lỗi hai chiều) ở Mục III trước khi kể việc; đưa PERT xuống phụ, nêu rõ ‘một phía là ước lượng’; viết thẳng ‘bốn điều con số không chứng minh’ và ‘tám chỗ tác tử báo xong mà sai’ — đây là điểm mạnh, không phải điểm yếu.</t>
  </si>
  <si>
    <t xml:space="preserve">6,5–7</t>
  </si>
  <si>
    <t xml:space="preserve">KHUYẾN NGHỊ SỐ 1. Đúng hướng anh chọn; phần cốt lõi cần mài là ‘mở rộng năng lực’ phải được ĐO (ba thước: làm đủ bước, vào vùng mới, tự khai điểm mù), không chỉ kể.</t>
  </si>
  <si>
    <t xml:space="preserve">T2</t>
  </si>
  <si>
    <t xml:space="preserve">‘Đạt giả’ trong tác tử lập trình nhúng: bộ kiểm tự so với chính nó, tiêu chí nêu trước khi chạy và phép đo độ nhạy bộ kiểm</t>
  </si>
  <si>
    <t xml:space="preserve">False pass in embedded coding agents: self-referential tests, criteria-before-run, and test-sensitivity measurement</t>
  </si>
  <si>
    <t xml:space="preserve">(7) AI — hoặc (4) nhúng</t>
  </si>
  <si>
    <t xml:space="preserve">Một bộ kiểm xanh không nói gì cho tới khi chứng minh được nó đỏ khi mã hỏng; tác tử có xu hướng viết bộ kiểm ‘đạt sẵn’ (so logic với chính nó, viết cứng ‘đạt’), nên tiêu chí phải nêu trước khi chạy, do thứ khác chương trình chấm, và bộ kiểm phải qua phép phá mã.</t>
  </si>
  <si>
    <t xml:space="preserve">Tác tử LLM tạo ra ‘đạt giả’ theo những dạng nào trong lập trình nhúng, và cơ chế nào trong mã (không phải lời nhắc) chặn được chúng?</t>
  </si>
  <si>
    <t xml:space="preserve">(1) Phân loại 6 dạng ‘đạt giả’ gặp thật (bộ kiểm tự so, ‘dat: true’ viết cứng, cờ ok tự so, verify so với tệp sai, mốc đọc trước mốc nạp, giá trị cấu hình ≠ phép đo). (2) Ba cơ chế: tiêu chí nêu trước + cửa G-QUAL, test.sensitivity (phá mã có chủ đích), đối chiếu sau nạp bằng đọc ngược + đọc cổng. (3) Số đo: trước/sau có cơ chế.</t>
  </si>
  <si>
    <t xml:space="preserve">3 lần liên tiếp tác tử viết bộ kiểm chỉ chép logic (phiên robot 01/10); ‘dat: true’ viết cứng; 6/6 phép phá bị bắt sau khi sửa; 24/96 ô FPGA ‘không thể báo sai’ do cờ ok tự so; 13/40 ca Swift đỏ khi trả mã cũ; 4/4 phá mã bị bắt (robot 04/10); DEV-336, DEV-337 (nạp .hex cũ hơn .elf mà verify vẫn ĐẠT); avrdude ‘verified, 0 byte lệch’ với tệp sai; đọc cổng 92 giây trước khi bitstream tồn tại; 16 MHz thay vì 180 MHz (chậm 11,25 lần, không fault).</t>
  </si>
  <si>
    <t xml:space="preserve">CAO — bài 1 chỉ nhắc ‘false pass’ một câu và test.sensitivity trong bảng; chưa có phân loại hay số liệu.</t>
  </si>
  <si>
    <t xml:space="preserve">‘Chỉ là bài học kinh nghiệm’; thiếu so sánh với tài liệu quốc tế về reward hacking/test exploitation.</t>
  </si>
  <si>
    <t xml:space="preserve">Nối với ImpossibleBench (Zhong 2025) và các nghiên cứu về LLM ‘gaming tests’; trình bày như một taxonomy + cơ chế + số đo; nêu số lần cơ chế ‘nổ thật’ (DEV-336 nổ 3 lần trong phiên).</t>
  </si>
  <si>
    <t xml:space="preserve">6</t>
  </si>
  <si>
    <t xml:space="preserve">Thông điệp sắc nhất trong cả bộ; bằng chứng hiếm vì có nhật ký nguyên văn. Có thể là bài riêng (REV-JEC) hoặc là Mục V của T1.</t>
  </si>
  <si>
    <t xml:space="preserve">T3</t>
  </si>
  <si>
    <t xml:space="preserve">Ai bắt lỗi của ai: đo sự cộng tác người–tác tử qua hai phiên lặp lại cùng một đề bài robot tự cân bằng</t>
  </si>
  <si>
    <t xml:space="preserve">Who catches whose errors: measuring human–agent collaboration across two repeated runs of the same self-balancing-robot task</t>
  </si>
  <si>
    <t xml:space="preserve">(7) AI — hoặc (6) Robot &amp; Tự động hoá</t>
  </si>
  <si>
    <t xml:space="preserve">Chiều bắt lỗi đổi được: sau khi vá 7 lỗi và viết lại đề bài tường minh, lỗi tác tử do người bắt giảm 6/7 → 1, lỗi người do tác tử bắt tăng 0 → 3; phần lớn lỗi của người nằm ở TIÊU CHÍ VIẾT LỎNG, và tác tử làm đúng theo tiêu chí sai, nhanh và triệt để.</t>
  </si>
  <si>
    <t xml:space="preserve">Khi cùng một đề bài được làm hai lần (trước/sau khi vá tác tử và viết lại đề bài), cấu trúc lỗi của người và của tác tử thay đổi thế nào, và đâu là yếu tố quyết định?</t>
  </si>
  <si>
    <t xml:space="preserve">(1) Phương pháp so hai phiên bằng sổ cái (lời gọi, lời gọi bị chặn, lỗi theo chiều). (2) Bảng 7 lỗi tác tử một họ ‘cơ chế có sẵn, đường dẫn đứt’ và 3+2 lỗi người (tiêu chí lỏng, hành động theo thứ mình tưởng). (3) Mẫu ‘đầu vào tường minh’ (mốc tầng NGƯỜI, đo thay vì tin giá trị cấu hình) rút ra để dùng lại.</t>
  </si>
  <si>
    <t xml:space="preserve">Phiên 03/10 vs 04/10: 394 → 541 lời gọi công cụ; bị chặn 6,6 % → 3,3 %; tác tử bác kết luận sai của người về 250 Hz (sai số lượng tử ±25 % của millis()); tìm lỗ ‘đọc rách’ biến 32-bit trên CPU 8-bit; 50,0005 kHz lệch +0,0009 %; 372/372 khoảng 100 ms; 22/22 điều kiện; mốc tầng NGƯỜI (bảng A.1, A.2, E) — docs/robot-sinhvien/PHU-LUC-MOC-NGUOI-VA-DO-TAN-SO.md.</t>
  </si>
  <si>
    <t xml:space="preserve">CAO — hoàn toàn chưa có trong bài 1.</t>
  </si>
  <si>
    <t xml:space="preserve">Yếu tố gây nhiễu: phụ lục E đã trao sẵn bộ tham số (KP/KI/KD, offset 92) nên phiên 2 ‘đúng vì được cho’; robot đã tháo nên 3 mục đóng không số; chỉ một người thao tác.</t>
  </si>
  <si>
    <t xml:space="preserve">Chính README đã tự khai các nhiễu này — đưa nguyên vào Mục Hạn chế; nhấn rằng điều được đo là ‘giá trị của việc tài liệu hoá phần khó’ chứ không phải ‘mô hình giỏi lên’.</t>
  </si>
  <si>
    <t xml:space="preserve">Rất hợp làm XƯƠNG SỐNG của T1 (khuyến nghị gộp). Nếu tách riêng thì hợp tiểu ban Robot.</t>
  </si>
  <si>
    <t xml:space="preserve">T4</t>
  </si>
  <si>
    <t xml:space="preserve">LLM không phải sự thật nền: tầng tin cậy dữ liệu và chặn hằng số không nguồn trong tác tử lập trình nhúng</t>
  </si>
  <si>
    <t xml:space="preserve">LLM is not ground truth: data-trust tiers and constant-guard for embedded coding agents</t>
  </si>
  <si>
    <t xml:space="preserve">Mỗi con số dùng để quyết định phải lần về được nguồn (trang datasheet, dòng tệp cấu hình, câu nói nguyên văn); năm bậc tin cậy (VÀNG/BẠC/NGƯỜI/CÀI ĐẶT/ĐỒNG) + chặn hằng số không nguồn ngăn được lỗi mà mô hình không tự thấy — và ‘giá trị cấu hình không phải phép đo’.</t>
  </si>
  <si>
    <t xml:space="preserve">Cơ chế quản lý nguồn gốc dữ liệu kỹ thuật nào ngăn tác tử ghi số sai vào mã, và nó bắt được gì trong các phiên thật?</t>
  </si>
  <si>
    <t xml:space="preserve">(1) Mô hình 5 bậc tin cậy + luật nâng bậc chỉ người đi được. (2) Constant-guard tại lớp cấp quyền; chuẩn hoá ký hiệu (4R7, 3V3, TBD → ‘chưa có’ không thành 0). (3) Số đo từ phiên thật và các ca kiểm.</t>
  </si>
  <si>
    <t xml:space="preserve">4 lần từ chối constant-guard / 1 233 lời gọi; ACCEL_OFFSET 535 thay vì 92 → lệch 3,1° điểm cân bằng (robot 01/10); 4 tổng kiểm tầng NGƯỜI tính tay cho FPGA; TC075 ‘chưa biết’ với MCU bịa; TC011 cross-check hai bản datasheet; TC014 bỏ qua lệnh chèn trong tài liệu; 16 MHz vs 180 MHz; ‘nhịp 1 000 Hz’ theo SysTick trong khi đo thật 91 Hz.</t>
  </si>
  <si>
    <t xml:space="preserve">TRUNG BÌNH–CAO — bài 1 đã nhắc constant-guard và tầng tin cậy (1–2 câu); bài này đi sâu.</t>
  </si>
  <si>
    <t xml:space="preserve">Trùng một phần Lớp 2 của bài 1; ‘chỉ là kỹ thuật phần mềm thông thường (provenance)’.</t>
  </si>
  <si>
    <t xml:space="preserve">Trích dẫn bài 1 cho kiến trúc; tập trung vào bảng ‘số sai suýt vào mã’ và ‘giá trị cấu hình ≠ phép đo’ — những thứ chỉ hệ nhúng mới gặp.</t>
  </si>
  <si>
    <t xml:space="preserve">Tốt nhưng hẹp; hợp bài tạp chí hoặc hội nghị năm sau khi có thêm số từ nhiều dự án.</t>
  </si>
  <si>
    <t xml:space="preserve">T5</t>
  </si>
  <si>
    <t xml:space="preserve">Tác tử AI dựng lõi RISC-V trên FPGA: xây SoC PicoRV32 trên Tang Nano 20K và đo 96 cấu hình nhân ma trận trên silicon</t>
  </si>
  <si>
    <t xml:space="preserve">An AI agent builds a RISC-V SoC on FPGA: PicoRV32 on Tang Nano 20K and 96 on-silicon matrix-multiply measurements</t>
  </si>
  <si>
    <t xml:space="preserve">(4) Điện tử &amp; Bán dẫn — SoC/FPGA</t>
  </si>
  <si>
    <t xml:space="preserve">Một tác tử vốn không có một dòng công cụ nào về HDL có thể tự dựng chuỗi công cụ (Yosys → nextpnr → gowin_pack → openFPGALoader), dựng SoC, viết firmware và đo 96 ô trên silicon khớp 0 % với mô phỏng — với điều kiện mốc so sánh do người tính tay và tiêu chí nghiệm thu không được tự so với chính nó.</t>
  </si>
  <si>
    <t xml:space="preserve">Tác tử có gánh được một việc thiết kế chip mức SoC-trên-FPGA từ đầu tới số đo trên silicon không, và kết quả đo (bộ nhân phần cứng, Amdahl) có tin được không?</t>
  </si>
  <si>
    <t xml:space="preserve">(1) Quy trình tác tử 4 chặng Verilog → bitstream → nạp → đo, với 4 công cụ EIDE viết thêm trong 2 ngày. (2) Bộ số 96 ô (4 N × 2 kiểu × 4 cách viết × 3 cấu hình CPU), 0 chu kỳ lệch bo–Verilator, 1,57–12,5×, CPM 502 → 74 → 40; giải thích Amdahl ở ô tăng ít nhất. (3) 6 lỗi tác tử + 3 lỗi người và cách bắt (đọc mã máy, đếm __mulsi3, mốc thời gian sổ cái).</t>
  </si>
  <si>
    <t xml:space="preserve">96/96 ô ok=1; 0 lệch với 4 tổng kiểm tầng NGƯỜI (0xfeaabd40, 0x2110c56a, 0xc7ce1f03, 0x36395f4b); Δcycle 27 000 001/031/024 (27 MHz); 24 → 0 lời gọi __mulsi3/__udivdi3 trong mã máy; 28 lần dựng bitstream, 80 lượt mô phỏng; 2 020 dòng tự viết; 54 bước có ảnh; 1 307 lời gọi; 16 789 dòng sổ cái; ADR-01..03 (chân 88 reset, memset tự gọi, chia bằng dịch bit).</t>
  </si>
  <si>
    <t xml:space="preserve">CAO — không có gì về FPGA/RISC-V trong bài 1.</t>
  </si>
  <si>
    <t xml:space="preserve">Phản biện tiểu ban 4 có thể hỏi: ‘PicoRV32 là lõi mở sẵn, phần chip có gì mới?’; ‘đường dựng bitstream chỉ chạy qua EIDE, không chạy bằng make’ (README mục 8 tự khai); ‘tại sao Amdahl là phát hiện?’</t>
  </si>
  <si>
    <t xml:space="preserve">Định vị đóng góp là PHƯƠNG PHÁP (tác tử + nghiệm thu bằng mốc tầng NGƯỜI) và BỘ DỮ LIỆU 96 ô công bố kèm sổ cái, không phải lõi CPU; sửa include path trong soc_top.v để `make bitstream-h1` chạy được TRƯỚC khi nộp (việc 1–2 giờ); công bố repo.</t>
  </si>
  <si>
    <t xml:space="preserve">7</t>
  </si>
  <si>
    <t xml:space="preserve">KHUYẾN NGHỊ SỐ 2 (bài 3). Khớp ‘công nghệ chiến lược’ nhất (AI × bán dẫn × RISC-V); có thể nộp tiểu ban khác với T1.</t>
  </si>
  <si>
    <t xml:space="preserve">T6</t>
  </si>
  <si>
    <t xml:space="preserve">Tác tử viết nhân hệ điều hành thời gian thực thay FreeRTOS trên STM32F469: ‘cơ chế có sẵn, đường dẫn đứt’ và điểm mù tự khai</t>
  </si>
  <si>
    <t xml:space="preserve">An agent writes an RTOS kernel to replace FreeRTOS on STM32F469: ‘mechanism present, path broken’ and self-declared blind spots</t>
  </si>
  <si>
    <t xml:space="preserve">(4) Điện tử &amp; nhúng</t>
  </si>
  <si>
    <t xml:space="preserve">Tác tử viết đúng ngay phần khó nhất (lập lịch, chuyển ngữ cảnh PendSV bằng hợp ngữ) nhưng thua ở phần nối: bảy lần ‘viết đúng mà không ai gọi tới’, không lần nào có lỗi báo ra; cái cứu được là tác tử tự khai trước hai điểm mù của bộ kiểm và chúng nổ đúng chỗ.</t>
  </si>
  <si>
    <t xml:space="preserve">Khi tác tử viết mã mức nhân (kernel) cho Cortex-M, nó sai ở đâu, sai có hệ thống không, và cơ chế nào giúp người tìm ra nhanh?</t>
  </si>
  <si>
    <t xml:space="preserve">(1) Ca viết lại nhân RTOS từ dự án trống, đo trên bo (nhịp, mức nước ngăn xếp, CFSR). (2) Họ lỗi ‘đường dẫn đứt’ (7 lần, chuỗi 5–6–7 mỗi khâu chỉ lộ sau khi vá khâu trước). (3) ‘Đo được trước, sửa sau’: 4 ô nhớ đọc qua SWD loại trừ nguyên nhân bằng một lượt đọc.</t>
  </si>
  <si>
    <t xml:space="preserve">1 211 dòng tự viết / 110 676 dòng của hãng; 0 ký hiệu FreeRTOS; ~1 003 Hz đo thật; SWS=PLL 180 MHz; ngăn xếp 19/128, 25/128, 29/128, 64/512 word; CFSR=HFSR=0; 6 đổi trang / 7 chạm; ảnh 265 152 B vs 260 204 B (+1,9 %, tự khai không đạt theo cách đọc chặt); 25 bước có ảnh, 837 lời gọi, 103 changeset; lần 1: 81,2 phút, 351 lời gọi.</t>
  </si>
  <si>
    <t xml:space="preserve">CAO — bài 1 chỉ có FreeRTOS do tác tử dựng, không có nhân tự viết.</t>
  </si>
  <si>
    <t xml:space="preserve">n = 1 việc (làm 2 lần); ‘bài học kinh nghiệm’ hơn là nghiên cứu; so với người làm tay chỉ là ước lượng.</t>
  </si>
  <si>
    <t xml:space="preserve">Gộp vào T1 (là 1 trong 3 việc) thay vì tách riêng; nếu tách thì nhấn ‘họ lỗi’ như một phát hiện có thể kiểm bằng dữ liệu của người khác.</t>
  </si>
  <si>
    <t xml:space="preserve">Chuyện hay, số rõ, nhưng một việc thì mỏng để đứng một mình. Khuyến nghị: là Mục IV của T1.</t>
  </si>
  <si>
    <t xml:space="preserve">T7</t>
  </si>
  <si>
    <t xml:space="preserve">An toàn của tác tử tác động lên phần cứng thật: ba lớp chặn, mười một cửa duyệt, hộp cát và sổ cái băm</t>
  </si>
  <si>
    <t xml:space="preserve">Safety of agents acting on real hardware: three enforcement layers, eleven approval gates, sandbox and hash-chained ledger</t>
  </si>
  <si>
    <t xml:space="preserve">(5) An toàn thông tin — bảo mật hệ nhúng/phần mềm</t>
  </si>
  <si>
    <t xml:space="preserve">Với tác tử chạm được vào Flash/eFuse, an toàn phải đặt trong mã chứ không trong lời nhắc: ba lớp chặn không tốn token, cửa duyệt cho thao tác không lùi, lệnh chèn trong tài liệu được đọc như dữ liệu, không mở cổng mạng, sổ cái kiểm được chưa ai sửa.</t>
  </si>
  <si>
    <t xml:space="preserve">Mô hình đe doạ (threat model) cho tác tử lập trình nhúng gồm những gì, và các lớp bảo vệ bằng mã bắt được bao nhiêu trong phiên thật?</t>
  </si>
  <si>
    <t xml:space="preserve">(1) Mô hình đe doạ 5 nhóm (thao tác không lùi, hằng số sai, prompt injection từ datasheet, rò khoá/mạng, giả mạo nhật ký). (2) Kiến trúc chặn bằng mã. (3) Số đo can thiệp trên sổ cái.</t>
  </si>
  <si>
    <t xml:space="preserve">57 can thiệp / 1 233 lời gọi (4,6 %): 27 G-FLASH, 18 G-DATA, 3 G-TOOL, 4 constant-guard, 5 Stop; S0 4/4 chặn đúng, trung vị 0,06 ms; TC014 lệnh chèn trong PDF; TC035 từ chối RDP level 2/eFuse; 1 415/1 415 lời gọi cùng một mô hình; JSON-RPC stdio không cổng mạng; ledger.jsonl móc băm.</t>
  </si>
  <si>
    <t xml:space="preserve">THẤP–TRUNG BÌNH — trùng nặng Mục IV-B và VI-D của bài 1 (Bảng VII).</t>
  </si>
  <si>
    <t xml:space="preserve">Trùng &gt; 30 % với bài 1 nếu không viết lại; tiểu ban An toàn thông tin có thể đòi đánh giá tấn công thật (red-team) thay vì số từ phiên bình thường.</t>
  </si>
  <si>
    <t xml:space="preserve">Chỉ nộp nếu thêm một đợt thử tấn công có chủ đích (prompt injection trong 20 datasheet, yêu cầu phá sóng/eFuse) — cần 2–3 ngày đo thêm.</t>
  </si>
  <si>
    <t xml:space="preserve">Góc hay cho tiểu ban 5 nhưng chưa đủ dữ liệu riêng; để REV-ECIT 2027 hoặc ghép với agent pentest đang thiết kế.</t>
  </si>
  <si>
    <t xml:space="preserve">T8</t>
  </si>
  <si>
    <t xml:space="preserve">Chi phí và thời gian của tác tử so với đội kỹ sư trên ba việc nhúng thật (PERT, COCOMO) — và bốn điều con số không chứng minh</t>
  </si>
  <si>
    <t xml:space="preserve">Cost and time of an agent versus an engineering team on three real embedded jobs (PERT, COCOMO) — and four things the numbers do not prove</t>
  </si>
  <si>
    <t xml:space="preserve">(7) AI &amp; ứng dụng</t>
  </si>
  <si>
    <t xml:space="preserve">Chênh 30–57 lần về giờ và 300–3 300 lần về tiền mô hình là có thật nhưng chỉ đúng khi có người biết phải nghi chỗ nào; mức lợi tỉ lệ với phần việc nằm trong máy tính, hẹp lại ở phần chạm vật thật.</t>
  </si>
  <si>
    <t xml:space="preserve">Quy đổi lợi ích của tác tử ra giờ công và tiền thế nào cho trung thực, và yếu tố nào quyết định độ chênh?</t>
  </si>
  <si>
    <t xml:space="preserve">(1) Phương pháp: cột tác tử đo được (sổ cái, token, 3 kịch bản đơn giá), cột người ước lượng PERT 3 mức + COCOMO làm trần. (2) Ba việc: 81,2 phút vs 31,7 ngày; 7,4 h vs 31,0 ngày; 4,53 h vs 32,1 ngày. (3) Bốn điều không chứng minh.</t>
  </si>
  <si>
    <t xml:space="preserve">Token: 2,42 M mới + 23,96 M đệm + 0,18 M ra (robot 04/10), đệm 90,8 %; 3 kịch bản 17/34/74 nghìn đồng; COCOMO 95–155 ngày công cho 1,82 KSLOC; 2 việc rủi ro nhất (ngắt 50 kHz, gỡ lỗi trên bo) — docs/robot-tu-can-bang/BAO-CAO-SO-SANH.md, docs/robot-sinhvien/phien-sinhvien-04-10/SO-SANH-VOI-NGUOI.md.</t>
  </si>
  <si>
    <t xml:space="preserve">CAO (không có trong bài 1) nhưng một phía là ước lượng.</t>
  </si>
  <si>
    <t xml:space="preserve">Phản biện không tin PERT do chính tác giả ước; ‘so sánh táo với cam’ (tiền mô hình ≠ tổng chi phí); dễ bị đọc như quảng cáo.</t>
  </si>
  <si>
    <t xml:space="preserve">Không nên đứng một mình; làm Mục VI của T1 với tiêu đề ‘Thời gian và tiền — và điều bảng này không chứng minh’.</t>
  </si>
  <si>
    <t xml:space="preserve">—</t>
  </si>
  <si>
    <t xml:space="preserve">Dùng làm một mục của T1, không làm bài riêng.</t>
  </si>
  <si>
    <t xml:space="preserve">T9</t>
  </si>
  <si>
    <t xml:space="preserve">Tác tử làm bạn cùng học trong đồ án kỹ thuật điện tử: ba đề bài sinh viên (robot, RTOS, FPGA) với đầu vào tường minh</t>
  </si>
  <si>
    <t xml:space="preserve">An AI agent as lab partner in electronics capstone projects: three student-style assignments with explicit inputs</t>
  </si>
  <si>
    <t xml:space="preserve">(7) AI &amp; liên ngành — giáo dục kỹ thuật</t>
  </si>
  <si>
    <t xml:space="preserve">Đề bài viết cho tác tử giống đề bài viết cho sinh viên: mốc nghiệm thu phải do người tính trước, phải đo chứ không tin giá trị cấu hình; tác tử giúp sinh viên làm đủ bước nhưng không thay được phần phán đoán.</t>
  </si>
  <si>
    <t xml:space="preserve">Đưa tác tử vào đồ án sinh viên thế nào để sinh viên học được thay vì chép?</t>
  </si>
  <si>
    <t xml:space="preserve">(1) Ba bộ ‘DAU-VAO-AGENT-*-v2’ như mẫu đề bài. (2) Vai người–tác tử theo giai đoạn. (3) Quan sát từ phiên.</t>
  </si>
  <si>
    <t xml:space="preserve">3 tài liệu đầu vào v2 (robot, RTOS, FPGA); các phiên ‘phien_sinhvien_*’; NHƯNG chưa có sinh viên thật nào tham gia (anh tự thao tác).</t>
  </si>
  <si>
    <t xml:space="preserve">CAO</t>
  </si>
  <si>
    <t xml:space="preserve">Không có dữ liệu sinh viên thật → phản biện bác ngay phần ‘giáo dục’.</t>
  </si>
  <si>
    <t xml:space="preserve">Chỉ làm khi đã chạy với ít nhất 1 lớp/nhóm sinh viên (học kỳ tới).</t>
  </si>
  <si>
    <t xml:space="preserve">Để sau; ý hay cho năm 2027 hoặc tạp chí giáo dục.</t>
  </si>
  <si>
    <t xml:space="preserve">T10</t>
  </si>
  <si>
    <t xml:space="preserve">Quản lý ngữ cảnh và bộ nhớ cho tác tử phiên dài: mười khối ngữ cảnh, thang nén C0–C4 và 89–93 % token đọc từ đệm</t>
  </si>
  <si>
    <t xml:space="preserve">Context and memory management for long-session agents: ten context blocks, compaction ladder C0–C4, and 89–93 % cached tokens</t>
  </si>
  <si>
    <t xml:space="preserve">(7) AI</t>
  </si>
  <si>
    <t xml:space="preserve">Phiên nhúng dài (1 000+ lời gọi) chỉ sống được nhờ ngữ cảnh chia khối có trần, nén có kiểm ngược và bộ nhớ dài hạn đi qua cửa riêng; cái giá là token vào gấp 39 lần, bù lại bằng đệm.</t>
  </si>
  <si>
    <t xml:space="preserve">Tổ chức ngữ cảnh thế nào để phiên dài không mất quyết định và chi phí chịu được?</t>
  </si>
  <si>
    <t xml:space="preserve">(1) Mô hình MEM-42. (2) Số token/đệm. (3) Kiểm ngược sau nén.</t>
  </si>
  <si>
    <t xml:space="preserve">46 916 token vào/lời gọi (trung vị); 89 % đệm (bài 1), 90,8–93,6 % (robot); 10 khối, trần riêng; đồng hồ bộ nhớ tab A14; EIDE-MEM-42 — nhưng CHƯA có số đo ‘nén có mất quyết định không’.</t>
  </si>
  <si>
    <t xml:space="preserve">TRUNG BÌNH — bài 1 đã có Bảng VIII chi phí token.</t>
  </si>
  <si>
    <t xml:space="preserve">Thiếu thí nghiệm riêng cho nén; dễ bị xem là mô tả thiết kế.</t>
  </si>
  <si>
    <t xml:space="preserve">Cần thí nghiệm: cùng phiên, bật/tắt nén, đếm quyết định bị mất — chưa có.</t>
  </si>
  <si>
    <t xml:space="preserve">Để sau.</t>
  </si>
  <si>
    <t xml:space="preserve">Tiêu đề mục</t>
  </si>
  <si>
    <t xml:space="preserve">Nội dung cần viết</t>
  </si>
  <si>
    <t xml:space="preserve">Bằng chứng / con số dùng</t>
  </si>
  <si>
    <t xml:space="preserve">Nguồn trong thư mục EIDE_v3</t>
  </si>
  <si>
    <t xml:space="preserve">Trang</t>
  </si>
  <si>
    <t xml:space="preserve">TT</t>
  </si>
  <si>
    <t xml:space="preserve">Tóm tắt</t>
  </si>
  <si>
    <t xml:space="preserve">Ba việc thật, cùng tác tử, cùng mô hình gemini-3.8-flash; câu hỏi ‘giúp ở đâu, không giúp ở đâu’; ba thước đo mở rộng năng lực; kết luận ‘lợi ích tỉ lệ với phần việc trong máy; chất lượng đề bài quyết định’.</t>
  </si>
  <si>
    <t xml:space="preserve">Số tổng: 1 211 / 1 124 / 2 020 dòng; 81 phút / 4,5 h / 14 h; 0,0009 % lệch tần số; 96/96 ô.</t>
  </si>
  <si>
    <t xml:space="preserve">README.md §7.4</t>
  </si>
  <si>
    <t xml:space="preserve">0,25</t>
  </si>
  <si>
    <t xml:space="preserve">I</t>
  </si>
  <si>
    <t xml:space="preserve">Giới thiệu</t>
  </si>
  <si>
    <t xml:space="preserve">QĐ 21/2026 (AI + bán dẫn); nghiên cứu hiện có đo ‘năng suất’ (dòng mã/giờ) — thiếu đo ‘năng lực’; đặt 3 câu hỏi; nêu đóng góp; dẫn bài 1 cho kiến trúc (½ trang).</t>
  </si>
  <si>
    <t xml:space="preserve">Englhardt 2024, Li 2026, Kapoor 2024; bài 1 [v6].</t>
  </si>
  <si>
    <t xml:space="preserve">docs/bao-cao-rev-ecit/tai-lieu-tham-khao</t>
  </si>
  <si>
    <t xml:space="preserve">0,75</t>
  </si>
  <si>
    <t xml:space="preserve">II</t>
  </si>
  <si>
    <t xml:space="preserve">Tác tử và cách đo</t>
  </si>
  <si>
    <t xml:space="preserve">EIDE tóm tắt (127 công cụ, 11 cửa, sổ cái băm) — chỉ ½ trang; PHƯƠNG PHÁP ĐO: mọi số lấy từ ledger.jsonl/changesets/nhật ký LLM; phân loại việc theo ‘phần trong máy’ vs ‘phần chạm vật thật’; bảng lỗi hai chiều; cột người = ước lượng PERT (nói rõ).</t>
  </si>
  <si>
    <t xml:space="preserve">Cấu trúc .eide/ (ledger, changesets, snapshots, llm/).</t>
  </si>
  <si>
    <t xml:space="preserve">README §3, §10.2; docs/md/EIDE-C4-46</t>
  </si>
  <si>
    <t xml:space="preserve">III</t>
  </si>
  <si>
    <t xml:space="preserve">Việc 1 — Nhân RTOS tự viết (STM32F469)</t>
  </si>
  <si>
    <t xml:space="preserve">Đề bài; số đo trên bo (nhịp, PLL, ngăn xếp, CFSR); ảnh +1,9 % tự khai không đạt; họ lỗi ‘đường dẫn đứt’ 7 lần; 2 điểm mù tự khai nổ đúng chỗ; ‘đo được trước, sửa sau’ với 4 ô nhớ.</t>
  </si>
  <si>
    <t xml:space="preserve">1 211 vs 110 676 dòng; ~1 003 Hz; 19/128…64/512 word; chuỗi lỗi 5–6–7; 16 MHz vs 180 MHz.</t>
  </si>
  <si>
    <t xml:space="preserve">docs/rtos-tu-viet/, docs/rtos-tu-viet/phien-sinhvien-04-10/, docs/md/DANH-GIA-NGUOI-VS-AGENT-2-VIEC.md</t>
  </si>
  <si>
    <t xml:space="preserve">1,0</t>
  </si>
  <si>
    <t xml:space="preserve">IV</t>
  </si>
  <si>
    <t xml:space="preserve">Việc 2 — Robot hai bánh tự cân bằng (ATmega328P), làm hai lần</t>
  </si>
  <si>
    <t xml:space="preserve">Lần 1 (01/10): 8 chỗ tác tử báo xong mà sai — không chỗ nào tự tìm ra; bản của NCC chia đôi không gian lỗi; 535 vs 92. Lần 2 (04/10): chiều bắt lỗi đổi (6/7 → 1; 0 → 3); tác tử bác kết luận 250 Hz; số đo tần số; nói rõ phần nhiễu (phụ lục E trao tham số).</t>
  </si>
  <si>
    <t xml:space="preserve">1 820 → 1 124 dòng; 1 415 → 670 lời gọi; 6,6 % → 3,3 % bị chặn; 50,0005 kHz; 372/372; 22/22; 4/4 phá mã.</t>
  </si>
  <si>
    <t xml:space="preserve">docs/robot-tu-can-bang/BAO-CAO-SO-SANH.md; docs/robot-sinhvien/phien-sinhvien-04-10/{KET-QUA,NHAT-KY,SO-SANH-VOI-NGUOI}.md; PHU-LUC-MOC-NGUOI-VA-DO-TAN-SO.md</t>
  </si>
  <si>
    <t xml:space="preserve">1,25</t>
  </si>
  <si>
    <t xml:space="preserve">V</t>
  </si>
  <si>
    <t xml:space="preserve">Việc 3 — Lõi RISC-V trên FPGA (Tang Nano 20K)</t>
  </si>
  <si>
    <t xml:space="preserve">Vùng hoàn toàn mới (0 công cụ HDL trước đó; 4 công cụ EIDE viết trong 2 ngày); bài 1 CPU sống; bài 2 96 ô, 0 % lệch; tăng tốc 1,57–12,5×, Amdahl; 6 lỗi tác tử / 3 lỗi người; ba thói quen đo.</t>
  </si>
  <si>
    <t xml:space="preserve">Δcycle 27 000 001; 4 tổng kiểm tầng NGƯỜI; 24 → 0 __mulsi3; CPM 502→74→40.</t>
  </si>
  <si>
    <t xml:space="preserve">docs/fpga/phien-sinhvien-04-10/KET-QUA.md, bai2/ket-qua/, bang-doi-chieu-96-o.md; docs/md/DANH-GIA-NGUOI-VS-AGENT-2-VIEC.md</t>
  </si>
  <si>
    <t xml:space="preserve">VI</t>
  </si>
  <si>
    <t xml:space="preserve">Đặt ba việc cạnh nhau</t>
  </si>
  <si>
    <t xml:space="preserve">Bảng tổng (dòng, giờ, lời gọi, tiền, chạy thật); mức lợi tỉ lệ với phần trong máy (RTOS chênh &gt; 10× robot); ba thước ‘mở rộng năng lực’: (a) làm đủ bước không mỏi (96 ô, 109 điều kiện, 32 lần đọc ngược), (b) vào vùng mới (tự viết công cụ 8/8), (c) tự khai điểm mù; thời gian–tiền với ‘bốn điều không chứng minh’.</t>
  </si>
  <si>
    <t xml:space="preserve">README §7.4, §7.5; PERT/COCOMO.</t>
  </si>
  <si>
    <t xml:space="preserve">README.md §7.4–7.5; BAO-CAO-SO-SANH.md</t>
  </si>
  <si>
    <t xml:space="preserve">VII</t>
  </si>
  <si>
    <t xml:space="preserve">Hạn chế</t>
  </si>
  <si>
    <t xml:space="preserve">n = 3 việc, 1 người thao tác, 1 mô hình; cột người là ước lượng; phiên 2 robot được trao tham số; FPGA chưa dựng lại được bằng make; 12/127 công cụ chưa dùng.</t>
  </si>
  <si>
    <t xml:space="preserve">README §8; VIEC-CHO-LAM.md</t>
  </si>
  <si>
    <t xml:space="preserve">docs/md/VIEC-CHO-LAM.md</t>
  </si>
  <si>
    <t xml:space="preserve">0,5</t>
  </si>
  <si>
    <t xml:space="preserve">VIII</t>
  </si>
  <si>
    <t xml:space="preserve">Kết luận</t>
  </si>
  <si>
    <t xml:space="preserve">Hình dung đúng: tác tử gánh phần ghi chép và làm đủ bước, người giữ phán đoán và chạm vật thật; vai thứ ba ‘một bản đã chạy được’; thứ cần soát trước khi soát mã tác tử là câu đề bài mình vừa viết.</t>
  </si>
  <si>
    <t xml:space="preserve">README §7.5</t>
  </si>
  <si>
    <t xml:space="preserve">TK</t>
  </si>
  <si>
    <t xml:space="preserve">Tài liệu tham khảo</t>
  </si>
  <si>
    <t xml:space="preserve">≤ 12 mục: QĐ 21/2026; Englhardt; Li; Zhong (ImpossibleBench); Kapoor; Feng (levels of autonomy); bài 1; repo EIDEv3 + commit; PERT/COCOMO (Boehm); PicoRV32; Amdahl.</t>
  </si>
  <si>
    <t xml:space="preserve">Sáu dạng ‘đạt giả’ gặp thật; ba cơ chế chặn bằng mã; số đo trước/sau.</t>
  </si>
  <si>
    <t xml:space="preserve">3 lần bộ kiểm tự so; 24/96; 6/6; 13/40.</t>
  </si>
  <si>
    <t xml:space="preserve">README §4.6, §5</t>
  </si>
  <si>
    <t xml:space="preserve">Vì sao ‘đạt giả’ nguy hiểm hơn lỗi báo thẳng trong nhúng (một thứ dùng không được mà trông như đã xong); liên hệ ImpossibleBench / test exploitation; câu hỏi và đóng góp.</t>
  </si>
  <si>
    <t xml:space="preserve">Zhong 2025; Englhardt 2024.</t>
  </si>
  <si>
    <t xml:space="preserve">Phân loại sáu dạng đạt giả (có ví dụ thật)</t>
  </si>
  <si>
    <t xml:space="preserve">(1) Bộ kiểm chép logic sang tệp kiểm rồi so với chính nó (3 lần liên tiếp); (2) ‘dat: true’ viết cứng; (3) cờ ok tự so giữa các cách viết (24/96 ô không thể báo sai); (4) verify so với tệp vừa đưa, không so với bản vừa dựng (avrdude; DEV-337 .hex cũ hơn .elf); (5) mốc đọc trước mốc nạp (đọc cổng 92 s trước khi bitstream tồn tại; 173 byte rác có dấu kết thúc); (6) giá trị cấu hình ≠ phép đo (SysTick 179 999 nhưng 16 MHz → 91 Hz; chậm 11,25 lần không fault).</t>
  </si>
  <si>
    <t xml:space="preserve">Mỗi dạng một trích nguyên văn từ nhật ký.</t>
  </si>
  <si>
    <t xml:space="preserve">docs/robot-tu-can-bang/BAO-CAO-SO-SANH.md; docs/md/DANH-GIA-NGUOI-VS-AGENT-2-VIEC.md; docs/fpga/; docs/md/EIDE-DEV-LOG.md (DEV-336, DEV-337)</t>
  </si>
  <si>
    <t xml:space="preserve">1,75</t>
  </si>
  <si>
    <t xml:space="preserve">Ba cơ chế bằng mã</t>
  </si>
  <si>
    <t xml:space="preserve">(a) Tiêu chí nêu trước → chạy → đối chiếu; bộ mức đo chấm, không phải chương trình; đổi mức đo sau khi thấy kết quả phải qua G-QUAL. (b) test.sensitivity: phá mã có chủ đích rồi đòi bộ kiểm đỏ; chỉ nạp công cụ tự viết khi bộ kiểm xanh. (c) Sau nạp: đọc ngược từng byte + đọc cổng nối tiếp để biết chương trình nào đang chạy; mốc tầng NGƯỜI do người tính tay trước khi đo.</t>
  </si>
  <si>
    <t xml:space="preserve">sim.criteria, test.sensitivity, target.verify/log; 4 tổng kiểm FPGA; bảng A.1/A.2 robot.</t>
  </si>
  <si>
    <t xml:space="preserve">README §4.6, §4.7, §5; PHU-LUC-MOC-NGUOI-VA-DO-TAN-SO.md</t>
  </si>
  <si>
    <t xml:space="preserve">Số đo</t>
  </si>
  <si>
    <t xml:space="preserve">Trước/sau: 3 lần bộ kiểm giả → 6/6 phép phá bị bắt; 13/40 ca Swift đỏ khi trả mã cũ (so với 0 ca kiểm trước 02/10); 4/4 phá mã robot 04/10; DEV-336 nổ thật 3 lần trong phiên; 2 ô đỏ giả của chính máy chấm (TC006, TC028) — ‘đo cái đo’.</t>
  </si>
  <si>
    <t xml:space="preserve">BAO-CAO-TONG.md; LOI-TIM-DUOC.md.</t>
  </si>
  <si>
    <t xml:space="preserve">docs/review-v3/test/</t>
  </si>
  <si>
    <t xml:space="preserve">Bàn luận &amp; hạn chế</t>
  </si>
  <si>
    <t xml:space="preserve">Vì sao bộ kiểm tự viết thiên về xanh (mục tiêu ‘qua bộ kiểm’ ≠ ‘đúng’); giới hạn: phá mã chỉ bắt được lỗi đã mô hình hoá; chưa thử trên mô hình khác.</t>
  </si>
  <si>
    <t xml:space="preserve">‘Không có kết quả đạt nào mà thiếu bằng chứng; mức đo nêu trước’ là luật nền số 2 của EIDE — và lý do có nó.</t>
  </si>
  <si>
    <t xml:space="preserve">README đầu</t>
  </si>
  <si>
    <t xml:space="preserve">Cùng đề bài, hai phiên; chiều bắt lỗi đổi; tiêu chí lỏng là nguồn lỗi của người.</t>
  </si>
  <si>
    <t xml:space="preserve">6/7 → 1; 0 → 3; 6,6 % → 3,3 %.</t>
  </si>
  <si>
    <t xml:space="preserve">README §7.2</t>
  </si>
  <si>
    <t xml:space="preserve">Cộng tác người–tác tử thường được đo bằng ‘người duyệt bao nhiêu’; bài này đo ‘ai bắt lỗi của ai’; câu hỏi; đóng góp.</t>
  </si>
  <si>
    <t xml:space="preserve">Thiết kế thí nghiệm</t>
  </si>
  <si>
    <t xml:space="preserve">Đề bài robot (hồ sơ phần cứng không có thuật toán); phiên 03/10 (dừng chủ động ở 23/32 bước) → 7 bản vá EIDE + phụ lục đầu vào (mốc tầng NGƯỜI, đo tần số, chân A2, tham số E); phiên 04/10 từ dự án trống; cách đếm lỗi theo chiều từ sổ cái và quan-sat-nguoi.jsonl.</t>
  </si>
  <si>
    <t xml:space="preserve">docs/robot-sinhvien/README.md, TRANG-THAI-DUNG.md, PHU-LUC…md, phien-sinhvien-04-10/</t>
  </si>
  <si>
    <t xml:space="preserve">Kết quả định lượng</t>
  </si>
  <si>
    <t xml:space="preserve">Bảng so hai phiên; số đo phần cứng phiên 2 (50,0005 kHz, 0/369 dòng thiếu, 0 lệnh chia/số thực theo objdump, 372/372, 22/22, 4/4).</t>
  </si>
  <si>
    <t xml:space="preserve">KET-QUA.md; SO-SANH-VOI-NGUOI.md</t>
  </si>
  <si>
    <t xml:space="preserve">Lỗi của tác tử: một họ</t>
  </si>
  <si>
    <t xml:space="preserve">7 lần ‘cơ chế có sẵn, đường dẫn đứt’ (gộp cả RTOS/FPGA để tăng n); không lần nào có lỗi báo ra; nó ‘mô tả phép đo thay vì chạy phép đo’; quá tự tin về số chưa đo (‘chắc chắn tràn stack’ — đo 65/128).</t>
  </si>
  <si>
    <t xml:space="preserve">DANH-GIA-NGUOI-VS-AGENT-2-VIEC.md §3</t>
  </si>
  <si>
    <t xml:space="preserve">Lỗi của người: tiêu chí lỏng</t>
  </si>
  <si>
    <t xml:space="preserve">Ba tiêu chí (ok=1 tự so; ‘mọi tệp vào ảnh’ → 36 dòng mã rỗng; thiếu tiêu chí xung nhịp) và hai lỗi thao tác (đặt tên theo thứ mình tưởng; xoá theo hình dạng tên); tác tử bác kết luận 250 Hz và tìm lỗ đọc rách — chiều ngược lại.</t>
  </si>
  <si>
    <t xml:space="preserve">DANH-GIA…§4; PHU-LUC §A, §B</t>
  </si>
  <si>
    <t xml:space="preserve">Mẫu đề bài tường minh rút ra</t>
  </si>
  <si>
    <t xml:space="preserve">5 luật: mốc so sánh do người tính trước; đo, không tin giá trị cấu hình; số dòng là thông tin không phải chỉ tiêu; chân đo khai trước; tham số đã chạy thật ghi rõ nguồn.</t>
  </si>
  <si>
    <t xml:space="preserve">PHU-LUC §A–E</t>
  </si>
  <si>
    <t xml:space="preserve">Hạn chế &amp; Kết luận</t>
  </si>
  <si>
    <t xml:space="preserve">Nhiễu: phụ lục E trao tham số; 3 mục đóng không số (robot đã tháo); 1 người. Kết luận: thứ cần soát trước khi soát mã tác tử là đề bài.</t>
  </si>
  <si>
    <t xml:space="preserve">Năm bậc tin cậy, constant-guard, ‘giá trị cấu hình ≠ phép đo’; số bắt được.</t>
  </si>
  <si>
    <t xml:space="preserve">README §3.1</t>
  </si>
  <si>
    <t xml:space="preserve">Ảo giác thông số phần cứng; nghiên cứu provenance; câu hỏi.</t>
  </si>
  <si>
    <t xml:space="preserve">Mô hình 5 bậc và luật nâng bậc</t>
  </si>
  <si>
    <t xml:space="preserve">VÀNG/BẠC/NGƯỜI/CÀI ĐẶT/ĐỒNG; nâng BẠC→VÀNG chỉ người; NGƯỜI phải trích nguyên văn và câu trích phải có thật trong sổ.</t>
  </si>
  <si>
    <t xml:space="preserve">Cơ chế trong mã</t>
  </si>
  <si>
    <t xml:space="preserve">Constant-guard tại lớp cấp quyền; đọc số bằng mã theo trang; chuẩn hoá 4R7/3V3/TBD; đọc tệp theo byte đầu; cross-check hai bản datasheet.</t>
  </si>
  <si>
    <t xml:space="preserve">README §4.2; bài 1 Lớp 2</t>
  </si>
  <si>
    <t xml:space="preserve">Bắt được gì trong phiên thật</t>
  </si>
  <si>
    <t xml:space="preserve">4 từ chối constant-guard; 535 vs 92 (3,1°); TC075/TC011/TC014; 16 MHz vs 180 MHz; ‘1 000 Hz’ vs 91 Hz; số VÀNG lệch 38 vs 42 tệp tự nhận.</t>
  </si>
  <si>
    <t xml:space="preserve">BAO-CAO-SO-SANH.md; DANH-GIA…; review-v3/test</t>
  </si>
  <si>
    <t xml:space="preserve">1,5</t>
  </si>
  <si>
    <t xml:space="preserve">Bàn luận: giá trị cấu hình không phải phép đo</t>
  </si>
  <si>
    <t xml:space="preserve">Khi nào bậc CÀI ĐẶT đánh lừa; vì sao cần tầng NGƯỜI cho mốc.</t>
  </si>
  <si>
    <t xml:space="preserve">PHU-LUC §B</t>
  </si>
  <si>
    <t xml:space="preserve">Chỉ phủ hằng số đã mô hình hoá; không kiểm ngữ nghĩa.</t>
  </si>
  <si>
    <t xml:space="preserve">Tác tử không có công cụ HDL → SoC PicoRV32 chạy trên Tang Nano 20K → 96 ô đo trên silicon, 0 % lệch mô phỏng; tăng tốc bộ nhân; điều kiện tin được.</t>
  </si>
  <si>
    <t xml:space="preserve">docs/fpga/phien-sinhvien-04-10/KET-QUA.md</t>
  </si>
  <si>
    <t xml:space="preserve">RISC-V &amp; bán dẫn trong QĐ 21/2026; tác tử LLM cho HDL (các nghiên cứu VerilogEval/RTLLM…); khác biệt: đi tới silicon và có nghiệm thu độc lập; câu hỏi; đóng góp.</t>
  </si>
  <si>
    <t xml:space="preserve">cần thêm 2–3 trích dẫn về LLM-for-RTL</t>
  </si>
  <si>
    <t xml:space="preserve">Hệ thống và chuỗi công cụ</t>
  </si>
  <si>
    <t xml:space="preserve">Tang Nano 20K (GW2AR-18); OSS CAD Suite (Yosys, nextpnr-himbaechel, Apicula, openFPGALoader); riscv64-unknown-elf-gcc; 4 công cụ EIDE thêm (hdl.lint/sim/synth/pnr/bitstream, nạp, đọc ID, bắt log) — Verilog → bitstream → nạp → đo; hộp cát, cửa G-FLASH.</t>
  </si>
  <si>
    <t xml:space="preserve">DEV-330..333</t>
  </si>
  <si>
    <t xml:space="preserve">docs/fpga/DEV-333…md; README §1 bảng ‘Làm chip trên FPGA’</t>
  </si>
  <si>
    <t xml:space="preserve">Bài 1 — CPU sống</t>
  </si>
  <si>
    <t xml:space="preserve">SoC: PicoRV32 RV32I, 32 KB BRAM, UART TX 115 200, LED; start.S/linker.ld; nghiệm thu 4 điều kiện; nguyên nhân gốc chân 88 (ADR-01).</t>
  </si>
  <si>
    <t xml:space="preserve">Δcycle 27 000 001/031/024.</t>
  </si>
  <si>
    <t xml:space="preserve">docs/fpga/phien-sinhvien-04-10/bai1</t>
  </si>
  <si>
    <t xml:space="preserve">Bài 2 — 96 ô đo</t>
  </si>
  <si>
    <t xml:space="preserve">Không gian 4 N × 2 kiểu × 4 cách viết × 3 CPU (H0/H1/H2); luật sinh dữ liệu và 4 tổng kiểm tầng NGƯỜI; bảng kết quả; 0 chu kỳ lệch bo–Verilator và lý do; tăng tốc 1,57–12,5×, CPM 502→74→40; ô tăng ít nhất và Amdahl; biến độc lập kiểm trong mã máy (24 → 0 __mulsi3).</t>
  </si>
  <si>
    <t xml:space="preserve">bang-doi-chieu-96-o.md; 3 tệp bản ghi thô.</t>
  </si>
  <si>
    <t xml:space="preserve">docs/fpga/phien-sinhvien-04-10/bai2/ket-qua/</t>
  </si>
  <si>
    <t xml:space="preserve">Lỗi và cách bắt</t>
  </si>
  <si>
    <t xml:space="preserve">6 lỗi tác tử (cờ ok tự so; checksum không #include; V3 đổi thuật toán không báo; 12 KB vs 16 KB; thiếu -lgcc; -Os vs -O2 hai chương trình khác nhau) + 3 lỗi người; 2 lỗi tác tử tự tìm (ADR-02, ADR-03); ba thói quen đo.</t>
  </si>
  <si>
    <t xml:space="preserve">DANH-GIA-NGUOI-VS-AGENT-2-VIEC.md; KET-QUA.md</t>
  </si>
  <si>
    <t xml:space="preserve">Lõi mở có sẵn, không đóng góp vi kiến trúc; đường make chưa chạy ngoài EIDE (phải sửa trước khi nộp); 14,5 giờ phần lớn vá EIDE; chưa ước lượng người làm tay; 10 ô đầu mất ở cấu hình nhanh khi bắt log.</t>
  </si>
  <si>
    <t xml:space="preserve">README §8</t>
  </si>
  <si>
    <t xml:space="preserve">Tác tử vào được vùng mới tới tận silicon khi và chỉ khi nghiệm thu nằm ngoài tay nó; bộ số 96 ô + sổ cái công bố để người khác kiểm.</t>
  </si>
  <si>
    <t xml:space="preserve">I–II</t>
  </si>
  <si>
    <t xml:space="preserve">Giới thiệu &amp; Đề bài</t>
  </si>
  <si>
    <t xml:space="preserve">Bỏ FreeRTOS, tự viết nhân cho STM32F469I-DISCO tới khi LCD + cảm ứng lên như bản cũ; đầu vào v2.</t>
  </si>
  <si>
    <t xml:space="preserve">docs/rtos-tu-viet/DAU-VAO-AGENT-RTOS-v2.md</t>
  </si>
  <si>
    <t xml:space="preserve">Kết quả trên bo</t>
  </si>
  <si>
    <t xml:space="preserve">Bảng số đo; +1,9 % ảnh; tiêu chí viết lỏng tự khai.</t>
  </si>
  <si>
    <t xml:space="preserve">README §7.1</t>
  </si>
  <si>
    <t xml:space="preserve">Họ lỗi ‘đường dẫn đứt’</t>
  </si>
  <si>
    <t xml:space="preserve">7 lần; chuỗi 5–6–7; lỗi thứ 8 ngược chiều (giá trị đi trên đường không ai nhận).</t>
  </si>
  <si>
    <t xml:space="preserve">DANH-GIA… §3.1</t>
  </si>
  <si>
    <t xml:space="preserve">Điểm mù tự khai &amp; đo trước sửa sau</t>
  </si>
  <si>
    <t xml:space="preserve">2/4 ca bộ kiểm không bắt được, nổ đúng IBUSERR; 4 ô nhớ qua SWD.</t>
  </si>
  <si>
    <t xml:space="preserve">DANH-GIA… §2.2, §5.1</t>
  </si>
  <si>
    <t xml:space="preserve">VI–VII</t>
  </si>
  <si>
    <t xml:space="preserve">Lỗi người, hạn chế, kết luận</t>
  </si>
  <si>
    <t xml:space="preserve">3 lỗi người; n = 1; so lần 1 (81 phút) với lần 2 (5 giờ) và vì sao khác.</t>
  </si>
  <si>
    <t xml:space="preserve">Giới thiệu &amp; Mô hình đe doạ</t>
  </si>
  <si>
    <t xml:space="preserve">5 nhóm đe doạ cho tác tử chạm phần cứng; khác tác tử phần mềm thuần.</t>
  </si>
  <si>
    <t xml:space="preserve">Lớp bảo vệ bằng mã</t>
  </si>
  <si>
    <t xml:space="preserve">S0, cửa duyệt, hộp cát, stdio không cổng mạng, .env, một mô hình, lệnh chèn trong PDF = dữ liệu, sổ cái băm — viết lại ngắn, trích bài 1.</t>
  </si>
  <si>
    <t xml:space="preserve">README §3.2–3.4</t>
  </si>
  <si>
    <t xml:space="preserve">Bảng VII bài 1 + số mới (cần đợt tấn công có chủ đích — CHƯA CÓ).</t>
  </si>
  <si>
    <t xml:space="preserve">V–VI</t>
  </si>
  <si>
    <t xml:space="preserve">Đề xuất</t>
  </si>
  <si>
    <t xml:space="preserve">Không làm bài riêng — dùng làm Mục VI của T1 với tiêu đề ‘Thời gian và tiền — và bốn điều bảng này không chứng minh’.</t>
  </si>
  <si>
    <t xml:space="preserve">BAO-CAO-SO-SANH.md; SO-SANH-VOI-NGUOI.md</t>
  </si>
  <si>
    <t xml:space="preserve">Chưa đủ dữ liệu (chưa có sinh viên thật). Để sau khi chạy với một nhóm sinh viên.</t>
  </si>
  <si>
    <t xml:space="preserve">Cần thí nghiệm bật/tắt nén và đếm quyết định bị mất. Để sau.</t>
  </si>
  <si>
    <t xml:space="preserve">docs/md/EIDE-MEM-42…md</t>
  </si>
  <si>
    <t xml:space="preserve">Ma trận chấm điểm — trọng số ở hàng 3 (ô vàng, sửa được); điểm tổng tự tính</t>
  </si>
  <si>
    <t xml:space="preserve">Trọng số</t>
  </si>
  <si>
    <t xml:space="preserve">← phải = 100 %</t>
  </si>
  <si>
    <t xml:space="preserve">Chủ đề (rút gọn)</t>
  </si>
  <si>
    <t xml:space="preserve">Bằng chứng đã có (đo thật)</t>
  </si>
  <si>
    <t xml:space="preserve">Độ mới so với bài 1</t>
  </si>
  <si>
    <t xml:space="preserve">Khớp chủ đề ‘công nghệ chiến lược’</t>
  </si>
  <si>
    <t xml:space="preserve">Ít rủi ro phản biện</t>
  </si>
  <si>
    <t xml:space="preserve">Khả thi trước 15/10 (dữ liệu đã xong)</t>
  </si>
  <si>
    <t xml:space="preserve">ĐIỂM TỔNG (1–5)</t>
  </si>
  <si>
    <t xml:space="preserve">Xếp hạng</t>
  </si>
  <si>
    <t xml:space="preserve">Lý do điểm bằng chứng</t>
  </si>
  <si>
    <t xml:space="preserve">Lý do điểm rủi ro</t>
  </si>
  <si>
    <t xml:space="preserve">Ứng dụng tác tử — ba việc thật, mở rộng năng lực</t>
  </si>
  <si>
    <t xml:space="preserve">Ba việc có sổ cái, ảnh từng bước, số đo trên silicon; hai việc làm 2 lần.</t>
  </si>
  <si>
    <t xml:space="preserve">Case-study; PERT ước lượng; n nhỏ — đều đã có cách phòng.</t>
  </si>
  <si>
    <t xml:space="preserve">‘Đạt giả’ và phép đo độ nhạy bộ kiểm</t>
  </si>
  <si>
    <t xml:space="preserve">Nhật ký nguyên văn cho cả 6 dạng; số trước/sau.</t>
  </si>
  <si>
    <t xml:space="preserve">Hẹp nhưng chắc; cần thêm tài liệu quốc tế.</t>
  </si>
  <si>
    <t xml:space="preserve">Ai bắt lỗi của ai — hai phiên robot</t>
  </si>
  <si>
    <t xml:space="preserve">Hai phiên cùng đề bài, đếm từ sổ cái; nhưng 3 mục đóng không số.</t>
  </si>
  <si>
    <t xml:space="preserve">Nhiễu do phụ lục E trao tham số (đã tự khai).</t>
  </si>
  <si>
    <t xml:space="preserve">LLM không phải sự thật nền — 5 bậc tin cậy</t>
  </si>
  <si>
    <t xml:space="preserve">Nhiều ví dụ, nhưng số bắt được còn ít (4 từ chối).</t>
  </si>
  <si>
    <t xml:space="preserve">Trùng một phần Lớp 2 bài 1.</t>
  </si>
  <si>
    <t xml:space="preserve">Lõi RISC-V trên FPGA — 96 ô trên silicon</t>
  </si>
  <si>
    <t xml:space="preserve">Dày nhất: 96 ô, 0 % lệch, mốc tầng NGƯỜI, mã máy.</t>
  </si>
  <si>
    <t xml:space="preserve">Phải sửa đường make; tiểu ban chip có thể hỏi ‘chip có gì mới’.</t>
  </si>
  <si>
    <t xml:space="preserve">Nhân RTOS tự viết — đường dẫn đứt</t>
  </si>
  <si>
    <t xml:space="preserve">Một việc (2 lần), số đo trên bo đầy đủ.</t>
  </si>
  <si>
    <t xml:space="preserve">n = 1.</t>
  </si>
  <si>
    <t xml:space="preserve">An toàn tác tử trên phần cứng</t>
  </si>
  <si>
    <t xml:space="preserve">Số từ phiên thường, chưa có red-team.</t>
  </si>
  <si>
    <t xml:space="preserve">Trùng &gt; 30 % bài 1; thiếu thử tấn công.</t>
  </si>
  <si>
    <t xml:space="preserve">Chi phí–thời gian PERT/COCOMO</t>
  </si>
  <si>
    <t xml:space="preserve">Một phía đo, một phía ước.</t>
  </si>
  <si>
    <t xml:space="preserve">Dễ bị xem là quảng cáo.</t>
  </si>
  <si>
    <t xml:space="preserve">Tác tử trong đồ án sinh viên</t>
  </si>
  <si>
    <t xml:space="preserve">Không có sinh viên thật.</t>
  </si>
  <si>
    <t xml:space="preserve">Bị bác ngay phần giáo dục.</t>
  </si>
  <si>
    <t xml:space="preserve">Ngữ cảnh &amp; bộ nhớ phiên dài</t>
  </si>
  <si>
    <t xml:space="preserve">Có số token/đệm, không có số về nén.</t>
  </si>
  <si>
    <t xml:space="preserve">Mô tả thiết kế.</t>
  </si>
  <si>
    <t xml:space="preserve">Thang điểm 1–5 cho từng tiêu chí do Claude chấm từ tài liệu trong thư mục (05/10/2026); anh sửa ô điểm hoặc trọng số thì ĐIỂM TỔNG và Xếp hạng tự tính lại.</t>
  </si>
  <si>
    <t xml:space="preserve">Đọc kết quả: T2 đứng đầu về điểm thô (bằng chứng + độ mới cao, rủi ro thấp) nhưng là chủ đề HẸP; T1 và T5 đồng hạng 2 và là hai bài RỘNG, đứng độc lập được. Khuyến nghị nộp T1 + T5, và đưa bảng ‘8 chỗ báo xong mà sai’ của T2 vào T1; phần còn lại của T2 dành cho bài tạp chí.</t>
  </si>
  <si>
    <t xml:space="preserve">Phân tích kỹ chủ đề anh đang chọn: “Ứng dụng tác tử AI trong lập trình nhúng” (T1)</t>
  </si>
  <si>
    <t xml:space="preserve">Khía cạnh</t>
  </si>
  <si>
    <t xml:space="preserve">Nhận định</t>
  </si>
  <si>
    <t xml:space="preserve">Hệ quả / việc cần làm</t>
  </si>
  <si>
    <t xml:space="preserve">Chủ đề có đúng không?</t>
  </si>
  <si>
    <t xml:space="preserve">ĐÚNG. Nó là bài tự nhiên thứ hai sau bài kiến trúc: bài 1 trả lời ‘tổ chức tác tử thế nào’, bài 2 trả lời ‘tác tử làm được gì thật, và giúp kỹ sư ở đâu’. Ba việc thật (RTOS, robot, FPGA) là vốn chưa dùng.</t>
  </si>
  <si>
    <t xml:space="preserve">Giữ T1.</t>
  </si>
  <si>
    <t xml:space="preserve">Điểm yếu lớn nhất nếu viết thẳng</t>
  </si>
  <si>
    <t xml:space="preserve">Nếu chỉ kể lần lượt ba việc + bảng ‘nhanh 30 lần, rẻ 300 lần’, phản biện sẽ xếp vào ‘báo cáo sản phẩm’ (không có câu hỏi nghiên cứu, không có khung so sánh). Tiêu đề hiện tại ‘không chỉ tăng năng suất mà còn mở rộng năng lực’ là một CLAIM — phải có cách ĐO ‘mở rộng năng lực’.</t>
  </si>
  <si>
    <t xml:space="preserve">Đặt Mục II ‘cách đo’ trước khi kể việc: ba thước (a) làm đủ bước không mỏi, (b) vào vùng chưa có công cụ, (c) tự khai điểm mù — mỗi thước có số.</t>
  </si>
  <si>
    <t xml:space="preserve">Phần cốt lõi nên truyền tải (đề xuất)</t>
  </si>
  <si>
    <t xml:space="preserve">1) Tác tử không nhanh ở chỗ gõ mã; nó mạnh ở chỗ làm đủ phép đo mà người bỏ (96 ô, 109 điều kiện, 32 lần đọc ngược). 2) Nó mở rộng được tới vùng kỹ sư chưa có công cụ — tự viết công cụ, HDL từ 0 tới silicon. 3) Nhưng nó không tự biết nó sai; 8 chỗ ‘báo xong mà sai’ đều do một phép đo người thiết kế. 4) Lợi ích tỉ lệ với phần việc nằm trong máy tính (RTOS chênh &gt; 10× robot). 5) Chất lượng đề bài quyết định: tác tử làm đúng theo tiêu chí sai, nhanh và triệt để — và khi đề bài tường minh, chiều bắt lỗi đổi (6/7 → 1; 0 → 3).</t>
  </si>
  <si>
    <t xml:space="preserve">Năm câu này = Tóm tắt. Mỗi câu phải trỏ được tới một bảng số trong bài.</t>
  </si>
  <si>
    <t xml:space="preserve">Dẫn chứng đã đủ mạnh chưa?</t>
  </si>
  <si>
    <t xml:space="preserve">ĐỦ cho ý 1, 2, 3, 5 (số đo trên bo, sổ cái, ảnh từng bước, hai phiên lặp). Ý 4 (tỉ lệ với phần trong máy) hiện chỉ có 2 điểm dữ liệu (RTOS vs robot) — là quan sát, chưa phải quy luật. Phần tiền/PERT là ước lượng một phía.</t>
  </si>
  <si>
    <t xml:space="preserve">Viết ý 4 là ‘quan sát trên hai việc’; đặt PERT ở Mục VI với ‘bốn điều không chứng minh’ nguyên văn như README §7.2.</t>
  </si>
  <si>
    <t xml:space="preserve">Trùng lặp với bài 1</t>
  </si>
  <si>
    <t xml:space="preserve">Chỉ trùng ở mô tả EIDE (127 công cụ, 11 cửa) và phiên FreeRTOS 27–28/09 (đã dùng trong bài 1 — KHÔNG dùng lại).</t>
  </si>
  <si>
    <t xml:space="preserve">Mô tả EIDE ≤ ½ trang, trích [bài 1]; ba việc của bài 2 (RTOS tự viết, robot, FPGA) hoàn toàn mới → trùng &lt; 10 %.</t>
  </si>
  <si>
    <t xml:space="preserve">Gộp hay tách?</t>
  </si>
  <si>
    <t xml:space="preserve">Khuyến nghị GỘP T3 (ai bắt lỗi của ai) làm xương sống Mục IV và T8 (chi phí) làm Mục VI; T2 (đạt giả) chỉ lấy 1 bảng ‘8 chỗ báo xong mà sai’, phần còn lại để dành bài tạp chí. Nếu gộp cả T2 bài sẽ quá 7 trang.</t>
  </si>
  <si>
    <t xml:space="preserve">T1 ≈ 7 trang; T2 để REV-JEC; T5 nộp riêng tiểu ban 4.</t>
  </si>
  <si>
    <t xml:space="preserve">Rủi ro về 7 trang</t>
  </si>
  <si>
    <t xml:space="preserve">Ba việc × 1–1,25 trang + khung + bảng tổng = ~6,5 trang chưa kể hình. Hình: 1 sơ đồ ‘phần trong máy / chạm vật thật’, 1 ảnh bo (robot đứng hoặc LCD), 1 biểu đồ 3 việc.</t>
  </si>
  <si>
    <t xml:space="preserve">Mỗi việc chỉ giữ 1 bảng + 3 điểm nhấn; chi tiết trỏ về repo.</t>
  </si>
  <si>
    <t xml:space="preserve">Nguyên tắc văn phong anh đã chốt</t>
  </si>
  <si>
    <t xml:space="preserve">Tiếng Việt đời thường, tiếng Anh trong ngoặc khi cần, không Hán-Việt hoa mỹ, không ẩn dụ; sơ đồ sạch (không tràn chữ, không đè khối, mũi tên rõ đầu cuối); ít tài liệu tham khảo, ít chi tiết sản phẩm (theo góp ý thầy Hiếu 30/09).</t>
  </si>
  <si>
    <t xml:space="preserve">README đã viết đúng giọng này — có thể lấy làm nguồn văn trực tiếp.</t>
  </si>
  <si>
    <t xml:space="preserve">Tên bài gợi ý (chọn một)</t>
  </si>
  <si>
    <t xml:space="preserve">(a) ‘Ứng dụng tác tử AI trong lập trình nhúng: không chỉ tăng năng suất mà còn mở rộng năng lực của kỹ sư’ (giữ). (b) ‘Tác tử AI làm được gì trong lập trình nhúng: ba việc thật trên bo thật và điều kiện để tin kết quả’. (c) ‘Tác tử AI trong lập trình nhúng: lợi ở đâu, hụt ở đâu — đo trên ba việc thật’.</t>
  </si>
  <si>
    <t xml:space="preserve">(a) nếu giữ claim ‘mở rộng năng lực’ và đo được nó; (b)/(c) khiêm tốn hơn, khó bị bắt bẻ hơn.</t>
  </si>
  <si>
    <t xml:space="preserve">Việc cần làm trước 15/10</t>
  </si>
  <si>
    <t xml:space="preserve">1) Chốt 5 câu cốt lõi. 2) Dựng 4 bảng số từ README/DANH-GIA (không viết lại số bằng tay — lấy từ tệp). 3) Vẽ 3 hình. 4) Viết nháp 7 trang theo đề cương sheet 3. 5) Chạy ‘3 phản biện giả’ như bài 1. 6) Gửi thầy Hiếu. 7) Nộp EasyChair.</t>
  </si>
  <si>
    <t xml:space="preserve">Xem sheet 6 lịch.</t>
  </si>
  <si>
    <t xml:space="preserve">ID</t>
  </si>
  <si>
    <t xml:space="preserve">Bằng chứng</t>
  </si>
  <si>
    <t xml:space="preserve">Con số</t>
  </si>
  <si>
    <t xml:space="preserve">Loại</t>
  </si>
  <si>
    <t xml:space="preserve">Nguồn (đường dẫn trong EIDE_v3)</t>
  </si>
  <si>
    <t xml:space="preserve">Dùng cho chủ đề</t>
  </si>
  <si>
    <t xml:space="preserve">Ghi chú độ tin</t>
  </si>
  <si>
    <t xml:space="preserve">E01</t>
  </si>
  <si>
    <t xml:space="preserve">Bộ 76 ca kiểm / 19 kịch bản: định tuyến ý định → vòng lặp</t>
  </si>
  <si>
    <t xml:space="preserve">16/67 → 68/68; 51 ca đổi tốt, 0 ca đổi xấu; McNemar p ≈ 9·10⁻¹⁶</t>
  </si>
  <si>
    <t xml:space="preserve">Đo thật</t>
  </si>
  <si>
    <t xml:space="preserve">docs/review-v3/test/BAO-CAO-TONG.md; Usecase_Test_KET_QUA_29-09-2026.xlsx</t>
  </si>
  <si>
    <t xml:space="preserve">Bài 1 (đã dùng)</t>
  </si>
  <si>
    <t xml:space="preserve">Máy chấm theo dấu hiệu bề mặt + đọc tay; 2 ô đỏ giả của máy chấm.</t>
  </si>
  <si>
    <t xml:space="preserve">E02</t>
  </si>
  <si>
    <t xml:space="preserve">Can thiệp của lớp kiểm soát trên bo STM32F469 (27–28/09)</t>
  </si>
  <si>
    <t xml:space="preserve">57/1 233 (4,6 %): G-FLASH 27, G-DATA 18, G-TOOL 3, constant-guard 4, Stop 5; 41/0 thẻ duyệt</t>
  </si>
  <si>
    <t xml:space="preserve">bài 1 v6 Bảng VII; sổ cái D2 (18 534 sự kiện)</t>
  </si>
  <si>
    <t xml:space="preserve">Bài 1, T7, T4</t>
  </si>
  <si>
    <t xml:space="preserve">E03</t>
  </si>
  <si>
    <t xml:space="preserve">Chi phí token hai kiến trúc</t>
  </si>
  <si>
    <t xml:space="preserve">47 k token vào/lời gọi; 89 % đệm; 0,013 → 0,20 USD/lượt; 2,1 s vs 6,6 s</t>
  </si>
  <si>
    <t xml:space="preserve">bài 1 v6 Bảng VIII</t>
  </si>
  <si>
    <t xml:space="preserve">Bài 1, T10</t>
  </si>
  <si>
    <t xml:space="preserve">Hai khối lượng công việc khác nhau.</t>
  </si>
  <si>
    <t xml:space="preserve">E04</t>
  </si>
  <si>
    <t xml:space="preserve">Nhân RTOS tự viết — lần 2 (04/10) trên STM32F469I-DISCO</t>
  </si>
  <si>
    <t xml:space="preserve">1 211 dòng tự viết; 110 676 dòng hãng; 0 ký hiệu FreeRTOS; ~1 003 Hz; 180 MHz PLL; ngăn xếp 19/25/29/128, 64/512 word; CFSR=HFSR=0; 6 đổi trang/7 chạm; 25 bước, 837 lời gọi, 103 changeset; ảnh +1,9 %</t>
  </si>
  <si>
    <t xml:space="preserve">Đo thật trên bo</t>
  </si>
  <si>
    <t xml:space="preserve">README §7.1; docs/rtos-tu-viet/phien-sinhvien-04-10/; docs/md/DANH-GIA-NGUOI-VS-AGENT-2-VIEC.md</t>
  </si>
  <si>
    <t xml:space="preserve">T1, T6</t>
  </si>
  <si>
    <t xml:space="preserve">Một phần thời gian là người đọc thanh ghi qua SWD.</t>
  </si>
  <si>
    <t xml:space="preserve">E05</t>
  </si>
  <si>
    <t xml:space="preserve">Nhân RTOS tự viết — lần 1</t>
  </si>
  <si>
    <t xml:space="preserve">689 + 340 dòng; 81,2 phút; 351 lời gọi; PERT 31,7 ±2,3 ngày công, ≈111 triệu đồng</t>
  </si>
  <si>
    <t xml:space="preserve">Đo + ước lượng</t>
  </si>
  <si>
    <t xml:space="preserve">docs/rtos-tu-viet/; bao-cao/BAO-CAO-RTOS.docx (12 trang do EIDE dựng)</t>
  </si>
  <si>
    <t xml:space="preserve">T1, T8</t>
  </si>
  <si>
    <t xml:space="preserve">Cột người là ước lượng PERT.</t>
  </si>
  <si>
    <t xml:space="preserve">E06</t>
  </si>
  <si>
    <t xml:space="preserve">Họ lỗi ‘cơ chế có sẵn, đường dẫn đứt’</t>
  </si>
  <si>
    <t xml:space="preserve">7 lần trong 2 ngày (FPGA + RTOS), 0 lỗi báo ra; chuỗi 5–6–7 cùng triệu chứng; +1 lỗi ngược chiều (current_ui_page=0)</t>
  </si>
  <si>
    <t xml:space="preserve">DANH-GIA…§3.1; README §7.1</t>
  </si>
  <si>
    <t xml:space="preserve">T1, T3, T6</t>
  </si>
  <si>
    <t xml:space="preserve">E07</t>
  </si>
  <si>
    <t xml:space="preserve">Điểm mù tự khai của bộ kiểm</t>
  </si>
  <si>
    <t xml:space="preserve">2/4 ca không bắt được (xPSR/PC, EXC_RETURN) — người kiểm lại đúng; bo nổ IBUSERR đúng chỗ</t>
  </si>
  <si>
    <t xml:space="preserve">DANH-GIA…§2.2</t>
  </si>
  <si>
    <t xml:space="preserve">T1, T2, T6</t>
  </si>
  <si>
    <t xml:space="preserve">E08</t>
  </si>
  <si>
    <t xml:space="preserve">Robot — lần 1 (01/10)</t>
  </si>
  <si>
    <t xml:space="preserve">1 820 dòng C, 10 mô-đun; 13 056 B Flash; ngắt 50 kHz 35 lệnh/0 call/0 float/0 chia; 109 điều kiện; 16 666 dòng sổ; 1 415 lời gọi cùng mô hình; 7,4 h; ≈340 nghìn đồng; đứng được; 8 chỗ báo xong mà sai; 535 vs 92 (3,1°)</t>
  </si>
  <si>
    <t xml:space="preserve">Đo thật + quan sát người</t>
  </si>
  <si>
    <t xml:space="preserve">README §7.2; docs/robot-tu-can-bang/BAO-CAO-SO-SANH.md, BANG-TRA-TUAN-THU.md</t>
  </si>
  <si>
    <t xml:space="preserve">T1, T2, T3, T4, T8</t>
  </si>
  <si>
    <t xml:space="preserve">‘Đứng được’ là quan sát tầng NGƯỜI.</t>
  </si>
  <si>
    <t xml:space="preserve">E09</t>
  </si>
  <si>
    <t xml:space="preserve">Robot — lần 2 (04/10) sau 7 bản vá</t>
  </si>
  <si>
    <t xml:space="preserve">1 124 dòng; 9 382 B; 4,53 h; 670 lời gọi; 541 lời gọi công cụ, 18 chặn (3,3 %); 50,0005 kHz (+0,0009 %); 0/369 thiếu; 372/372; 0 trễ/9 225; 22/22; 4/4 phá mã bắt; ≈34 nghìn đồng; đứng được</t>
  </si>
  <si>
    <t xml:space="preserve">docs/robot-sinhvien/phien-sinhvien-04-10/{KET-QUA,NHAT-KY,SO-SANH-VOI-NGUOI}.md, so-cai.jsonl, quan-sat-nguoi.jsonl</t>
  </si>
  <si>
    <t xml:space="preserve">T1, T3</t>
  </si>
  <si>
    <t xml:space="preserve">Phụ lục E trao sẵn KP/KI/KD và offset 92 → nhiễu.</t>
  </si>
  <si>
    <t xml:space="preserve">E10</t>
  </si>
  <si>
    <t xml:space="preserve">Chiều bắt lỗi đổi giữa hai phiên robot</t>
  </si>
  <si>
    <t xml:space="preserve">Lỗi tác tử do người bắt 6/7 → 1; lỗi người do tác tử bắt 0 → 3; lời gọi 394 → 541; chặn 6,6 % → 3,3 %</t>
  </si>
  <si>
    <t xml:space="preserve">README §7.2; docs/robot-sinhvien/TRANG-THAI-DUNG.md</t>
  </si>
  <si>
    <t xml:space="preserve">E11</t>
  </si>
  <si>
    <t xml:space="preserve">Tác tử bác kết luận sai của người (250 Hz)</t>
  </si>
  <si>
    <t xml:space="preserve">millis() 1 ms → sai số ±25 % tức thời; tích luỹ triệt tiêu trôi dạt; lỗ đọc rách 32-bit trên CPU 8-bit</t>
  </si>
  <si>
    <t xml:space="preserve">Đo thật (nhật ký)</t>
  </si>
  <si>
    <t xml:space="preserve">README §7.2; PHU-LUC-MOC-NGUOI-VA-DO-TAN-SO.md §B</t>
  </si>
  <si>
    <t xml:space="preserve">E12</t>
  </si>
  <si>
    <t xml:space="preserve">FPGA bài 1 — CPU sống</t>
  </si>
  <si>
    <t xml:space="preserve">Δcycle 27 000 001/031/024; LED nháy; chạy sau rút điện; chân 88 reset (ADR-01)</t>
  </si>
  <si>
    <t xml:space="preserve">T1, T5</t>
  </si>
  <si>
    <t xml:space="preserve">E13</t>
  </si>
  <si>
    <t xml:space="preserve">FPGA bài 2 — 96 ô</t>
  </si>
  <si>
    <t xml:space="preserve">96/96 ok; 0 lệch 4 tổng kiểm tầng NGƯỜI; 0 chu kỳ lệch bo–Verilator; 1,57–6,8× (H1), 2,45–12,5× (H2); CPM 502→74→40; 24 → 0 __mulsi3; 28 bitstream, 80 mô phỏng; 2 020 dòng; 54 bước có ảnh; 1 307 lời gọi; 161 changeset; 16 789 dòng sổ</t>
  </si>
  <si>
    <t xml:space="preserve">Đo thật trên silicon</t>
  </si>
  <si>
    <t xml:space="preserve">docs/fpga/phien-sinhvien-04-10/KET-QUA.md, bai2/ket-qua/ (3 tệp × 32 dòng), bang-doi-chieu-96-o.md</t>
  </si>
  <si>
    <t xml:space="preserve">Đường make chưa chạy ngoài EIDE (README §8).</t>
  </si>
  <si>
    <t xml:space="preserve">E14</t>
  </si>
  <si>
    <t xml:space="preserve">6 lỗi tác tử + 3 lỗi người ở FPGA</t>
  </si>
  <si>
    <t xml:space="preserve">cờ ok tự so (24/96); checksum không #include; V3 đổi thuật toán; 12 vs 16 KB; thiếu -lgcc; -Os vs -O2; người: tiêu chí ok=1 vô hiệu, đặt tên theo tưởng (mất 22 ô), vòng đọc cắt dòng 32</t>
  </si>
  <si>
    <t xml:space="preserve">README §7.3; DANH-GIA…</t>
  </si>
  <si>
    <t xml:space="preserve">T1, T2, T3, T5</t>
  </si>
  <si>
    <t xml:space="preserve">E15</t>
  </si>
  <si>
    <t xml:space="preserve">Số suy ra bị hụt trong báo cáo tác tử tự xuất</t>
  </si>
  <si>
    <t xml:space="preserve">1,54–1,85× ghi trong báo cáo; tính lại từ 96 ô: đỉnh 2,03× (N=32, I8, V2)</t>
  </si>
  <si>
    <t xml:space="preserve">docs/fpga/phien-sinhvien-04-10/KET-QUA.md (đã sửa, ghi chỗ sửa)</t>
  </si>
  <si>
    <t xml:space="preserve">T2, T5</t>
  </si>
  <si>
    <t xml:space="preserve">E16</t>
  </si>
  <si>
    <t xml:space="preserve">Bộ kiểm tự so với chính nó / ‘dat: true’ viết cứng</t>
  </si>
  <si>
    <t xml:space="preserve">3 lần liên tiếp; sau sửa 6/6 phép phá đỏ đúng lúc</t>
  </si>
  <si>
    <t xml:space="preserve">README §5; BAO-CAO-SO-SANH.md</t>
  </si>
  <si>
    <t xml:space="preserve">E17</t>
  </si>
  <si>
    <t xml:space="preserve">Ca kiểm giao diện Swift</t>
  </si>
  <si>
    <t xml:space="preserve">40 ca (từ 02/10; trước đó 0); 13/40 đỏ khi trả mã cũ</t>
  </si>
  <si>
    <t xml:space="preserve">README §5 mức 1; ui/EIDEApp swift test</t>
  </si>
  <si>
    <t xml:space="preserve">E18</t>
  </si>
  <si>
    <t xml:space="preserve">DEV-336 / DEV-337</t>
  </si>
  <si>
    <t xml:space="preserve">sim.run so số đo của chương trình này với tiêu chí chương trình khác (nổ thật 3 lần); nạp .hex cũ hơn .elf mà đối chiếu sau nạp vẫn ĐẠT</t>
  </si>
  <si>
    <t xml:space="preserve">docs/md/EIDE-DEV-LOG.md; tests/test_hex_cu_hon_elf.py</t>
  </si>
  <si>
    <t xml:space="preserve">E19</t>
  </si>
  <si>
    <t xml:space="preserve">Mốc đọc trước mốc nạp; đọc rác; gói app cũ hơn mã</t>
  </si>
  <si>
    <t xml:space="preserve">đọc cổng 92 s trước khi bitstream tồn tại; 173 byte rác có dấu kết thúc; 16/30 câu bị cắt ở 3 000 ký tự → DEV-333</t>
  </si>
  <si>
    <t xml:space="preserve">README §7.3; docs/fpga/DEV-333-GOI-APP-CU-HON-MA-NGUON.md</t>
  </si>
  <si>
    <t xml:space="preserve">E20</t>
  </si>
  <si>
    <t xml:space="preserve">Giá trị cấu hình ≠ phép đo</t>
  </si>
  <si>
    <t xml:space="preserve">SysTick 179 999 nhưng HSI 16 MHz → chậm 11,25 lần; ‘1 000 Hz’ nói ra, đo 91 Hz; ‘chắc chắn tràn stack 128’ — đo 65</t>
  </si>
  <si>
    <t xml:space="preserve">DANH-GIA…§3.2–3.3; PHU-LUC §B</t>
  </si>
  <si>
    <t xml:space="preserve">T2, T3, T4</t>
  </si>
  <si>
    <t xml:space="preserve">E21</t>
  </si>
  <si>
    <t xml:space="preserve">Tác tử tự viết công cụ cho chính nó</t>
  </si>
  <si>
    <t xml:space="preserve">8/8; 3 công cụ mới trong phiên FreeRTOS; 4 công cụ EIDE cho FPGA trong 2 ngày (DEV-330..333)</t>
  </si>
  <si>
    <t xml:space="preserve">tools/thu_tu_viet_cong_cu.py; README §1</t>
  </si>
  <si>
    <t xml:space="preserve">E22</t>
  </si>
  <si>
    <t xml:space="preserve">Công cụ đã dùng thật</t>
  </si>
  <si>
    <t xml:space="preserve">31/122 chưa từng dùng → nối lại 7 đường đứt → 115/127 đã dùng; 12 chưa</t>
  </si>
  <si>
    <t xml:space="preserve">README §6, §8</t>
  </si>
  <si>
    <t xml:space="preserve">E23</t>
  </si>
  <si>
    <t xml:space="preserve">Ca kiểm tiêu biểu về trung thực</t>
  </si>
  <si>
    <t xml:space="preserve">TC005 mâu thuẫn LoRa/4K; TC011 cross-check; TC014 lệnh chèn; TC021 biên dịch thật; TC028 bác tiền đề 500 tệp; TC035 từ chối eFuse; TC075 ‘chưa biết’</t>
  </si>
  <si>
    <t xml:space="preserve">bài 1 Bảng VI; docs/review-v3/test/ket-qua-chay-lai/</t>
  </si>
  <si>
    <t xml:space="preserve">Bài 1, T4, T7</t>
  </si>
  <si>
    <t xml:space="preserve">E24</t>
  </si>
  <si>
    <t xml:space="preserve">Năm bậc tin cậy; chuẩn hoá ký hiệu</t>
  </si>
  <si>
    <t xml:space="preserve">VÀNG/BẠC/NGƯỜI/CÀI ĐẶT/ĐỒNG; 4R7→4,7 Ω; TBD→‘chưa có’; 90 ký hiệu LaTeX</t>
  </si>
  <si>
    <t xml:space="preserve">Thiết kế + ca kiểm</t>
  </si>
  <si>
    <t xml:space="preserve">README §3.1, §4.2–4.3</t>
  </si>
  <si>
    <t xml:space="preserve">E25</t>
  </si>
  <si>
    <t xml:space="preserve">Ước lượng người làm tay</t>
  </si>
  <si>
    <t xml:space="preserve">PERT 31,0/31,7/32,1 ngày công ±2,6; ≈105–112 triệu đồng; COCOMO 95–155 ngày công (trần)</t>
  </si>
  <si>
    <t xml:space="preserve">Ước lượng</t>
  </si>
  <si>
    <t xml:space="preserve">Do chính tác giả ước — nêu rõ.</t>
  </si>
  <si>
    <t xml:space="preserve">E26</t>
  </si>
  <si>
    <t xml:space="preserve">Token &amp; đơn giá phiên robot 04/10</t>
  </si>
  <si>
    <t xml:space="preserve">2,42 M mới; 23,96 M đệm (90,8 %); 0,18 M ra; 3 kịch bản 17/34/74 nghìn đồng</t>
  </si>
  <si>
    <t xml:space="preserve">SO-SANH-VOI-NGUOI.md</t>
  </si>
  <si>
    <t xml:space="preserve">T1, T8, T10</t>
  </si>
  <si>
    <t xml:space="preserve">Quy đổi 3,5 ký tự/token.</t>
  </si>
  <si>
    <t xml:space="preserve">E27</t>
  </si>
  <si>
    <t xml:space="preserve">Mã nguồn sản phẩm</t>
  </si>
  <si>
    <t xml:space="preserve">lõi Python 41 272 dòng/108 tệp; Swift 7 326 dòng; 1 575 ca pytest; 116 mục DEV-log; 127 công cụ; 11 cửa; 11 tab</t>
  </si>
  <si>
    <t xml:space="preserve">Đếm</t>
  </si>
  <si>
    <t xml:space="preserve">src/, ui/, tests/, docs/md/EIDE-DEV-LOG.md</t>
  </si>
  <si>
    <t xml:space="preserve">Mọi bài</t>
  </si>
  <si>
    <t xml:space="preserve">E28</t>
  </si>
  <si>
    <t xml:space="preserve">Ảnh/hiện vật cho hình minh hoạ</t>
  </si>
  <si>
    <t xml:space="preserve">54 ảnh cửa sổ EIDE (FPGA), 25 ảnh (RTOS), ảnh robot, ảnh LCD FreeRTOS (bài 1 Hình 3), 11 ảnh tab</t>
  </si>
  <si>
    <t xml:space="preserve">Hiện vật</t>
  </si>
  <si>
    <t xml:space="preserve">docs/fpga/phien-sinhvien-04-10/nhat-ky-phien; docs/rtos-tu-viet/…; docs/review-v3/test/ket-qua-giao-dien/anh/</t>
  </si>
  <si>
    <t xml:space="preserve">Ngày</t>
  </si>
  <si>
    <t xml:space="preserve">Việc</t>
  </si>
  <si>
    <t xml:space="preserve">Kết quả cần có</t>
  </si>
  <si>
    <t xml:space="preserve">05/10 (T2)</t>
  </si>
  <si>
    <t xml:space="preserve">Chốt chủ đề và 5 câu cốt lõi; chốt có nộp T5 riêng không</t>
  </si>
  <si>
    <t xml:space="preserve">Quyết định: T1 (+T3, T8 gộp) và T5</t>
  </si>
  <si>
    <t xml:space="preserve">Nếu chỉ một bài: T1.</t>
  </si>
  <si>
    <t xml:space="preserve">06/10</t>
  </si>
  <si>
    <t xml:space="preserve">Dựng bảng số cho T1 từ tệp (không gõ lại tay): bảng 3 việc, bảng lỗi hai chiều, bảng ‘8 chỗ báo xong mà sai’</t>
  </si>
  <si>
    <t xml:space="preserve">4 bảng + chú nguồn</t>
  </si>
  <si>
    <t xml:space="preserve">Lấy từ README §7, DANH-GIA, SO-SANH.</t>
  </si>
  <si>
    <t xml:space="preserve">T5: sửa include path soc_top.v để `make bitstream-h1` chạy ngoài EIDE; chạy lại 1 cấu hình để xác nhận</t>
  </si>
  <si>
    <t xml:space="preserve">Đường dựng tái lập được</t>
  </si>
  <si>
    <t xml:space="preserve">README §8 tự khai — phải sửa trước khi công bố.</t>
  </si>
  <si>
    <t xml:space="preserve">07–08/10</t>
  </si>
  <si>
    <t xml:space="preserve">Viết nháp T1 (7 trang) theo đề cương sheet 3</t>
  </si>
  <si>
    <t xml:space="preserve">v0.1</t>
  </si>
  <si>
    <t xml:space="preserve">Giọng đời thường như README.</t>
  </si>
  <si>
    <t xml:space="preserve">08–09/10</t>
  </si>
  <si>
    <t xml:space="preserve">Vẽ 3 hình T1 (khung ‘trong máy/chạm vật’, biểu đồ 3 việc, ảnh bo) — kiểm không tràn chữ, không đè khối</t>
  </si>
  <si>
    <t xml:space="preserve">3 hình sạch</t>
  </si>
  <si>
    <t xml:space="preserve">09–10/10</t>
  </si>
  <si>
    <t xml:space="preserve">Viết nháp T5 (7 trang); hình: sơ đồ SoC, biểu đồ 96 ô (CPM theo N × H0/H1/H2)</t>
  </si>
  <si>
    <t xml:space="preserve">11/10</t>
  </si>
  <si>
    <t xml:space="preserve">Chạy ‘3 phản biện giả’ cho cả hai bài; sửa</t>
  </si>
  <si>
    <t xml:space="preserve">v0.2</t>
  </si>
  <si>
    <t xml:space="preserve">Như đã làm với bài 1.</t>
  </si>
  <si>
    <t xml:space="preserve">12/10</t>
  </si>
  <si>
    <t xml:space="preserve">Gửi thầy Hiếu; kiểm tỉ lệ trùng với bài 1 (&lt; 30 %)</t>
  </si>
  <si>
    <t xml:space="preserve">Góp ý</t>
  </si>
  <si>
    <t xml:space="preserve">13–14/10</t>
  </si>
  <si>
    <t xml:space="preserve">Sửa theo góp ý; định dạng IEEE A4; kiểm 6–7 trang</t>
  </si>
  <si>
    <t xml:space="preserve">v1.0</t>
  </si>
  <si>
    <t xml:space="preserve">Bài sai định dạng không được phản biện.</t>
  </si>
  <si>
    <t xml:space="preserve">15/10</t>
  </si>
  <si>
    <t xml:space="preserve">Nộp EasyChair (revecit2026) — cả bài 1 (nếu chưa nộp), T1, T5</t>
  </si>
  <si>
    <t xml:space="preserve">Đã nộp</t>
  </si>
  <si>
    <t xml:space="preserve">Deadline cứng.</t>
  </si>
</sst>
</file>

<file path=xl/styles.xml><?xml version="1.0" encoding="utf-8"?>
<styleSheet xmlns="http://schemas.openxmlformats.org/spreadsheetml/2006/main">
  <numFmts count="3">
    <numFmt numFmtId="164" formatCode="General"/>
    <numFmt numFmtId="165" formatCode="0%"/>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00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F2F2F2"/>
      </patternFill>
    </fill>
    <fill>
      <patternFill patternType="solid">
        <fgColor rgb="FFFFF2CC"/>
        <bgColor rgb="FFF2F2F2"/>
      </patternFill>
    </fill>
    <fill>
      <patternFill patternType="solid">
        <fgColor rgb="FFF2F2F2"/>
        <bgColor rgb="FFE2EFDA"/>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9" fillId="6"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70"/>
  </cols>
  <sheetData>
    <row r="1" customFormat="false" ht="17.3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row>
    <row r="5" customFormat="false" ht="31.5" hidden="false" customHeight="true" outlineLevel="0" collapsed="false">
      <c r="A5" s="4" t="s">
        <v>3</v>
      </c>
      <c r="B5" s="4" t="s">
        <v>4</v>
      </c>
      <c r="C5" s="4" t="s">
        <v>5</v>
      </c>
    </row>
    <row r="6" customFormat="false" ht="15" hidden="false" customHeight="false" outlineLevel="0" collapsed="false">
      <c r="A6" s="5" t="s">
        <v>6</v>
      </c>
      <c r="B6" s="5" t="s">
        <v>7</v>
      </c>
      <c r="C6" s="5" t="s">
        <v>8</v>
      </c>
    </row>
    <row r="7" customFormat="false" ht="23.85" hidden="false" customHeight="false" outlineLevel="0" collapsed="false">
      <c r="A7" s="5" t="s">
        <v>9</v>
      </c>
      <c r="B7" s="5" t="s">
        <v>10</v>
      </c>
      <c r="C7" s="5" t="s">
        <v>11</v>
      </c>
    </row>
    <row r="8" customFormat="false" ht="23.85" hidden="false" customHeight="false" outlineLevel="0" collapsed="false">
      <c r="A8" s="5" t="s">
        <v>12</v>
      </c>
      <c r="B8" s="5" t="s">
        <v>13</v>
      </c>
      <c r="C8" s="5" t="s">
        <v>14</v>
      </c>
    </row>
    <row r="9" customFormat="false" ht="23.85" hidden="false" customHeight="false" outlineLevel="0" collapsed="false">
      <c r="A9" s="5" t="s">
        <v>15</v>
      </c>
      <c r="B9" s="5" t="s">
        <v>16</v>
      </c>
      <c r="C9" s="5" t="s">
        <v>17</v>
      </c>
    </row>
    <row r="10" customFormat="false" ht="23.85" hidden="false" customHeight="false" outlineLevel="0" collapsed="false">
      <c r="A10" s="5" t="s">
        <v>18</v>
      </c>
      <c r="B10" s="5" t="s">
        <v>19</v>
      </c>
      <c r="C10" s="5" t="s">
        <v>20</v>
      </c>
    </row>
    <row r="11" customFormat="false" ht="35.05" hidden="false" customHeight="false" outlineLevel="0" collapsed="false">
      <c r="A11" s="5" t="s">
        <v>21</v>
      </c>
      <c r="B11" s="5" t="s">
        <v>22</v>
      </c>
      <c r="C11" s="5" t="s">
        <v>23</v>
      </c>
    </row>
    <row r="12" customFormat="false" ht="15" hidden="false" customHeight="false" outlineLevel="0" collapsed="false">
      <c r="A12" s="5" t="s">
        <v>24</v>
      </c>
      <c r="B12" s="5" t="s">
        <v>25</v>
      </c>
      <c r="C12" s="5" t="s">
        <v>26</v>
      </c>
    </row>
    <row r="13" customFormat="false" ht="23.85" hidden="false" customHeight="false" outlineLevel="0" collapsed="false">
      <c r="A13" s="5" t="s">
        <v>27</v>
      </c>
      <c r="B13" s="5" t="s">
        <v>28</v>
      </c>
      <c r="C13" s="5" t="s">
        <v>29</v>
      </c>
    </row>
    <row r="15" customFormat="false" ht="15" hidden="false" customHeight="false" outlineLevel="0" collapsed="false">
      <c r="A15" s="3" t="s">
        <v>30</v>
      </c>
    </row>
    <row r="16" customFormat="false" ht="31.5" hidden="false" customHeight="true" outlineLevel="0" collapsed="false">
      <c r="A16" s="4" t="s">
        <v>3</v>
      </c>
      <c r="B16" s="4" t="s">
        <v>4</v>
      </c>
      <c r="C16" s="4" t="s">
        <v>31</v>
      </c>
    </row>
    <row r="17" customFormat="false" ht="35.05" hidden="false" customHeight="false" outlineLevel="0" collapsed="false">
      <c r="A17" s="5" t="s">
        <v>32</v>
      </c>
      <c r="B17" s="5" t="s">
        <v>33</v>
      </c>
      <c r="C17" s="5" t="s">
        <v>34</v>
      </c>
    </row>
    <row r="18" customFormat="false" ht="23.85" hidden="false" customHeight="false" outlineLevel="0" collapsed="false">
      <c r="A18" s="5" t="s">
        <v>35</v>
      </c>
      <c r="B18" s="5" t="s">
        <v>36</v>
      </c>
      <c r="C18" s="5" t="s">
        <v>37</v>
      </c>
    </row>
    <row r="19" customFormat="false" ht="23.85" hidden="false" customHeight="false" outlineLevel="0" collapsed="false">
      <c r="A19" s="5" t="s">
        <v>38</v>
      </c>
      <c r="B19" s="5" t="s">
        <v>39</v>
      </c>
      <c r="C19" s="5" t="s">
        <v>40</v>
      </c>
    </row>
    <row r="20" customFormat="false" ht="35.05" hidden="false" customHeight="false" outlineLevel="0" collapsed="false">
      <c r="A20" s="5" t="s">
        <v>41</v>
      </c>
      <c r="B20" s="5" t="s">
        <v>42</v>
      </c>
      <c r="C20" s="5" t="s">
        <v>43</v>
      </c>
    </row>
    <row r="22" customFormat="false" ht="15" hidden="false" customHeight="false" outlineLevel="0" collapsed="false">
      <c r="A22" s="3" t="s">
        <v>44</v>
      </c>
    </row>
    <row r="23" customFormat="false" ht="31.5" hidden="false" customHeight="true" outlineLevel="0" collapsed="false">
      <c r="A23" s="4" t="s">
        <v>45</v>
      </c>
      <c r="B23" s="4" t="s">
        <v>46</v>
      </c>
      <c r="C23" s="4" t="s">
        <v>47</v>
      </c>
    </row>
    <row r="24" customFormat="false" ht="35.05" hidden="false" customHeight="false" outlineLevel="0" collapsed="false">
      <c r="A24" s="6" t="s">
        <v>48</v>
      </c>
      <c r="B24" s="6" t="s">
        <v>49</v>
      </c>
      <c r="C24" s="6" t="s">
        <v>50</v>
      </c>
    </row>
    <row r="25" customFormat="false" ht="35.05" hidden="false" customHeight="false" outlineLevel="0" collapsed="false">
      <c r="A25" s="6" t="s">
        <v>51</v>
      </c>
      <c r="B25" s="6" t="s">
        <v>52</v>
      </c>
      <c r="C25" s="6" t="s">
        <v>53</v>
      </c>
    </row>
    <row r="26" customFormat="false" ht="23.85" hidden="false" customHeight="false" outlineLevel="0" collapsed="false">
      <c r="A26" s="7" t="s">
        <v>54</v>
      </c>
      <c r="B26" s="7" t="s">
        <v>55</v>
      </c>
      <c r="C26" s="7" t="s">
        <v>56</v>
      </c>
    </row>
    <row r="27" customFormat="false" ht="15" hidden="false" customHeight="false" outlineLevel="0" collapsed="false">
      <c r="A27" s="7" t="s">
        <v>57</v>
      </c>
      <c r="B27" s="7" t="s">
        <v>58</v>
      </c>
      <c r="C27" s="7" t="s">
        <v>59</v>
      </c>
    </row>
    <row r="28" customFormat="false" ht="23.85" hidden="false" customHeight="false" outlineLevel="0" collapsed="false">
      <c r="A28" s="8" t="s">
        <v>60</v>
      </c>
      <c r="B28" s="8" t="s">
        <v>61</v>
      </c>
      <c r="C28" s="8" t="s">
        <v>62</v>
      </c>
    </row>
    <row r="30" customFormat="false" ht="15" hidden="false" customHeight="false" outlineLevel="0" collapsed="false">
      <c r="A30" s="9" t="s">
        <v>63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30"/>
    <col collapsed="false" customWidth="true" hidden="false" outlineLevel="0" max="4" min="4" style="0" width="16"/>
    <col collapsed="false" customWidth="true" hidden="false" outlineLevel="0" max="5" min="5" style="0" width="48"/>
    <col collapsed="false" customWidth="true" hidden="false" outlineLevel="0" max="6" min="6" style="0" width="36"/>
    <col collapsed="false" customWidth="true" hidden="false" outlineLevel="0" max="7" min="7" style="0" width="44"/>
    <col collapsed="false" customWidth="true" hidden="false" outlineLevel="0" max="8" min="8" style="0" width="56"/>
    <col collapsed="false" customWidth="true" hidden="false" outlineLevel="0" max="9" min="9" style="0" width="10"/>
    <col collapsed="false" customWidth="true" hidden="false" outlineLevel="0" max="10" min="10" style="0" width="22"/>
    <col collapsed="false" customWidth="true" hidden="false" outlineLevel="0" max="12" min="11" style="0" width="40"/>
    <col collapsed="false" customWidth="true" hidden="false" outlineLevel="0" max="13" min="13" style="0" width="8"/>
    <col collapsed="false" customWidth="true" hidden="false" outlineLevel="0" max="14" min="14" style="0" width="40"/>
  </cols>
  <sheetData>
    <row r="1" customFormat="false" ht="31.5" hidden="false" customHeight="true" outlineLevel="0" collapsed="false">
      <c r="A1" s="4" t="s">
        <v>64</v>
      </c>
      <c r="B1" s="4" t="s">
        <v>65</v>
      </c>
      <c r="C1" s="4" t="s">
        <v>66</v>
      </c>
      <c r="D1" s="4" t="s">
        <v>67</v>
      </c>
      <c r="E1" s="4" t="s">
        <v>68</v>
      </c>
      <c r="F1" s="4" t="s">
        <v>69</v>
      </c>
      <c r="G1" s="4" t="s">
        <v>70</v>
      </c>
      <c r="H1" s="4" t="s">
        <v>71</v>
      </c>
      <c r="I1" s="4" t="s">
        <v>72</v>
      </c>
      <c r="J1" s="4" t="s">
        <v>73</v>
      </c>
      <c r="K1" s="4" t="s">
        <v>74</v>
      </c>
      <c r="L1" s="4" t="s">
        <v>75</v>
      </c>
      <c r="M1" s="4" t="s">
        <v>76</v>
      </c>
      <c r="N1" s="4" t="s">
        <v>77</v>
      </c>
    </row>
    <row r="2" customFormat="false" ht="79.85" hidden="false" customHeight="false" outlineLevel="0" collapsed="false">
      <c r="A2" s="6" t="s">
        <v>78</v>
      </c>
      <c r="B2" s="6" t="s">
        <v>79</v>
      </c>
      <c r="C2" s="6" t="s">
        <v>80</v>
      </c>
      <c r="D2" s="6" t="s">
        <v>81</v>
      </c>
      <c r="E2" s="6" t="s">
        <v>82</v>
      </c>
      <c r="F2" s="6" t="s">
        <v>83</v>
      </c>
      <c r="G2" s="6" t="s">
        <v>84</v>
      </c>
      <c r="H2" s="6" t="s">
        <v>85</v>
      </c>
      <c r="I2" s="10" t="n">
        <v>5</v>
      </c>
      <c r="J2" s="6" t="s">
        <v>86</v>
      </c>
      <c r="K2" s="6" t="s">
        <v>87</v>
      </c>
      <c r="L2" s="6" t="s">
        <v>88</v>
      </c>
      <c r="M2" s="6" t="s">
        <v>89</v>
      </c>
      <c r="N2" s="6" t="s">
        <v>90</v>
      </c>
    </row>
    <row r="3" customFormat="false" ht="79.85" hidden="false" customHeight="false" outlineLevel="0" collapsed="false">
      <c r="A3" s="7" t="s">
        <v>91</v>
      </c>
      <c r="B3" s="7" t="s">
        <v>92</v>
      </c>
      <c r="C3" s="7" t="s">
        <v>93</v>
      </c>
      <c r="D3" s="7" t="s">
        <v>94</v>
      </c>
      <c r="E3" s="7" t="s">
        <v>95</v>
      </c>
      <c r="F3" s="7" t="s">
        <v>96</v>
      </c>
      <c r="G3" s="7" t="s">
        <v>97</v>
      </c>
      <c r="H3" s="7" t="s">
        <v>98</v>
      </c>
      <c r="I3" s="11" t="n">
        <v>5</v>
      </c>
      <c r="J3" s="7" t="s">
        <v>99</v>
      </c>
      <c r="K3" s="7" t="s">
        <v>100</v>
      </c>
      <c r="L3" s="7" t="s">
        <v>101</v>
      </c>
      <c r="M3" s="7" t="s">
        <v>102</v>
      </c>
      <c r="N3" s="7" t="s">
        <v>103</v>
      </c>
    </row>
    <row r="4" customFormat="false" ht="68.65" hidden="false" customHeight="false" outlineLevel="0" collapsed="false">
      <c r="A4" s="7" t="s">
        <v>104</v>
      </c>
      <c r="B4" s="7" t="s">
        <v>105</v>
      </c>
      <c r="C4" s="7" t="s">
        <v>106</v>
      </c>
      <c r="D4" s="7" t="s">
        <v>107</v>
      </c>
      <c r="E4" s="7" t="s">
        <v>108</v>
      </c>
      <c r="F4" s="7" t="s">
        <v>109</v>
      </c>
      <c r="G4" s="7" t="s">
        <v>110</v>
      </c>
      <c r="H4" s="7" t="s">
        <v>111</v>
      </c>
      <c r="I4" s="11" t="n">
        <v>4</v>
      </c>
      <c r="J4" s="7" t="s">
        <v>112</v>
      </c>
      <c r="K4" s="7" t="s">
        <v>113</v>
      </c>
      <c r="L4" s="7" t="s">
        <v>114</v>
      </c>
      <c r="M4" s="7" t="s">
        <v>102</v>
      </c>
      <c r="N4" s="7" t="s">
        <v>115</v>
      </c>
    </row>
    <row r="5" customFormat="false" ht="68.65" hidden="false" customHeight="false" outlineLevel="0" collapsed="false">
      <c r="A5" s="8" t="s">
        <v>116</v>
      </c>
      <c r="B5" s="8" t="s">
        <v>117</v>
      </c>
      <c r="C5" s="8" t="s">
        <v>118</v>
      </c>
      <c r="D5" s="8" t="s">
        <v>94</v>
      </c>
      <c r="E5" s="8" t="s">
        <v>119</v>
      </c>
      <c r="F5" s="8" t="s">
        <v>120</v>
      </c>
      <c r="G5" s="8" t="s">
        <v>121</v>
      </c>
      <c r="H5" s="8" t="s">
        <v>122</v>
      </c>
      <c r="I5" s="12" t="n">
        <v>4</v>
      </c>
      <c r="J5" s="8" t="s">
        <v>123</v>
      </c>
      <c r="K5" s="8" t="s">
        <v>124</v>
      </c>
      <c r="L5" s="8" t="s">
        <v>125</v>
      </c>
      <c r="M5" s="8" t="s">
        <v>102</v>
      </c>
      <c r="N5" s="8" t="s">
        <v>126</v>
      </c>
    </row>
    <row r="6" customFormat="false" ht="79.85" hidden="false" customHeight="false" outlineLevel="0" collapsed="false">
      <c r="A6" s="6" t="s">
        <v>127</v>
      </c>
      <c r="B6" s="6" t="s">
        <v>128</v>
      </c>
      <c r="C6" s="6" t="s">
        <v>129</v>
      </c>
      <c r="D6" s="6" t="s">
        <v>130</v>
      </c>
      <c r="E6" s="6" t="s">
        <v>131</v>
      </c>
      <c r="F6" s="6" t="s">
        <v>132</v>
      </c>
      <c r="G6" s="6" t="s">
        <v>133</v>
      </c>
      <c r="H6" s="6" t="s">
        <v>134</v>
      </c>
      <c r="I6" s="10" t="n">
        <v>5</v>
      </c>
      <c r="J6" s="6" t="s">
        <v>135</v>
      </c>
      <c r="K6" s="6" t="s">
        <v>136</v>
      </c>
      <c r="L6" s="6" t="s">
        <v>137</v>
      </c>
      <c r="M6" s="6" t="s">
        <v>138</v>
      </c>
      <c r="N6" s="6" t="s">
        <v>139</v>
      </c>
    </row>
    <row r="7" customFormat="false" ht="68.65" hidden="false" customHeight="false" outlineLevel="0" collapsed="false">
      <c r="A7" s="8" t="s">
        <v>140</v>
      </c>
      <c r="B7" s="8" t="s">
        <v>141</v>
      </c>
      <c r="C7" s="8" t="s">
        <v>142</v>
      </c>
      <c r="D7" s="8" t="s">
        <v>143</v>
      </c>
      <c r="E7" s="8" t="s">
        <v>144</v>
      </c>
      <c r="F7" s="8" t="s">
        <v>145</v>
      </c>
      <c r="G7" s="8" t="s">
        <v>146</v>
      </c>
      <c r="H7" s="8" t="s">
        <v>147</v>
      </c>
      <c r="I7" s="12" t="n">
        <v>4</v>
      </c>
      <c r="J7" s="8" t="s">
        <v>148</v>
      </c>
      <c r="K7" s="8" t="s">
        <v>149</v>
      </c>
      <c r="L7" s="8" t="s">
        <v>150</v>
      </c>
      <c r="M7" s="8" t="s">
        <v>102</v>
      </c>
      <c r="N7" s="8" t="s">
        <v>151</v>
      </c>
    </row>
    <row r="8" customFormat="false" ht="57.45" hidden="false" customHeight="false" outlineLevel="0" collapsed="false">
      <c r="A8" s="8" t="s">
        <v>152</v>
      </c>
      <c r="B8" s="8" t="s">
        <v>153</v>
      </c>
      <c r="C8" s="8" t="s">
        <v>154</v>
      </c>
      <c r="D8" s="8" t="s">
        <v>155</v>
      </c>
      <c r="E8" s="8" t="s">
        <v>156</v>
      </c>
      <c r="F8" s="8" t="s">
        <v>157</v>
      </c>
      <c r="G8" s="8" t="s">
        <v>158</v>
      </c>
      <c r="H8" s="8" t="s">
        <v>159</v>
      </c>
      <c r="I8" s="12" t="n">
        <v>4</v>
      </c>
      <c r="J8" s="8" t="s">
        <v>160</v>
      </c>
      <c r="K8" s="8" t="s">
        <v>161</v>
      </c>
      <c r="L8" s="8" t="s">
        <v>162</v>
      </c>
      <c r="M8" s="8" t="s">
        <v>102</v>
      </c>
      <c r="N8" s="8" t="s">
        <v>163</v>
      </c>
    </row>
    <row r="9" customFormat="false" ht="57.45" hidden="false" customHeight="false" outlineLevel="0" collapsed="false">
      <c r="A9" s="8" t="s">
        <v>164</v>
      </c>
      <c r="B9" s="8" t="s">
        <v>165</v>
      </c>
      <c r="C9" s="8" t="s">
        <v>166</v>
      </c>
      <c r="D9" s="8" t="s">
        <v>167</v>
      </c>
      <c r="E9" s="8" t="s">
        <v>168</v>
      </c>
      <c r="F9" s="8" t="s">
        <v>169</v>
      </c>
      <c r="G9" s="8" t="s">
        <v>170</v>
      </c>
      <c r="H9" s="8" t="s">
        <v>171</v>
      </c>
      <c r="I9" s="12" t="n">
        <v>3</v>
      </c>
      <c r="J9" s="8" t="s">
        <v>172</v>
      </c>
      <c r="K9" s="8" t="s">
        <v>173</v>
      </c>
      <c r="L9" s="8" t="s">
        <v>174</v>
      </c>
      <c r="M9" s="8" t="s">
        <v>175</v>
      </c>
      <c r="N9" s="8" t="s">
        <v>176</v>
      </c>
    </row>
    <row r="10" customFormat="false" ht="46.25" hidden="false" customHeight="false" outlineLevel="0" collapsed="false">
      <c r="A10" s="8" t="s">
        <v>177</v>
      </c>
      <c r="B10" s="8" t="s">
        <v>178</v>
      </c>
      <c r="C10" s="8" t="s">
        <v>179</v>
      </c>
      <c r="D10" s="8" t="s">
        <v>180</v>
      </c>
      <c r="E10" s="8" t="s">
        <v>181</v>
      </c>
      <c r="F10" s="8" t="s">
        <v>182</v>
      </c>
      <c r="G10" s="8" t="s">
        <v>183</v>
      </c>
      <c r="H10" s="8" t="s">
        <v>184</v>
      </c>
      <c r="I10" s="12" t="n">
        <v>2</v>
      </c>
      <c r="J10" s="8" t="s">
        <v>185</v>
      </c>
      <c r="K10" s="8" t="s">
        <v>186</v>
      </c>
      <c r="L10" s="8" t="s">
        <v>187</v>
      </c>
      <c r="M10" s="8" t="s">
        <v>175</v>
      </c>
      <c r="N10" s="8" t="s">
        <v>188</v>
      </c>
    </row>
    <row r="11" customFormat="false" ht="46.25" hidden="false" customHeight="false" outlineLevel="0" collapsed="false">
      <c r="A11" s="8" t="s">
        <v>189</v>
      </c>
      <c r="B11" s="8" t="s">
        <v>190</v>
      </c>
      <c r="C11" s="8" t="s">
        <v>191</v>
      </c>
      <c r="D11" s="8" t="s">
        <v>192</v>
      </c>
      <c r="E11" s="8" t="s">
        <v>193</v>
      </c>
      <c r="F11" s="8" t="s">
        <v>194</v>
      </c>
      <c r="G11" s="8" t="s">
        <v>195</v>
      </c>
      <c r="H11" s="8" t="s">
        <v>196</v>
      </c>
      <c r="I11" s="12" t="n">
        <v>3</v>
      </c>
      <c r="J11" s="8" t="s">
        <v>197</v>
      </c>
      <c r="K11" s="8" t="s">
        <v>198</v>
      </c>
      <c r="L11" s="8" t="s">
        <v>199</v>
      </c>
      <c r="M11" s="8" t="s">
        <v>175</v>
      </c>
      <c r="N11" s="8" t="s">
        <v>200</v>
      </c>
    </row>
  </sheetData>
  <autoFilter ref="A1:N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32"/>
    <col collapsed="false" customWidth="true" hidden="false" outlineLevel="0" max="4" min="4" style="0" width="70"/>
    <col collapsed="false" customWidth="true" hidden="false" outlineLevel="0" max="5" min="5" style="0" width="60"/>
    <col collapsed="false" customWidth="true" hidden="false" outlineLevel="0" max="6" min="6" style="0" width="48"/>
    <col collapsed="false" customWidth="true" hidden="false" outlineLevel="0" max="7" min="7" style="0" width="7"/>
  </cols>
  <sheetData>
    <row r="1" customFormat="false" ht="31.5" hidden="false" customHeight="true" outlineLevel="0" collapsed="false">
      <c r="A1" s="4" t="s">
        <v>64</v>
      </c>
      <c r="B1" s="4" t="s">
        <v>3</v>
      </c>
      <c r="C1" s="4" t="s">
        <v>201</v>
      </c>
      <c r="D1" s="4" t="s">
        <v>202</v>
      </c>
      <c r="E1" s="4" t="s">
        <v>203</v>
      </c>
      <c r="F1" s="4" t="s">
        <v>204</v>
      </c>
      <c r="G1" s="4" t="s">
        <v>205</v>
      </c>
    </row>
    <row r="2" customFormat="false" ht="35.05" hidden="false" customHeight="false" outlineLevel="0" collapsed="false">
      <c r="A2" s="6" t="s">
        <v>78</v>
      </c>
      <c r="B2" s="6" t="s">
        <v>206</v>
      </c>
      <c r="C2" s="6" t="s">
        <v>207</v>
      </c>
      <c r="D2" s="6" t="s">
        <v>208</v>
      </c>
      <c r="E2" s="6" t="s">
        <v>209</v>
      </c>
      <c r="F2" s="6" t="s">
        <v>210</v>
      </c>
      <c r="G2" s="6" t="s">
        <v>211</v>
      </c>
    </row>
    <row r="3" customFormat="false" ht="23.85" hidden="false" customHeight="false" outlineLevel="0" collapsed="false">
      <c r="A3" s="6" t="s">
        <v>78</v>
      </c>
      <c r="B3" s="6" t="s">
        <v>212</v>
      </c>
      <c r="C3" s="6" t="s">
        <v>213</v>
      </c>
      <c r="D3" s="6" t="s">
        <v>214</v>
      </c>
      <c r="E3" s="6" t="s">
        <v>215</v>
      </c>
      <c r="F3" s="6" t="s">
        <v>216</v>
      </c>
      <c r="G3" s="6" t="s">
        <v>217</v>
      </c>
    </row>
    <row r="4" customFormat="false" ht="35.05" hidden="false" customHeight="false" outlineLevel="0" collapsed="false">
      <c r="A4" s="6" t="s">
        <v>78</v>
      </c>
      <c r="B4" s="6" t="s">
        <v>218</v>
      </c>
      <c r="C4" s="6" t="s">
        <v>219</v>
      </c>
      <c r="D4" s="6" t="s">
        <v>220</v>
      </c>
      <c r="E4" s="6" t="s">
        <v>221</v>
      </c>
      <c r="F4" s="6" t="s">
        <v>222</v>
      </c>
      <c r="G4" s="6" t="s">
        <v>217</v>
      </c>
    </row>
    <row r="5" customFormat="false" ht="35.05" hidden="false" customHeight="false" outlineLevel="0" collapsed="false">
      <c r="A5" s="6" t="s">
        <v>78</v>
      </c>
      <c r="B5" s="6" t="s">
        <v>223</v>
      </c>
      <c r="C5" s="6" t="s">
        <v>224</v>
      </c>
      <c r="D5" s="6" t="s">
        <v>225</v>
      </c>
      <c r="E5" s="6" t="s">
        <v>226</v>
      </c>
      <c r="F5" s="6" t="s">
        <v>227</v>
      </c>
      <c r="G5" s="6" t="s">
        <v>228</v>
      </c>
    </row>
    <row r="6" customFormat="false" ht="46.25" hidden="false" customHeight="false" outlineLevel="0" collapsed="false">
      <c r="A6" s="6" t="s">
        <v>78</v>
      </c>
      <c r="B6" s="6" t="s">
        <v>229</v>
      </c>
      <c r="C6" s="6" t="s">
        <v>230</v>
      </c>
      <c r="D6" s="6" t="s">
        <v>231</v>
      </c>
      <c r="E6" s="6" t="s">
        <v>232</v>
      </c>
      <c r="F6" s="6" t="s">
        <v>233</v>
      </c>
      <c r="G6" s="6" t="s">
        <v>234</v>
      </c>
    </row>
    <row r="7" customFormat="false" ht="35.05" hidden="false" customHeight="false" outlineLevel="0" collapsed="false">
      <c r="A7" s="6" t="s">
        <v>78</v>
      </c>
      <c r="B7" s="6" t="s">
        <v>235</v>
      </c>
      <c r="C7" s="6" t="s">
        <v>236</v>
      </c>
      <c r="D7" s="6" t="s">
        <v>237</v>
      </c>
      <c r="E7" s="6" t="s">
        <v>238</v>
      </c>
      <c r="F7" s="6" t="s">
        <v>239</v>
      </c>
      <c r="G7" s="6" t="s">
        <v>228</v>
      </c>
    </row>
    <row r="8" customFormat="false" ht="46.25" hidden="false" customHeight="false" outlineLevel="0" collapsed="false">
      <c r="A8" s="6" t="s">
        <v>78</v>
      </c>
      <c r="B8" s="6" t="s">
        <v>240</v>
      </c>
      <c r="C8" s="6" t="s">
        <v>241</v>
      </c>
      <c r="D8" s="6" t="s">
        <v>242</v>
      </c>
      <c r="E8" s="6" t="s">
        <v>243</v>
      </c>
      <c r="F8" s="6" t="s">
        <v>244</v>
      </c>
      <c r="G8" s="6" t="s">
        <v>228</v>
      </c>
    </row>
    <row r="9" customFormat="false" ht="23.85" hidden="false" customHeight="false" outlineLevel="0" collapsed="false">
      <c r="A9" s="6" t="s">
        <v>78</v>
      </c>
      <c r="B9" s="6" t="s">
        <v>245</v>
      </c>
      <c r="C9" s="6" t="s">
        <v>246</v>
      </c>
      <c r="D9" s="6" t="s">
        <v>247</v>
      </c>
      <c r="E9" s="6" t="s">
        <v>248</v>
      </c>
      <c r="F9" s="6" t="s">
        <v>249</v>
      </c>
      <c r="G9" s="6" t="s">
        <v>250</v>
      </c>
    </row>
    <row r="10" customFormat="false" ht="35.05" hidden="false" customHeight="false" outlineLevel="0" collapsed="false">
      <c r="A10" s="6" t="s">
        <v>78</v>
      </c>
      <c r="B10" s="6" t="s">
        <v>251</v>
      </c>
      <c r="C10" s="6" t="s">
        <v>252</v>
      </c>
      <c r="D10" s="6" t="s">
        <v>253</v>
      </c>
      <c r="E10" s="6"/>
      <c r="F10" s="6" t="s">
        <v>254</v>
      </c>
      <c r="G10" s="6" t="s">
        <v>211</v>
      </c>
    </row>
    <row r="11" customFormat="false" ht="35.05" hidden="false" customHeight="false" outlineLevel="0" collapsed="false">
      <c r="A11" s="6" t="s">
        <v>78</v>
      </c>
      <c r="B11" s="6" t="s">
        <v>255</v>
      </c>
      <c r="C11" s="6" t="s">
        <v>256</v>
      </c>
      <c r="D11" s="6" t="s">
        <v>257</v>
      </c>
      <c r="E11" s="6"/>
      <c r="F11" s="6"/>
      <c r="G11" s="6" t="s">
        <v>211</v>
      </c>
    </row>
    <row r="12" customFormat="false" ht="15" hidden="false" customHeight="false" outlineLevel="0" collapsed="false">
      <c r="A12" s="7" t="s">
        <v>91</v>
      </c>
      <c r="B12" s="7" t="s">
        <v>206</v>
      </c>
      <c r="C12" s="7" t="s">
        <v>207</v>
      </c>
      <c r="D12" s="7" t="s">
        <v>258</v>
      </c>
      <c r="E12" s="7" t="s">
        <v>259</v>
      </c>
      <c r="F12" s="7" t="s">
        <v>260</v>
      </c>
      <c r="G12" s="7" t="s">
        <v>211</v>
      </c>
    </row>
    <row r="13" customFormat="false" ht="35.05" hidden="false" customHeight="false" outlineLevel="0" collapsed="false">
      <c r="A13" s="7" t="s">
        <v>91</v>
      </c>
      <c r="B13" s="7" t="s">
        <v>212</v>
      </c>
      <c r="C13" s="7" t="s">
        <v>213</v>
      </c>
      <c r="D13" s="7" t="s">
        <v>261</v>
      </c>
      <c r="E13" s="7" t="s">
        <v>262</v>
      </c>
      <c r="F13" s="7"/>
      <c r="G13" s="7" t="s">
        <v>217</v>
      </c>
    </row>
    <row r="14" customFormat="false" ht="68.65" hidden="false" customHeight="false" outlineLevel="0" collapsed="false">
      <c r="A14" s="7" t="s">
        <v>91</v>
      </c>
      <c r="B14" s="7" t="s">
        <v>218</v>
      </c>
      <c r="C14" s="7" t="s">
        <v>263</v>
      </c>
      <c r="D14" s="7" t="s">
        <v>264</v>
      </c>
      <c r="E14" s="7" t="s">
        <v>265</v>
      </c>
      <c r="F14" s="7" t="s">
        <v>266</v>
      </c>
      <c r="G14" s="7" t="s">
        <v>267</v>
      </c>
    </row>
    <row r="15" customFormat="false" ht="57.45" hidden="false" customHeight="false" outlineLevel="0" collapsed="false">
      <c r="A15" s="7" t="s">
        <v>91</v>
      </c>
      <c r="B15" s="7" t="s">
        <v>223</v>
      </c>
      <c r="C15" s="7" t="s">
        <v>268</v>
      </c>
      <c r="D15" s="7" t="s">
        <v>269</v>
      </c>
      <c r="E15" s="7" t="s">
        <v>270</v>
      </c>
      <c r="F15" s="7" t="s">
        <v>271</v>
      </c>
      <c r="G15" s="7" t="s">
        <v>234</v>
      </c>
    </row>
    <row r="16" customFormat="false" ht="35.05" hidden="false" customHeight="false" outlineLevel="0" collapsed="false">
      <c r="A16" s="7" t="s">
        <v>91</v>
      </c>
      <c r="B16" s="7" t="s">
        <v>229</v>
      </c>
      <c r="C16" s="7" t="s">
        <v>272</v>
      </c>
      <c r="D16" s="7" t="s">
        <v>273</v>
      </c>
      <c r="E16" s="7" t="s">
        <v>274</v>
      </c>
      <c r="F16" s="7" t="s">
        <v>275</v>
      </c>
      <c r="G16" s="7" t="s">
        <v>228</v>
      </c>
    </row>
    <row r="17" customFormat="false" ht="23.85" hidden="false" customHeight="false" outlineLevel="0" collapsed="false">
      <c r="A17" s="7" t="s">
        <v>91</v>
      </c>
      <c r="B17" s="7" t="s">
        <v>235</v>
      </c>
      <c r="C17" s="7" t="s">
        <v>276</v>
      </c>
      <c r="D17" s="7" t="s">
        <v>277</v>
      </c>
      <c r="E17" s="7"/>
      <c r="F17" s="7"/>
      <c r="G17" s="7" t="s">
        <v>217</v>
      </c>
    </row>
    <row r="18" customFormat="false" ht="23.85" hidden="false" customHeight="false" outlineLevel="0" collapsed="false">
      <c r="A18" s="7" t="s">
        <v>91</v>
      </c>
      <c r="B18" s="7" t="s">
        <v>240</v>
      </c>
      <c r="C18" s="7" t="s">
        <v>252</v>
      </c>
      <c r="D18" s="7" t="s">
        <v>278</v>
      </c>
      <c r="E18" s="7"/>
      <c r="F18" s="7" t="s">
        <v>279</v>
      </c>
      <c r="G18" s="7" t="s">
        <v>211</v>
      </c>
    </row>
    <row r="19" customFormat="false" ht="15" hidden="false" customHeight="false" outlineLevel="0" collapsed="false">
      <c r="A19" s="7" t="s">
        <v>104</v>
      </c>
      <c r="B19" s="7" t="s">
        <v>206</v>
      </c>
      <c r="C19" s="7" t="s">
        <v>207</v>
      </c>
      <c r="D19" s="7" t="s">
        <v>280</v>
      </c>
      <c r="E19" s="7" t="s">
        <v>281</v>
      </c>
      <c r="F19" s="7" t="s">
        <v>282</v>
      </c>
      <c r="G19" s="7" t="s">
        <v>211</v>
      </c>
    </row>
    <row r="20" customFormat="false" ht="23.85" hidden="false" customHeight="false" outlineLevel="0" collapsed="false">
      <c r="A20" s="7" t="s">
        <v>104</v>
      </c>
      <c r="B20" s="7" t="s">
        <v>212</v>
      </c>
      <c r="C20" s="7" t="s">
        <v>213</v>
      </c>
      <c r="D20" s="7" t="s">
        <v>283</v>
      </c>
      <c r="E20" s="7"/>
      <c r="F20" s="7"/>
      <c r="G20" s="7" t="s">
        <v>217</v>
      </c>
    </row>
    <row r="21" customFormat="false" ht="46.25" hidden="false" customHeight="false" outlineLevel="0" collapsed="false">
      <c r="A21" s="7" t="s">
        <v>104</v>
      </c>
      <c r="B21" s="7" t="s">
        <v>218</v>
      </c>
      <c r="C21" s="7" t="s">
        <v>284</v>
      </c>
      <c r="D21" s="7" t="s">
        <v>285</v>
      </c>
      <c r="E21" s="7"/>
      <c r="F21" s="7" t="s">
        <v>286</v>
      </c>
      <c r="G21" s="7" t="s">
        <v>234</v>
      </c>
    </row>
    <row r="22" customFormat="false" ht="23.85" hidden="false" customHeight="false" outlineLevel="0" collapsed="false">
      <c r="A22" s="7" t="s">
        <v>104</v>
      </c>
      <c r="B22" s="7" t="s">
        <v>223</v>
      </c>
      <c r="C22" s="7" t="s">
        <v>287</v>
      </c>
      <c r="D22" s="7" t="s">
        <v>288</v>
      </c>
      <c r="E22" s="7"/>
      <c r="F22" s="7" t="s">
        <v>289</v>
      </c>
      <c r="G22" s="7" t="s">
        <v>228</v>
      </c>
    </row>
    <row r="23" customFormat="false" ht="35.05" hidden="false" customHeight="false" outlineLevel="0" collapsed="false">
      <c r="A23" s="7" t="s">
        <v>104</v>
      </c>
      <c r="B23" s="7" t="s">
        <v>229</v>
      </c>
      <c r="C23" s="7" t="s">
        <v>290</v>
      </c>
      <c r="D23" s="7" t="s">
        <v>291</v>
      </c>
      <c r="E23" s="7"/>
      <c r="F23" s="7" t="s">
        <v>292</v>
      </c>
      <c r="G23" s="7" t="s">
        <v>228</v>
      </c>
    </row>
    <row r="24" customFormat="false" ht="35.05" hidden="false" customHeight="false" outlineLevel="0" collapsed="false">
      <c r="A24" s="7" t="s">
        <v>104</v>
      </c>
      <c r="B24" s="7" t="s">
        <v>235</v>
      </c>
      <c r="C24" s="7" t="s">
        <v>293</v>
      </c>
      <c r="D24" s="7" t="s">
        <v>294</v>
      </c>
      <c r="E24" s="7"/>
      <c r="F24" s="7" t="s">
        <v>295</v>
      </c>
      <c r="G24" s="7" t="s">
        <v>228</v>
      </c>
    </row>
    <row r="25" customFormat="false" ht="23.85" hidden="false" customHeight="false" outlineLevel="0" collapsed="false">
      <c r="A25" s="7" t="s">
        <v>104</v>
      </c>
      <c r="B25" s="7" t="s">
        <v>240</v>
      </c>
      <c r="C25" s="7" t="s">
        <v>296</v>
      </c>
      <c r="D25" s="7" t="s">
        <v>297</v>
      </c>
      <c r="E25" s="7"/>
      <c r="F25" s="7" t="s">
        <v>298</v>
      </c>
      <c r="G25" s="7" t="s">
        <v>250</v>
      </c>
    </row>
    <row r="26" customFormat="false" ht="23.85" hidden="false" customHeight="false" outlineLevel="0" collapsed="false">
      <c r="A26" s="7" t="s">
        <v>104</v>
      </c>
      <c r="B26" s="7" t="s">
        <v>245</v>
      </c>
      <c r="C26" s="7" t="s">
        <v>299</v>
      </c>
      <c r="D26" s="7" t="s">
        <v>300</v>
      </c>
      <c r="E26" s="7"/>
      <c r="F26" s="7"/>
      <c r="G26" s="7" t="s">
        <v>250</v>
      </c>
    </row>
    <row r="27" customFormat="false" ht="15" hidden="false" customHeight="false" outlineLevel="0" collapsed="false">
      <c r="A27" s="5" t="s">
        <v>116</v>
      </c>
      <c r="B27" s="5" t="s">
        <v>206</v>
      </c>
      <c r="C27" s="5" t="s">
        <v>207</v>
      </c>
      <c r="D27" s="5" t="s">
        <v>301</v>
      </c>
      <c r="E27" s="5"/>
      <c r="F27" s="5" t="s">
        <v>302</v>
      </c>
      <c r="G27" s="5" t="s">
        <v>211</v>
      </c>
    </row>
    <row r="28" customFormat="false" ht="15" hidden="false" customHeight="false" outlineLevel="0" collapsed="false">
      <c r="A28" s="5" t="s">
        <v>116</v>
      </c>
      <c r="B28" s="5" t="s">
        <v>212</v>
      </c>
      <c r="C28" s="5" t="s">
        <v>213</v>
      </c>
      <c r="D28" s="5" t="s">
        <v>303</v>
      </c>
      <c r="E28" s="5"/>
      <c r="F28" s="5"/>
      <c r="G28" s="5" t="s">
        <v>217</v>
      </c>
    </row>
    <row r="29" customFormat="false" ht="23.85" hidden="false" customHeight="false" outlineLevel="0" collapsed="false">
      <c r="A29" s="5" t="s">
        <v>116</v>
      </c>
      <c r="B29" s="5" t="s">
        <v>218</v>
      </c>
      <c r="C29" s="5" t="s">
        <v>304</v>
      </c>
      <c r="D29" s="5" t="s">
        <v>305</v>
      </c>
      <c r="E29" s="5"/>
      <c r="F29" s="5" t="s">
        <v>302</v>
      </c>
      <c r="G29" s="5" t="s">
        <v>228</v>
      </c>
    </row>
    <row r="30" customFormat="false" ht="23.85" hidden="false" customHeight="false" outlineLevel="0" collapsed="false">
      <c r="A30" s="5" t="s">
        <v>116</v>
      </c>
      <c r="B30" s="5" t="s">
        <v>223</v>
      </c>
      <c r="C30" s="5" t="s">
        <v>306</v>
      </c>
      <c r="D30" s="5" t="s">
        <v>307</v>
      </c>
      <c r="E30" s="5"/>
      <c r="F30" s="5" t="s">
        <v>308</v>
      </c>
      <c r="G30" s="5" t="s">
        <v>234</v>
      </c>
    </row>
    <row r="31" customFormat="false" ht="23.85" hidden="false" customHeight="false" outlineLevel="0" collapsed="false">
      <c r="A31" s="5" t="s">
        <v>116</v>
      </c>
      <c r="B31" s="5" t="s">
        <v>229</v>
      </c>
      <c r="C31" s="5" t="s">
        <v>309</v>
      </c>
      <c r="D31" s="5" t="s">
        <v>310</v>
      </c>
      <c r="E31" s="5"/>
      <c r="F31" s="5" t="s">
        <v>311</v>
      </c>
      <c r="G31" s="5" t="s">
        <v>312</v>
      </c>
    </row>
    <row r="32" customFormat="false" ht="23.85" hidden="false" customHeight="false" outlineLevel="0" collapsed="false">
      <c r="A32" s="5" t="s">
        <v>116</v>
      </c>
      <c r="B32" s="5" t="s">
        <v>235</v>
      </c>
      <c r="C32" s="5" t="s">
        <v>313</v>
      </c>
      <c r="D32" s="5" t="s">
        <v>314</v>
      </c>
      <c r="E32" s="5"/>
      <c r="F32" s="5" t="s">
        <v>315</v>
      </c>
      <c r="G32" s="5" t="s">
        <v>217</v>
      </c>
    </row>
    <row r="33" customFormat="false" ht="15" hidden="false" customHeight="false" outlineLevel="0" collapsed="false">
      <c r="A33" s="5" t="s">
        <v>116</v>
      </c>
      <c r="B33" s="5" t="s">
        <v>240</v>
      </c>
      <c r="C33" s="5" t="s">
        <v>299</v>
      </c>
      <c r="D33" s="5" t="s">
        <v>316</v>
      </c>
      <c r="E33" s="5"/>
      <c r="F33" s="5"/>
      <c r="G33" s="5" t="s">
        <v>250</v>
      </c>
    </row>
    <row r="34" customFormat="false" ht="23.85" hidden="false" customHeight="false" outlineLevel="0" collapsed="false">
      <c r="A34" s="6" t="s">
        <v>127</v>
      </c>
      <c r="B34" s="6" t="s">
        <v>206</v>
      </c>
      <c r="C34" s="6" t="s">
        <v>207</v>
      </c>
      <c r="D34" s="6" t="s">
        <v>317</v>
      </c>
      <c r="E34" s="6"/>
      <c r="F34" s="6" t="s">
        <v>318</v>
      </c>
      <c r="G34" s="6" t="s">
        <v>211</v>
      </c>
    </row>
    <row r="35" customFormat="false" ht="35.05" hidden="false" customHeight="false" outlineLevel="0" collapsed="false">
      <c r="A35" s="6" t="s">
        <v>127</v>
      </c>
      <c r="B35" s="6" t="s">
        <v>212</v>
      </c>
      <c r="C35" s="6" t="s">
        <v>213</v>
      </c>
      <c r="D35" s="6" t="s">
        <v>319</v>
      </c>
      <c r="E35" s="6"/>
      <c r="F35" s="6" t="s">
        <v>320</v>
      </c>
      <c r="G35" s="6" t="s">
        <v>217</v>
      </c>
    </row>
    <row r="36" customFormat="false" ht="46.25" hidden="false" customHeight="false" outlineLevel="0" collapsed="false">
      <c r="A36" s="6" t="s">
        <v>127</v>
      </c>
      <c r="B36" s="6" t="s">
        <v>218</v>
      </c>
      <c r="C36" s="6" t="s">
        <v>321</v>
      </c>
      <c r="D36" s="6" t="s">
        <v>322</v>
      </c>
      <c r="E36" s="6" t="s">
        <v>323</v>
      </c>
      <c r="F36" s="6" t="s">
        <v>324</v>
      </c>
      <c r="G36" s="6" t="s">
        <v>228</v>
      </c>
    </row>
    <row r="37" customFormat="false" ht="23.85" hidden="false" customHeight="false" outlineLevel="0" collapsed="false">
      <c r="A37" s="6" t="s">
        <v>127</v>
      </c>
      <c r="B37" s="6" t="s">
        <v>223</v>
      </c>
      <c r="C37" s="6" t="s">
        <v>325</v>
      </c>
      <c r="D37" s="6" t="s">
        <v>326</v>
      </c>
      <c r="E37" s="6" t="s">
        <v>327</v>
      </c>
      <c r="F37" s="6" t="s">
        <v>328</v>
      </c>
      <c r="G37" s="6" t="s">
        <v>228</v>
      </c>
    </row>
    <row r="38" customFormat="false" ht="46.25" hidden="false" customHeight="false" outlineLevel="0" collapsed="false">
      <c r="A38" s="6" t="s">
        <v>127</v>
      </c>
      <c r="B38" s="6" t="s">
        <v>229</v>
      </c>
      <c r="C38" s="6" t="s">
        <v>329</v>
      </c>
      <c r="D38" s="6" t="s">
        <v>330</v>
      </c>
      <c r="E38" s="6" t="s">
        <v>331</v>
      </c>
      <c r="F38" s="6" t="s">
        <v>332</v>
      </c>
      <c r="G38" s="6" t="s">
        <v>267</v>
      </c>
    </row>
    <row r="39" customFormat="false" ht="35.05" hidden="false" customHeight="false" outlineLevel="0" collapsed="false">
      <c r="A39" s="6" t="s">
        <v>127</v>
      </c>
      <c r="B39" s="6" t="s">
        <v>235</v>
      </c>
      <c r="C39" s="6" t="s">
        <v>333</v>
      </c>
      <c r="D39" s="6" t="s">
        <v>334</v>
      </c>
      <c r="E39" s="6"/>
      <c r="F39" s="6" t="s">
        <v>335</v>
      </c>
      <c r="G39" s="6" t="s">
        <v>228</v>
      </c>
    </row>
    <row r="40" customFormat="false" ht="35.05" hidden="false" customHeight="false" outlineLevel="0" collapsed="false">
      <c r="A40" s="6" t="s">
        <v>127</v>
      </c>
      <c r="B40" s="6" t="s">
        <v>240</v>
      </c>
      <c r="C40" s="6" t="s">
        <v>246</v>
      </c>
      <c r="D40" s="6" t="s">
        <v>336</v>
      </c>
      <c r="E40" s="6"/>
      <c r="F40" s="6" t="s">
        <v>337</v>
      </c>
      <c r="G40" s="6" t="s">
        <v>250</v>
      </c>
    </row>
    <row r="41" customFormat="false" ht="23.85" hidden="false" customHeight="false" outlineLevel="0" collapsed="false">
      <c r="A41" s="6" t="s">
        <v>127</v>
      </c>
      <c r="B41" s="6" t="s">
        <v>245</v>
      </c>
      <c r="C41" s="6" t="s">
        <v>252</v>
      </c>
      <c r="D41" s="6" t="s">
        <v>338</v>
      </c>
      <c r="E41" s="6"/>
      <c r="F41" s="6"/>
      <c r="G41" s="6" t="s">
        <v>211</v>
      </c>
    </row>
    <row r="42" customFormat="false" ht="23.85" hidden="false" customHeight="false" outlineLevel="0" collapsed="false">
      <c r="A42" s="5" t="s">
        <v>140</v>
      </c>
      <c r="B42" s="5" t="s">
        <v>339</v>
      </c>
      <c r="C42" s="5" t="s">
        <v>340</v>
      </c>
      <c r="D42" s="5" t="s">
        <v>341</v>
      </c>
      <c r="E42" s="5"/>
      <c r="F42" s="5" t="s">
        <v>342</v>
      </c>
      <c r="G42" s="5" t="s">
        <v>228</v>
      </c>
    </row>
    <row r="43" customFormat="false" ht="15" hidden="false" customHeight="false" outlineLevel="0" collapsed="false">
      <c r="A43" s="5" t="s">
        <v>140</v>
      </c>
      <c r="B43" s="5" t="s">
        <v>223</v>
      </c>
      <c r="C43" s="5" t="s">
        <v>343</v>
      </c>
      <c r="D43" s="5" t="s">
        <v>344</v>
      </c>
      <c r="E43" s="5"/>
      <c r="F43" s="5" t="s">
        <v>345</v>
      </c>
      <c r="G43" s="5" t="s">
        <v>234</v>
      </c>
    </row>
    <row r="44" customFormat="false" ht="15" hidden="false" customHeight="false" outlineLevel="0" collapsed="false">
      <c r="A44" s="5" t="s">
        <v>140</v>
      </c>
      <c r="B44" s="5" t="s">
        <v>229</v>
      </c>
      <c r="C44" s="5" t="s">
        <v>346</v>
      </c>
      <c r="D44" s="5" t="s">
        <v>347</v>
      </c>
      <c r="E44" s="5"/>
      <c r="F44" s="5" t="s">
        <v>348</v>
      </c>
      <c r="G44" s="5" t="s">
        <v>234</v>
      </c>
    </row>
    <row r="45" customFormat="false" ht="15" hidden="false" customHeight="false" outlineLevel="0" collapsed="false">
      <c r="A45" s="5" t="s">
        <v>140</v>
      </c>
      <c r="B45" s="5" t="s">
        <v>235</v>
      </c>
      <c r="C45" s="5" t="s">
        <v>349</v>
      </c>
      <c r="D45" s="5" t="s">
        <v>350</v>
      </c>
      <c r="E45" s="5"/>
      <c r="F45" s="5" t="s">
        <v>351</v>
      </c>
      <c r="G45" s="5" t="s">
        <v>234</v>
      </c>
    </row>
    <row r="46" customFormat="false" ht="15" hidden="false" customHeight="false" outlineLevel="0" collapsed="false">
      <c r="A46" s="5" t="s">
        <v>140</v>
      </c>
      <c r="B46" s="5" t="s">
        <v>352</v>
      </c>
      <c r="C46" s="5" t="s">
        <v>353</v>
      </c>
      <c r="D46" s="5" t="s">
        <v>354</v>
      </c>
      <c r="E46" s="5"/>
      <c r="F46" s="5"/>
      <c r="G46" s="5" t="s">
        <v>228</v>
      </c>
    </row>
    <row r="47" customFormat="false" ht="15" hidden="false" customHeight="false" outlineLevel="0" collapsed="false">
      <c r="A47" s="5" t="s">
        <v>152</v>
      </c>
      <c r="B47" s="5" t="s">
        <v>339</v>
      </c>
      <c r="C47" s="5" t="s">
        <v>355</v>
      </c>
      <c r="D47" s="5" t="s">
        <v>356</v>
      </c>
      <c r="E47" s="5"/>
      <c r="F47" s="5"/>
      <c r="G47" s="5" t="s">
        <v>312</v>
      </c>
    </row>
    <row r="48" customFormat="false" ht="23.85" hidden="false" customHeight="false" outlineLevel="0" collapsed="false">
      <c r="A48" s="5" t="s">
        <v>152</v>
      </c>
      <c r="B48" s="5" t="s">
        <v>223</v>
      </c>
      <c r="C48" s="5" t="s">
        <v>357</v>
      </c>
      <c r="D48" s="5" t="s">
        <v>358</v>
      </c>
      <c r="E48" s="5"/>
      <c r="F48" s="5" t="s">
        <v>359</v>
      </c>
      <c r="G48" s="5" t="s">
        <v>312</v>
      </c>
    </row>
    <row r="49" customFormat="false" ht="15" hidden="false" customHeight="false" outlineLevel="0" collapsed="false">
      <c r="A49" s="5" t="s">
        <v>152</v>
      </c>
      <c r="B49" s="5" t="s">
        <v>229</v>
      </c>
      <c r="C49" s="5" t="s">
        <v>272</v>
      </c>
      <c r="D49" s="5" t="s">
        <v>360</v>
      </c>
      <c r="E49" s="5"/>
      <c r="F49" s="5"/>
      <c r="G49" s="5" t="s">
        <v>312</v>
      </c>
    </row>
    <row r="50" customFormat="false" ht="15" hidden="false" customHeight="false" outlineLevel="0" collapsed="false">
      <c r="A50" s="5" t="s">
        <v>152</v>
      </c>
      <c r="B50" s="5" t="s">
        <v>361</v>
      </c>
      <c r="C50" s="5" t="s">
        <v>299</v>
      </c>
      <c r="D50" s="5"/>
      <c r="E50" s="5"/>
      <c r="F50" s="5"/>
      <c r="G50" s="5" t="s">
        <v>228</v>
      </c>
    </row>
    <row r="51" customFormat="false" ht="23.85" hidden="false" customHeight="false" outlineLevel="0" collapsed="false">
      <c r="A51" s="5" t="s">
        <v>164</v>
      </c>
      <c r="B51" s="5" t="s">
        <v>175</v>
      </c>
      <c r="C51" s="5" t="s">
        <v>362</v>
      </c>
      <c r="D51" s="5" t="s">
        <v>363</v>
      </c>
      <c r="E51" s="5"/>
      <c r="F51" s="5" t="s">
        <v>364</v>
      </c>
      <c r="G51" s="5" t="s">
        <v>175</v>
      </c>
    </row>
    <row r="52" customFormat="false" ht="15" hidden="false" customHeight="false" outlineLevel="0" collapsed="false">
      <c r="A52" s="5" t="s">
        <v>177</v>
      </c>
      <c r="B52" s="5" t="s">
        <v>175</v>
      </c>
      <c r="C52" s="5" t="s">
        <v>362</v>
      </c>
      <c r="D52" s="5" t="s">
        <v>365</v>
      </c>
      <c r="E52" s="5"/>
      <c r="F52" s="5"/>
      <c r="G52" s="5" t="s">
        <v>175</v>
      </c>
    </row>
    <row r="53" customFormat="false" ht="15" hidden="false" customHeight="false" outlineLevel="0" collapsed="false">
      <c r="A53" s="5" t="s">
        <v>189</v>
      </c>
      <c r="B53" s="5" t="s">
        <v>175</v>
      </c>
      <c r="C53" s="5" t="s">
        <v>362</v>
      </c>
      <c r="D53" s="5" t="s">
        <v>366</v>
      </c>
      <c r="E53" s="5"/>
      <c r="F53" s="5" t="s">
        <v>367</v>
      </c>
      <c r="G53" s="5" t="s">
        <v>175</v>
      </c>
    </row>
  </sheetData>
  <autoFilter ref="A1:G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7" min="3" style="0" width="14"/>
    <col collapsed="false" customWidth="true" hidden="false" outlineLevel="0" max="8" min="8" style="0" width="12"/>
    <col collapsed="false" customWidth="true" hidden="false" outlineLevel="0" max="9" min="9" style="0" width="9"/>
    <col collapsed="false" customWidth="true" hidden="false" outlineLevel="0" max="11" min="10" style="0" width="50"/>
  </cols>
  <sheetData>
    <row r="1" customFormat="false" ht="17.35" hidden="false" customHeight="false" outlineLevel="0" collapsed="false">
      <c r="A1" s="13" t="s">
        <v>368</v>
      </c>
    </row>
    <row r="3" customFormat="false" ht="15" hidden="false" customHeight="false" outlineLevel="0" collapsed="false">
      <c r="A3" s="3" t="s">
        <v>369</v>
      </c>
      <c r="C3" s="14" t="n">
        <v>0.3</v>
      </c>
      <c r="D3" s="14" t="n">
        <v>0.2</v>
      </c>
      <c r="E3" s="14" t="n">
        <v>0.15</v>
      </c>
      <c r="F3" s="14" t="n">
        <v>0.15</v>
      </c>
      <c r="G3" s="14" t="n">
        <v>0.2</v>
      </c>
      <c r="H3" s="15" t="n">
        <f aca="false">SUM(C3:G3)</f>
        <v>1</v>
      </c>
      <c r="I3" s="9" t="s">
        <v>370</v>
      </c>
    </row>
    <row r="4" customFormat="false" ht="31.5" hidden="false" customHeight="true" outlineLevel="0" collapsed="false">
      <c r="A4" s="4" t="s">
        <v>64</v>
      </c>
      <c r="B4" s="4" t="s">
        <v>371</v>
      </c>
      <c r="C4" s="4" t="s">
        <v>372</v>
      </c>
      <c r="D4" s="4" t="s">
        <v>373</v>
      </c>
      <c r="E4" s="4" t="s">
        <v>374</v>
      </c>
      <c r="F4" s="4" t="s">
        <v>375</v>
      </c>
      <c r="G4" s="4" t="s">
        <v>376</v>
      </c>
      <c r="H4" s="4" t="s">
        <v>377</v>
      </c>
      <c r="I4" s="4" t="s">
        <v>378</v>
      </c>
      <c r="J4" s="4" t="s">
        <v>379</v>
      </c>
      <c r="K4" s="4" t="s">
        <v>380</v>
      </c>
    </row>
    <row r="5" customFormat="false" ht="23.85" hidden="false" customHeight="false" outlineLevel="0" collapsed="false">
      <c r="A5" s="5" t="s">
        <v>78</v>
      </c>
      <c r="B5" s="5" t="s">
        <v>381</v>
      </c>
      <c r="C5" s="16" t="n">
        <v>5</v>
      </c>
      <c r="D5" s="16" t="n">
        <v>4</v>
      </c>
      <c r="E5" s="16" t="n">
        <v>5</v>
      </c>
      <c r="F5" s="16" t="n">
        <v>3</v>
      </c>
      <c r="G5" s="16" t="n">
        <v>4</v>
      </c>
      <c r="H5" s="17" t="n">
        <f aca="false">SUMPRODUCT(C5:G5,$C$3:$G$3)</f>
        <v>4.3</v>
      </c>
      <c r="I5" s="16" t="n">
        <f aca="false">RANK(H5,$H$5:$H$14)</f>
        <v>2</v>
      </c>
      <c r="J5" s="5" t="s">
        <v>382</v>
      </c>
      <c r="K5" s="5" t="s">
        <v>383</v>
      </c>
    </row>
    <row r="6" customFormat="false" ht="15" hidden="false" customHeight="false" outlineLevel="0" collapsed="false">
      <c r="A6" s="5" t="s">
        <v>91</v>
      </c>
      <c r="B6" s="5" t="s">
        <v>384</v>
      </c>
      <c r="C6" s="16" t="n">
        <v>5</v>
      </c>
      <c r="D6" s="16" t="n">
        <v>5</v>
      </c>
      <c r="E6" s="16" t="n">
        <v>4</v>
      </c>
      <c r="F6" s="16" t="n">
        <v>4</v>
      </c>
      <c r="G6" s="16" t="n">
        <v>4</v>
      </c>
      <c r="H6" s="17" t="n">
        <f aca="false">SUMPRODUCT(C6:G6,$C$3:$G$3)</f>
        <v>4.5</v>
      </c>
      <c r="I6" s="16" t="n">
        <f aca="false">RANK(H6,$H$5:$H$14)</f>
        <v>1</v>
      </c>
      <c r="J6" s="5" t="s">
        <v>385</v>
      </c>
      <c r="K6" s="5" t="s">
        <v>386</v>
      </c>
    </row>
    <row r="7" customFormat="false" ht="23.85" hidden="false" customHeight="false" outlineLevel="0" collapsed="false">
      <c r="A7" s="5" t="s">
        <v>104</v>
      </c>
      <c r="B7" s="5" t="s">
        <v>387</v>
      </c>
      <c r="C7" s="16" t="n">
        <v>4</v>
      </c>
      <c r="D7" s="16" t="n">
        <v>5</v>
      </c>
      <c r="E7" s="16" t="n">
        <v>4</v>
      </c>
      <c r="F7" s="16" t="n">
        <v>3</v>
      </c>
      <c r="G7" s="16" t="n">
        <v>4</v>
      </c>
      <c r="H7" s="17" t="n">
        <f aca="false">SUMPRODUCT(C7:G7,$C$3:$G$3)</f>
        <v>4.05</v>
      </c>
      <c r="I7" s="16" t="n">
        <f aca="false">RANK(H7,$H$5:$H$14)</f>
        <v>4</v>
      </c>
      <c r="J7" s="5" t="s">
        <v>388</v>
      </c>
      <c r="K7" s="5" t="s">
        <v>389</v>
      </c>
    </row>
    <row r="8" customFormat="false" ht="15" hidden="false" customHeight="false" outlineLevel="0" collapsed="false">
      <c r="A8" s="5" t="s">
        <v>116</v>
      </c>
      <c r="B8" s="5" t="s">
        <v>390</v>
      </c>
      <c r="C8" s="16" t="n">
        <v>4</v>
      </c>
      <c r="D8" s="16" t="n">
        <v>3</v>
      </c>
      <c r="E8" s="16" t="n">
        <v>4</v>
      </c>
      <c r="F8" s="16" t="n">
        <v>3</v>
      </c>
      <c r="G8" s="16" t="n">
        <v>4</v>
      </c>
      <c r="H8" s="17" t="n">
        <f aca="false">SUMPRODUCT(C8:G8,$C$3:$G$3)</f>
        <v>3.65</v>
      </c>
      <c r="I8" s="16" t="n">
        <f aca="false">RANK(H8,$H$5:$H$14)</f>
        <v>6</v>
      </c>
      <c r="J8" s="5" t="s">
        <v>391</v>
      </c>
      <c r="K8" s="5" t="s">
        <v>392</v>
      </c>
    </row>
    <row r="9" customFormat="false" ht="23.85" hidden="false" customHeight="false" outlineLevel="0" collapsed="false">
      <c r="A9" s="5" t="s">
        <v>127</v>
      </c>
      <c r="B9" s="5" t="s">
        <v>393</v>
      </c>
      <c r="C9" s="16" t="n">
        <v>5</v>
      </c>
      <c r="D9" s="16" t="n">
        <v>5</v>
      </c>
      <c r="E9" s="16" t="n">
        <v>5</v>
      </c>
      <c r="F9" s="16" t="n">
        <v>3</v>
      </c>
      <c r="G9" s="16" t="n">
        <v>3</v>
      </c>
      <c r="H9" s="17" t="n">
        <f aca="false">SUMPRODUCT(C9:G9,$C$3:$G$3)</f>
        <v>4.3</v>
      </c>
      <c r="I9" s="16" t="n">
        <f aca="false">RANK(H9,$H$5:$H$14)</f>
        <v>2</v>
      </c>
      <c r="J9" s="5" t="s">
        <v>394</v>
      </c>
      <c r="K9" s="5" t="s">
        <v>395</v>
      </c>
    </row>
    <row r="10" customFormat="false" ht="15" hidden="false" customHeight="false" outlineLevel="0" collapsed="false">
      <c r="A10" s="5" t="s">
        <v>140</v>
      </c>
      <c r="B10" s="5" t="s">
        <v>396</v>
      </c>
      <c r="C10" s="16" t="n">
        <v>4</v>
      </c>
      <c r="D10" s="16" t="n">
        <v>4</v>
      </c>
      <c r="E10" s="16" t="n">
        <v>4</v>
      </c>
      <c r="F10" s="16" t="n">
        <v>3</v>
      </c>
      <c r="G10" s="16" t="n">
        <v>4</v>
      </c>
      <c r="H10" s="17" t="n">
        <f aca="false">SUMPRODUCT(C10:G10,$C$3:$G$3)</f>
        <v>3.85</v>
      </c>
      <c r="I10" s="16" t="n">
        <f aca="false">RANK(H10,$H$5:$H$14)</f>
        <v>5</v>
      </c>
      <c r="J10" s="5" t="s">
        <v>397</v>
      </c>
      <c r="K10" s="5" t="s">
        <v>398</v>
      </c>
    </row>
    <row r="11" customFormat="false" ht="15" hidden="false" customHeight="false" outlineLevel="0" collapsed="false">
      <c r="A11" s="5" t="s">
        <v>152</v>
      </c>
      <c r="B11" s="5" t="s">
        <v>399</v>
      </c>
      <c r="C11" s="16" t="n">
        <v>4</v>
      </c>
      <c r="D11" s="16" t="n">
        <v>2</v>
      </c>
      <c r="E11" s="16" t="n">
        <v>4</v>
      </c>
      <c r="F11" s="16" t="n">
        <v>2</v>
      </c>
      <c r="G11" s="16" t="n">
        <v>4</v>
      </c>
      <c r="H11" s="17" t="n">
        <f aca="false">SUMPRODUCT(C11:G11,$C$3:$G$3)</f>
        <v>3.3</v>
      </c>
      <c r="I11" s="16" t="n">
        <f aca="false">RANK(H11,$H$5:$H$14)</f>
        <v>7</v>
      </c>
      <c r="J11" s="5" t="s">
        <v>400</v>
      </c>
      <c r="K11" s="5" t="s">
        <v>401</v>
      </c>
    </row>
    <row r="12" customFormat="false" ht="15" hidden="false" customHeight="false" outlineLevel="0" collapsed="false">
      <c r="A12" s="5" t="s">
        <v>164</v>
      </c>
      <c r="B12" s="5" t="s">
        <v>402</v>
      </c>
      <c r="C12" s="16" t="n">
        <v>3</v>
      </c>
      <c r="D12" s="16" t="n">
        <v>3</v>
      </c>
      <c r="E12" s="16" t="n">
        <v>3</v>
      </c>
      <c r="F12" s="16" t="n">
        <v>2</v>
      </c>
      <c r="G12" s="16" t="n">
        <v>5</v>
      </c>
      <c r="H12" s="17" t="n">
        <f aca="false">SUMPRODUCT(C12:G12,$C$3:$G$3)</f>
        <v>3.25</v>
      </c>
      <c r="I12" s="16" t="n">
        <f aca="false">RANK(H12,$H$5:$H$14)</f>
        <v>8</v>
      </c>
      <c r="J12" s="5" t="s">
        <v>403</v>
      </c>
      <c r="K12" s="5" t="s">
        <v>404</v>
      </c>
    </row>
    <row r="13" customFormat="false" ht="15" hidden="false" customHeight="false" outlineLevel="0" collapsed="false">
      <c r="A13" s="5" t="s">
        <v>177</v>
      </c>
      <c r="B13" s="5" t="s">
        <v>405</v>
      </c>
      <c r="C13" s="16" t="n">
        <v>2</v>
      </c>
      <c r="D13" s="16" t="n">
        <v>4</v>
      </c>
      <c r="E13" s="16" t="n">
        <v>4</v>
      </c>
      <c r="F13" s="16" t="n">
        <v>2</v>
      </c>
      <c r="G13" s="16" t="n">
        <v>3</v>
      </c>
      <c r="H13" s="17" t="n">
        <f aca="false">SUMPRODUCT(C13:G13,$C$3:$G$3)</f>
        <v>2.9</v>
      </c>
      <c r="I13" s="16" t="n">
        <f aca="false">RANK(H13,$H$5:$H$14)</f>
        <v>10</v>
      </c>
      <c r="J13" s="5" t="s">
        <v>406</v>
      </c>
      <c r="K13" s="5" t="s">
        <v>407</v>
      </c>
    </row>
    <row r="14" customFormat="false" ht="15" hidden="false" customHeight="false" outlineLevel="0" collapsed="false">
      <c r="A14" s="5" t="s">
        <v>189</v>
      </c>
      <c r="B14" s="5" t="s">
        <v>408</v>
      </c>
      <c r="C14" s="16" t="n">
        <v>3</v>
      </c>
      <c r="D14" s="16" t="n">
        <v>3</v>
      </c>
      <c r="E14" s="16" t="n">
        <v>3</v>
      </c>
      <c r="F14" s="16" t="n">
        <v>3</v>
      </c>
      <c r="G14" s="16" t="n">
        <v>3</v>
      </c>
      <c r="H14" s="17" t="n">
        <f aca="false">SUMPRODUCT(C14:G14,$C$3:$G$3)</f>
        <v>3</v>
      </c>
      <c r="I14" s="16" t="n">
        <f aca="false">RANK(H14,$H$5:$H$14)</f>
        <v>9</v>
      </c>
      <c r="J14" s="5" t="s">
        <v>409</v>
      </c>
      <c r="K14" s="5" t="s">
        <v>410</v>
      </c>
    </row>
    <row r="16" customFormat="false" ht="15" hidden="false" customHeight="false" outlineLevel="0" collapsed="false">
      <c r="A16" s="9" t="s">
        <v>411</v>
      </c>
    </row>
    <row r="17" customFormat="false" ht="15" hidden="false" customHeight="false" outlineLevel="0" collapsed="false">
      <c r="A17" s="3"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70"/>
  </cols>
  <sheetData>
    <row r="1" customFormat="false" ht="17.35" hidden="false" customHeight="false" outlineLevel="0" collapsed="false">
      <c r="A1" s="13" t="s">
        <v>413</v>
      </c>
    </row>
    <row r="3" customFormat="false" ht="31.5" hidden="false" customHeight="true" outlineLevel="0" collapsed="false">
      <c r="A3" s="4" t="s">
        <v>414</v>
      </c>
      <c r="B3" s="4" t="s">
        <v>415</v>
      </c>
      <c r="C3" s="4" t="s">
        <v>416</v>
      </c>
    </row>
    <row r="4" customFormat="false" ht="23.85" hidden="false" customHeight="false" outlineLevel="0" collapsed="false">
      <c r="A4" s="5" t="s">
        <v>417</v>
      </c>
      <c r="B4" s="5" t="s">
        <v>418</v>
      </c>
      <c r="C4" s="5" t="s">
        <v>419</v>
      </c>
    </row>
    <row r="5" customFormat="false" ht="35.05" hidden="false" customHeight="false" outlineLevel="0" collapsed="false">
      <c r="A5" s="5" t="s">
        <v>420</v>
      </c>
      <c r="B5" s="5" t="s">
        <v>421</v>
      </c>
      <c r="C5" s="5" t="s">
        <v>422</v>
      </c>
    </row>
    <row r="6" customFormat="false" ht="68.65" hidden="false" customHeight="false" outlineLevel="0" collapsed="false">
      <c r="A6" s="5" t="s">
        <v>423</v>
      </c>
      <c r="B6" s="5" t="s">
        <v>424</v>
      </c>
      <c r="C6" s="5" t="s">
        <v>425</v>
      </c>
    </row>
    <row r="7" customFormat="false" ht="35.05" hidden="false" customHeight="false" outlineLevel="0" collapsed="false">
      <c r="A7" s="5" t="s">
        <v>426</v>
      </c>
      <c r="B7" s="5" t="s">
        <v>427</v>
      </c>
      <c r="C7" s="5" t="s">
        <v>428</v>
      </c>
    </row>
    <row r="8" customFormat="false" ht="23.85" hidden="false" customHeight="false" outlineLevel="0" collapsed="false">
      <c r="A8" s="5" t="s">
        <v>429</v>
      </c>
      <c r="B8" s="5" t="s">
        <v>430</v>
      </c>
      <c r="C8" s="5" t="s">
        <v>431</v>
      </c>
    </row>
    <row r="9" customFormat="false" ht="35.05" hidden="false" customHeight="false" outlineLevel="0" collapsed="false">
      <c r="A9" s="5" t="s">
        <v>432</v>
      </c>
      <c r="B9" s="5" t="s">
        <v>433</v>
      </c>
      <c r="C9" s="5" t="s">
        <v>434</v>
      </c>
    </row>
    <row r="10" customFormat="false" ht="23.85" hidden="false" customHeight="false" outlineLevel="0" collapsed="false">
      <c r="A10" s="5" t="s">
        <v>435</v>
      </c>
      <c r="B10" s="5" t="s">
        <v>436</v>
      </c>
      <c r="C10" s="5" t="s">
        <v>437</v>
      </c>
    </row>
    <row r="11" customFormat="false" ht="35.05" hidden="false" customHeight="false" outlineLevel="0" collapsed="false">
      <c r="A11" s="5" t="s">
        <v>438</v>
      </c>
      <c r="B11" s="5" t="s">
        <v>439</v>
      </c>
      <c r="C11" s="5" t="s">
        <v>440</v>
      </c>
    </row>
    <row r="12" customFormat="false" ht="46.25" hidden="false" customHeight="false" outlineLevel="0" collapsed="false">
      <c r="A12" s="5" t="s">
        <v>441</v>
      </c>
      <c r="B12" s="5" t="s">
        <v>442</v>
      </c>
      <c r="C12" s="5" t="s">
        <v>443</v>
      </c>
    </row>
    <row r="13" customFormat="false" ht="35.05" hidden="false" customHeight="false" outlineLevel="0" collapsed="false">
      <c r="A13" s="5" t="s">
        <v>444</v>
      </c>
      <c r="B13" s="5" t="s">
        <v>445</v>
      </c>
      <c r="C13" s="5" t="s">
        <v>446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40"/>
    <col collapsed="false" customWidth="true" hidden="false" outlineLevel="0" max="4" min="4" style="0" width="14"/>
    <col collapsed="false" customWidth="true" hidden="false" outlineLevel="0" max="5" min="5" style="0" width="56"/>
    <col collapsed="false" customWidth="true" hidden="false" outlineLevel="0" max="6" min="6" style="0" width="16"/>
    <col collapsed="false" customWidth="true" hidden="false" outlineLevel="0" max="7" min="7" style="0" width="40"/>
  </cols>
  <sheetData>
    <row r="1" customFormat="false" ht="31.5" hidden="false" customHeight="true" outlineLevel="0" collapsed="false">
      <c r="A1" s="4" t="s">
        <v>447</v>
      </c>
      <c r="B1" s="4" t="s">
        <v>448</v>
      </c>
      <c r="C1" s="4" t="s">
        <v>449</v>
      </c>
      <c r="D1" s="4" t="s">
        <v>450</v>
      </c>
      <c r="E1" s="4" t="s">
        <v>451</v>
      </c>
      <c r="F1" s="4" t="s">
        <v>452</v>
      </c>
      <c r="G1" s="4" t="s">
        <v>453</v>
      </c>
    </row>
    <row r="2" customFormat="false" ht="23.85" hidden="false" customHeight="false" outlineLevel="0" collapsed="false">
      <c r="A2" s="5" t="s">
        <v>454</v>
      </c>
      <c r="B2" s="5" t="s">
        <v>455</v>
      </c>
      <c r="C2" s="5" t="s">
        <v>456</v>
      </c>
      <c r="D2" s="5" t="s">
        <v>457</v>
      </c>
      <c r="E2" s="5" t="s">
        <v>458</v>
      </c>
      <c r="F2" s="5" t="s">
        <v>459</v>
      </c>
      <c r="G2" s="5" t="s">
        <v>460</v>
      </c>
    </row>
    <row r="3" customFormat="false" ht="35.05" hidden="false" customHeight="false" outlineLevel="0" collapsed="false">
      <c r="A3" s="5" t="s">
        <v>461</v>
      </c>
      <c r="B3" s="5" t="s">
        <v>462</v>
      </c>
      <c r="C3" s="5" t="s">
        <v>463</v>
      </c>
      <c r="D3" s="5" t="s">
        <v>457</v>
      </c>
      <c r="E3" s="5" t="s">
        <v>464</v>
      </c>
      <c r="F3" s="5" t="s">
        <v>465</v>
      </c>
      <c r="G3" s="5"/>
    </row>
    <row r="4" customFormat="false" ht="23.85" hidden="false" customHeight="false" outlineLevel="0" collapsed="false">
      <c r="A4" s="5" t="s">
        <v>466</v>
      </c>
      <c r="B4" s="5" t="s">
        <v>467</v>
      </c>
      <c r="C4" s="5" t="s">
        <v>468</v>
      </c>
      <c r="D4" s="5" t="s">
        <v>457</v>
      </c>
      <c r="E4" s="5" t="s">
        <v>469</v>
      </c>
      <c r="F4" s="5" t="s">
        <v>470</v>
      </c>
      <c r="G4" s="5" t="s">
        <v>471</v>
      </c>
    </row>
    <row r="5" customFormat="false" ht="57.45" hidden="false" customHeight="false" outlineLevel="0" collapsed="false">
      <c r="A5" s="5" t="s">
        <v>472</v>
      </c>
      <c r="B5" s="5" t="s">
        <v>473</v>
      </c>
      <c r="C5" s="5" t="s">
        <v>474</v>
      </c>
      <c r="D5" s="5" t="s">
        <v>475</v>
      </c>
      <c r="E5" s="5" t="s">
        <v>476</v>
      </c>
      <c r="F5" s="5" t="s">
        <v>477</v>
      </c>
      <c r="G5" s="5" t="s">
        <v>478</v>
      </c>
    </row>
    <row r="6" customFormat="false" ht="23.85" hidden="false" customHeight="false" outlineLevel="0" collapsed="false">
      <c r="A6" s="5" t="s">
        <v>479</v>
      </c>
      <c r="B6" s="5" t="s">
        <v>480</v>
      </c>
      <c r="C6" s="5" t="s">
        <v>481</v>
      </c>
      <c r="D6" s="5" t="s">
        <v>482</v>
      </c>
      <c r="E6" s="5" t="s">
        <v>483</v>
      </c>
      <c r="F6" s="5" t="s">
        <v>484</v>
      </c>
      <c r="G6" s="5" t="s">
        <v>485</v>
      </c>
    </row>
    <row r="7" customFormat="false" ht="35.05" hidden="false" customHeight="false" outlineLevel="0" collapsed="false">
      <c r="A7" s="5" t="s">
        <v>486</v>
      </c>
      <c r="B7" s="5" t="s">
        <v>487</v>
      </c>
      <c r="C7" s="5" t="s">
        <v>488</v>
      </c>
      <c r="D7" s="5" t="s">
        <v>457</v>
      </c>
      <c r="E7" s="5" t="s">
        <v>489</v>
      </c>
      <c r="F7" s="5" t="s">
        <v>490</v>
      </c>
      <c r="G7" s="5"/>
    </row>
    <row r="8" customFormat="false" ht="35.05" hidden="false" customHeight="false" outlineLevel="0" collapsed="false">
      <c r="A8" s="5" t="s">
        <v>491</v>
      </c>
      <c r="B8" s="5" t="s">
        <v>492</v>
      </c>
      <c r="C8" s="5" t="s">
        <v>493</v>
      </c>
      <c r="D8" s="5" t="s">
        <v>457</v>
      </c>
      <c r="E8" s="5" t="s">
        <v>494</v>
      </c>
      <c r="F8" s="5" t="s">
        <v>495</v>
      </c>
      <c r="G8" s="5"/>
    </row>
    <row r="9" customFormat="false" ht="57.45" hidden="false" customHeight="false" outlineLevel="0" collapsed="false">
      <c r="A9" s="5" t="s">
        <v>496</v>
      </c>
      <c r="B9" s="5" t="s">
        <v>497</v>
      </c>
      <c r="C9" s="5" t="s">
        <v>498</v>
      </c>
      <c r="D9" s="5" t="s">
        <v>499</v>
      </c>
      <c r="E9" s="5" t="s">
        <v>500</v>
      </c>
      <c r="F9" s="5" t="s">
        <v>501</v>
      </c>
      <c r="G9" s="5" t="s">
        <v>502</v>
      </c>
    </row>
    <row r="10" customFormat="false" ht="57.45" hidden="false" customHeight="false" outlineLevel="0" collapsed="false">
      <c r="A10" s="5" t="s">
        <v>503</v>
      </c>
      <c r="B10" s="5" t="s">
        <v>504</v>
      </c>
      <c r="C10" s="5" t="s">
        <v>505</v>
      </c>
      <c r="D10" s="5" t="s">
        <v>457</v>
      </c>
      <c r="E10" s="5" t="s">
        <v>506</v>
      </c>
      <c r="F10" s="5" t="s">
        <v>507</v>
      </c>
      <c r="G10" s="5" t="s">
        <v>508</v>
      </c>
    </row>
    <row r="11" customFormat="false" ht="35.05" hidden="false" customHeight="false" outlineLevel="0" collapsed="false">
      <c r="A11" s="5" t="s">
        <v>509</v>
      </c>
      <c r="B11" s="5" t="s">
        <v>510</v>
      </c>
      <c r="C11" s="5" t="s">
        <v>511</v>
      </c>
      <c r="D11" s="5" t="s">
        <v>457</v>
      </c>
      <c r="E11" s="5" t="s">
        <v>512</v>
      </c>
      <c r="F11" s="5" t="s">
        <v>507</v>
      </c>
      <c r="G11" s="5"/>
    </row>
    <row r="12" customFormat="false" ht="23.85" hidden="false" customHeight="false" outlineLevel="0" collapsed="false">
      <c r="A12" s="5" t="s">
        <v>513</v>
      </c>
      <c r="B12" s="5" t="s">
        <v>514</v>
      </c>
      <c r="C12" s="5" t="s">
        <v>515</v>
      </c>
      <c r="D12" s="5" t="s">
        <v>516</v>
      </c>
      <c r="E12" s="5" t="s">
        <v>517</v>
      </c>
      <c r="F12" s="5" t="s">
        <v>507</v>
      </c>
      <c r="G12" s="5"/>
    </row>
    <row r="13" customFormat="false" ht="23.85" hidden="false" customHeight="false" outlineLevel="0" collapsed="false">
      <c r="A13" s="5" t="s">
        <v>518</v>
      </c>
      <c r="B13" s="5" t="s">
        <v>519</v>
      </c>
      <c r="C13" s="5" t="s">
        <v>520</v>
      </c>
      <c r="D13" s="5" t="s">
        <v>475</v>
      </c>
      <c r="E13" s="5" t="s">
        <v>328</v>
      </c>
      <c r="F13" s="5" t="s">
        <v>521</v>
      </c>
      <c r="G13" s="5"/>
    </row>
    <row r="14" customFormat="false" ht="68.65" hidden="false" customHeight="false" outlineLevel="0" collapsed="false">
      <c r="A14" s="5" t="s">
        <v>522</v>
      </c>
      <c r="B14" s="5" t="s">
        <v>523</v>
      </c>
      <c r="C14" s="5" t="s">
        <v>524</v>
      </c>
      <c r="D14" s="5" t="s">
        <v>525</v>
      </c>
      <c r="E14" s="5" t="s">
        <v>526</v>
      </c>
      <c r="F14" s="5" t="s">
        <v>521</v>
      </c>
      <c r="G14" s="5" t="s">
        <v>527</v>
      </c>
    </row>
    <row r="15" customFormat="false" ht="46.25" hidden="false" customHeight="false" outlineLevel="0" collapsed="false">
      <c r="A15" s="5" t="s">
        <v>528</v>
      </c>
      <c r="B15" s="5" t="s">
        <v>529</v>
      </c>
      <c r="C15" s="5" t="s">
        <v>530</v>
      </c>
      <c r="D15" s="5" t="s">
        <v>457</v>
      </c>
      <c r="E15" s="5" t="s">
        <v>531</v>
      </c>
      <c r="F15" s="5" t="s">
        <v>532</v>
      </c>
      <c r="G15" s="5"/>
    </row>
    <row r="16" customFormat="false" ht="23.85" hidden="false" customHeight="false" outlineLevel="0" collapsed="false">
      <c r="A16" s="5" t="s">
        <v>533</v>
      </c>
      <c r="B16" s="5" t="s">
        <v>534</v>
      </c>
      <c r="C16" s="5" t="s">
        <v>535</v>
      </c>
      <c r="D16" s="5" t="s">
        <v>457</v>
      </c>
      <c r="E16" s="5" t="s">
        <v>536</v>
      </c>
      <c r="F16" s="5" t="s">
        <v>537</v>
      </c>
      <c r="G16" s="5"/>
    </row>
    <row r="17" customFormat="false" ht="15" hidden="false" customHeight="false" outlineLevel="0" collapsed="false">
      <c r="A17" s="5" t="s">
        <v>538</v>
      </c>
      <c r="B17" s="5" t="s">
        <v>539</v>
      </c>
      <c r="C17" s="5" t="s">
        <v>540</v>
      </c>
      <c r="D17" s="5" t="s">
        <v>457</v>
      </c>
      <c r="E17" s="5" t="s">
        <v>541</v>
      </c>
      <c r="F17" s="5" t="s">
        <v>91</v>
      </c>
      <c r="G17" s="5"/>
    </row>
    <row r="18" customFormat="false" ht="23.85" hidden="false" customHeight="false" outlineLevel="0" collapsed="false">
      <c r="A18" s="5" t="s">
        <v>542</v>
      </c>
      <c r="B18" s="5" t="s">
        <v>543</v>
      </c>
      <c r="C18" s="5" t="s">
        <v>544</v>
      </c>
      <c r="D18" s="5" t="s">
        <v>457</v>
      </c>
      <c r="E18" s="5" t="s">
        <v>545</v>
      </c>
      <c r="F18" s="5" t="s">
        <v>91</v>
      </c>
      <c r="G18" s="5"/>
    </row>
    <row r="19" customFormat="false" ht="35.05" hidden="false" customHeight="false" outlineLevel="0" collapsed="false">
      <c r="A19" s="5" t="s">
        <v>546</v>
      </c>
      <c r="B19" s="5" t="s">
        <v>547</v>
      </c>
      <c r="C19" s="5" t="s">
        <v>548</v>
      </c>
      <c r="D19" s="5" t="s">
        <v>457</v>
      </c>
      <c r="E19" s="5" t="s">
        <v>549</v>
      </c>
      <c r="F19" s="5" t="s">
        <v>91</v>
      </c>
      <c r="G19" s="5"/>
    </row>
    <row r="20" customFormat="false" ht="35.05" hidden="false" customHeight="false" outlineLevel="0" collapsed="false">
      <c r="A20" s="5" t="s">
        <v>550</v>
      </c>
      <c r="B20" s="5" t="s">
        <v>551</v>
      </c>
      <c r="C20" s="5" t="s">
        <v>552</v>
      </c>
      <c r="D20" s="5" t="s">
        <v>457</v>
      </c>
      <c r="E20" s="5" t="s">
        <v>553</v>
      </c>
      <c r="F20" s="5" t="s">
        <v>537</v>
      </c>
      <c r="G20" s="5"/>
    </row>
    <row r="21" customFormat="false" ht="35.05" hidden="false" customHeight="false" outlineLevel="0" collapsed="false">
      <c r="A21" s="5" t="s">
        <v>554</v>
      </c>
      <c r="B21" s="5" t="s">
        <v>555</v>
      </c>
      <c r="C21" s="5" t="s">
        <v>556</v>
      </c>
      <c r="D21" s="5" t="s">
        <v>457</v>
      </c>
      <c r="E21" s="5" t="s">
        <v>557</v>
      </c>
      <c r="F21" s="5" t="s">
        <v>558</v>
      </c>
      <c r="G21" s="5"/>
    </row>
    <row r="22" customFormat="false" ht="35.05" hidden="false" customHeight="false" outlineLevel="0" collapsed="false">
      <c r="A22" s="5" t="s">
        <v>559</v>
      </c>
      <c r="B22" s="5" t="s">
        <v>560</v>
      </c>
      <c r="C22" s="5" t="s">
        <v>561</v>
      </c>
      <c r="D22" s="5" t="s">
        <v>457</v>
      </c>
      <c r="E22" s="5" t="s">
        <v>562</v>
      </c>
      <c r="F22" s="5" t="s">
        <v>521</v>
      </c>
      <c r="G22" s="5"/>
    </row>
    <row r="23" customFormat="false" ht="23.85" hidden="false" customHeight="false" outlineLevel="0" collapsed="false">
      <c r="A23" s="5" t="s">
        <v>563</v>
      </c>
      <c r="B23" s="5" t="s">
        <v>564</v>
      </c>
      <c r="C23" s="5" t="s">
        <v>565</v>
      </c>
      <c r="D23" s="5" t="s">
        <v>457</v>
      </c>
      <c r="E23" s="5" t="s">
        <v>566</v>
      </c>
      <c r="F23" s="5" t="s">
        <v>78</v>
      </c>
      <c r="G23" s="5"/>
    </row>
    <row r="24" customFormat="false" ht="46.25" hidden="false" customHeight="false" outlineLevel="0" collapsed="false">
      <c r="A24" s="5" t="s">
        <v>567</v>
      </c>
      <c r="B24" s="5" t="s">
        <v>568</v>
      </c>
      <c r="C24" s="5" t="s">
        <v>569</v>
      </c>
      <c r="D24" s="5" t="s">
        <v>457</v>
      </c>
      <c r="E24" s="5" t="s">
        <v>570</v>
      </c>
      <c r="F24" s="5" t="s">
        <v>571</v>
      </c>
      <c r="G24" s="5"/>
    </row>
    <row r="25" customFormat="false" ht="23.85" hidden="false" customHeight="false" outlineLevel="0" collapsed="false">
      <c r="A25" s="5" t="s">
        <v>572</v>
      </c>
      <c r="B25" s="5" t="s">
        <v>573</v>
      </c>
      <c r="C25" s="5" t="s">
        <v>574</v>
      </c>
      <c r="D25" s="5" t="s">
        <v>575</v>
      </c>
      <c r="E25" s="5" t="s">
        <v>576</v>
      </c>
      <c r="F25" s="5" t="s">
        <v>116</v>
      </c>
      <c r="G25" s="5"/>
    </row>
    <row r="26" customFormat="false" ht="23.85" hidden="false" customHeight="false" outlineLevel="0" collapsed="false">
      <c r="A26" s="5" t="s">
        <v>577</v>
      </c>
      <c r="B26" s="5" t="s">
        <v>578</v>
      </c>
      <c r="C26" s="5" t="s">
        <v>579</v>
      </c>
      <c r="D26" s="5" t="s">
        <v>580</v>
      </c>
      <c r="E26" s="5" t="s">
        <v>364</v>
      </c>
      <c r="F26" s="5" t="s">
        <v>484</v>
      </c>
      <c r="G26" s="5" t="s">
        <v>581</v>
      </c>
    </row>
    <row r="27" customFormat="false" ht="23.85" hidden="false" customHeight="false" outlineLevel="0" collapsed="false">
      <c r="A27" s="5" t="s">
        <v>582</v>
      </c>
      <c r="B27" s="5" t="s">
        <v>583</v>
      </c>
      <c r="C27" s="5" t="s">
        <v>584</v>
      </c>
      <c r="D27" s="5" t="s">
        <v>457</v>
      </c>
      <c r="E27" s="5" t="s">
        <v>585</v>
      </c>
      <c r="F27" s="5" t="s">
        <v>586</v>
      </c>
      <c r="G27" s="5" t="s">
        <v>587</v>
      </c>
    </row>
    <row r="28" customFormat="false" ht="35.05" hidden="false" customHeight="false" outlineLevel="0" collapsed="false">
      <c r="A28" s="5" t="s">
        <v>588</v>
      </c>
      <c r="B28" s="5" t="s">
        <v>589</v>
      </c>
      <c r="C28" s="5" t="s">
        <v>590</v>
      </c>
      <c r="D28" s="5" t="s">
        <v>591</v>
      </c>
      <c r="E28" s="5" t="s">
        <v>592</v>
      </c>
      <c r="F28" s="5" t="s">
        <v>593</v>
      </c>
      <c r="G28" s="5"/>
    </row>
    <row r="29" customFormat="false" ht="35.05" hidden="false" customHeight="false" outlineLevel="0" collapsed="false">
      <c r="A29" s="5" t="s">
        <v>594</v>
      </c>
      <c r="B29" s="5" t="s">
        <v>595</v>
      </c>
      <c r="C29" s="5" t="s">
        <v>596</v>
      </c>
      <c r="D29" s="5" t="s">
        <v>597</v>
      </c>
      <c r="E29" s="5" t="s">
        <v>598</v>
      </c>
      <c r="F29" s="5" t="s">
        <v>593</v>
      </c>
      <c r="G29" s="5"/>
    </row>
  </sheetData>
  <autoFilter ref="A1:G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6"/>
    <col collapsed="false" customWidth="true" hidden="false" outlineLevel="0" max="3" min="3" style="0" width="50"/>
    <col collapsed="false" customWidth="true" hidden="false" outlineLevel="0" max="4" min="4" style="0" width="40"/>
  </cols>
  <sheetData>
    <row r="1" customFormat="false" ht="31.5" hidden="false" customHeight="true" outlineLevel="0" collapsed="false">
      <c r="A1" s="4" t="s">
        <v>599</v>
      </c>
      <c r="B1" s="4" t="s">
        <v>600</v>
      </c>
      <c r="C1" s="4" t="s">
        <v>601</v>
      </c>
      <c r="D1" s="4" t="s">
        <v>31</v>
      </c>
    </row>
    <row r="2" customFormat="false" ht="15" hidden="false" customHeight="false" outlineLevel="0" collapsed="false">
      <c r="A2" s="5" t="s">
        <v>602</v>
      </c>
      <c r="B2" s="5" t="s">
        <v>603</v>
      </c>
      <c r="C2" s="5" t="s">
        <v>604</v>
      </c>
      <c r="D2" s="5" t="s">
        <v>605</v>
      </c>
    </row>
    <row r="3" customFormat="false" ht="23.85" hidden="false" customHeight="false" outlineLevel="0" collapsed="false">
      <c r="A3" s="5" t="s">
        <v>606</v>
      </c>
      <c r="B3" s="5" t="s">
        <v>607</v>
      </c>
      <c r="C3" s="5" t="s">
        <v>608</v>
      </c>
      <c r="D3" s="5" t="s">
        <v>609</v>
      </c>
    </row>
    <row r="4" customFormat="false" ht="23.85" hidden="false" customHeight="false" outlineLevel="0" collapsed="false">
      <c r="A4" s="5" t="s">
        <v>606</v>
      </c>
      <c r="B4" s="5" t="s">
        <v>610</v>
      </c>
      <c r="C4" s="5" t="s">
        <v>611</v>
      </c>
      <c r="D4" s="5" t="s">
        <v>612</v>
      </c>
    </row>
    <row r="5" customFormat="false" ht="15" hidden="false" customHeight="false" outlineLevel="0" collapsed="false">
      <c r="A5" s="5" t="s">
        <v>613</v>
      </c>
      <c r="B5" s="5" t="s">
        <v>614</v>
      </c>
      <c r="C5" s="5" t="s">
        <v>615</v>
      </c>
      <c r="D5" s="5" t="s">
        <v>616</v>
      </c>
    </row>
    <row r="6" customFormat="false" ht="23.85" hidden="false" customHeight="false" outlineLevel="0" collapsed="false">
      <c r="A6" s="5" t="s">
        <v>617</v>
      </c>
      <c r="B6" s="5" t="s">
        <v>618</v>
      </c>
      <c r="C6" s="5" t="s">
        <v>619</v>
      </c>
      <c r="D6" s="5"/>
    </row>
    <row r="7" customFormat="false" ht="23.85" hidden="false" customHeight="false" outlineLevel="0" collapsed="false">
      <c r="A7" s="5" t="s">
        <v>620</v>
      </c>
      <c r="B7" s="5" t="s">
        <v>621</v>
      </c>
      <c r="C7" s="5" t="s">
        <v>615</v>
      </c>
      <c r="D7" s="5"/>
    </row>
    <row r="8" customFormat="false" ht="15" hidden="false" customHeight="false" outlineLevel="0" collapsed="false">
      <c r="A8" s="5" t="s">
        <v>622</v>
      </c>
      <c r="B8" s="5" t="s">
        <v>623</v>
      </c>
      <c r="C8" s="5" t="s">
        <v>624</v>
      </c>
      <c r="D8" s="5" t="s">
        <v>625</v>
      </c>
    </row>
    <row r="9" customFormat="false" ht="15" hidden="false" customHeight="false" outlineLevel="0" collapsed="false">
      <c r="A9" s="5" t="s">
        <v>626</v>
      </c>
      <c r="B9" s="5" t="s">
        <v>627</v>
      </c>
      <c r="C9" s="5" t="s">
        <v>628</v>
      </c>
      <c r="D9" s="5"/>
    </row>
    <row r="10" customFormat="false" ht="15" hidden="false" customHeight="false" outlineLevel="0" collapsed="false">
      <c r="A10" s="5" t="s">
        <v>629</v>
      </c>
      <c r="B10" s="5" t="s">
        <v>630</v>
      </c>
      <c r="C10" s="5" t="s">
        <v>631</v>
      </c>
      <c r="D10" s="5" t="s">
        <v>632</v>
      </c>
    </row>
    <row r="11" customFormat="false" ht="15" hidden="false" customHeight="false" outlineLevel="0" collapsed="false">
      <c r="A11" s="5" t="s">
        <v>633</v>
      </c>
      <c r="B11" s="5" t="s">
        <v>634</v>
      </c>
      <c r="C11" s="5" t="s">
        <v>635</v>
      </c>
      <c r="D11" s="5" t="s">
        <v>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2026-10-05T02:30:35Z</dcterms:created>
  <dc:creator>openpyxl</dc:creator>
  <dc:description/>
  <dc:language>en-US</dc:language>
  <cp:lastModifiedBy/>
  <dcterms:modified xsi:type="dcterms:W3CDTF">2026-10-05T02:30:35Z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
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em tra" sheetId="1" state="visible" r:id="rId1"/>
    <sheet xmlns:r="http://schemas.openxmlformats.org/officeDocument/2006/relationships" name="Huong dan" sheetId="2" state="visible" r:id="rId2"/>
    <sheet xmlns:r="http://schemas.openxmlformats.org/officeDocument/2006/relationships" name="Anh xa" sheetId="3" state="visible" r:id="rId3"/>
    <sheet xmlns:r="http://schemas.openxmlformats.org/officeDocument/2006/relationships" name="Yeu cau" sheetId="4" state="visible" r:id="rId4"/>
    <sheet xmlns:r="http://schemas.openxmlformats.org/officeDocument/2006/relationships" name="UI 3 cap" sheetId="5" state="visible" r:id="rId5"/>
    <sheet xmlns:r="http://schemas.openxmlformats.org/officeDocument/2006/relationships" name="REQ -&gt; UI" sheetId="6" state="visible" r:id="rId6"/>
    <sheet xmlns:r="http://schemas.openxmlformats.org/officeDocument/2006/relationships" name="UI -&gt; REQ" sheetId="7" state="visible" r:id="rId7"/>
    <sheet xmlns:r="http://schemas.openxmlformats.org/officeDocument/2006/relationships" name="Theo nhom"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0"/>
    </font>
    <font>
      <name val="Arial"/>
      <b val="1"/>
      <color rgb="00FFFFFF"/>
      <sz val="10"/>
    </font>
    <font>
      <name val="Arial"/>
      <b val="1"/>
      <sz val="10"/>
    </font>
  </fonts>
  <fills count="5">
    <fill>
      <patternFill/>
    </fill>
    <fill>
      <patternFill patternType="gray125"/>
    </fill>
    <fill>
      <patternFill patternType="solid">
        <fgColor rgb="00B8121F"/>
      </patternFill>
    </fill>
    <fill>
      <patternFill patternType="solid">
        <fgColor rgb="00FFF2CC"/>
      </patternFill>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3" fillId="2" borderId="1" applyAlignment="1" pivotButton="0" quotePrefix="0" xfId="0">
      <alignment vertical="center" wrapText="1"/>
    </xf>
    <xf numFmtId="0" fontId="2" fillId="0" borderId="1" applyAlignment="1" pivotButton="0" quotePrefix="0" xfId="0">
      <alignment vertical="top" wrapText="1"/>
    </xf>
    <xf numFmtId="0" fontId="4" fillId="0" borderId="1" applyAlignment="1" pivotButton="0" quotePrefix="0" xfId="0">
      <alignment vertical="top" wrapText="1"/>
    </xf>
    <xf numFmtId="0" fontId="1" fillId="0" borderId="0" applyAlignment="1" pivotButton="0" quotePrefix="0" xfId="0">
      <alignment wrapText="1"/>
    </xf>
    <xf numFmtId="0" fontId="2" fillId="0" borderId="0" applyAlignment="1" pivotButton="0" quotePrefix="0" xfId="0">
      <alignment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dxfs count="2">
    <dxf>
      <fill>
        <patternFill patternType="solid">
          <fgColor rgb="00F8CBAD"/>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60" customWidth="1" min="3" max="3"/>
  </cols>
  <sheetData>
    <row r="1" ht="30" customHeight="1">
      <c r="A1" s="1" t="inlineStr">
        <is>
          <t>Chỉ số</t>
        </is>
      </c>
      <c r="B1" s="1" t="inlineStr">
        <is>
          <t>Giá trị</t>
        </is>
      </c>
      <c r="C1" s="1" t="inlineStr">
        <is>
          <t>Ghi chú</t>
        </is>
      </c>
    </row>
    <row r="2">
      <c r="A2" s="2" t="inlineStr">
        <is>
          <t>Tổng số yêu cầu (MDD-40)</t>
        </is>
      </c>
      <c r="B2" s="2">
        <f>COUNTA('Yeu cau'!A2:A283)</f>
        <v/>
      </c>
      <c r="C2" s="2" t="inlineStr">
        <is>
          <t>Sheet Yeu cau</t>
        </is>
      </c>
    </row>
    <row r="3">
      <c r="A3" s="2" t="inlineStr">
        <is>
          <t>Yêu cầu CHƯA được UI nào phủ</t>
        </is>
      </c>
      <c r="B3" s="2">
        <f>COUNTIF('Yeu cau'!F2:F283,"THIẾU")</f>
        <v/>
      </c>
      <c r="C3" s="2" t="inlineStr">
        <is>
          <t>Phải = 0 (chiều Yêu cầu → UI)</t>
        </is>
      </c>
    </row>
    <row r="4">
      <c r="A4" s="2" t="inlineStr">
        <is>
          <t>Tổng số vùng (cấp 1)</t>
        </is>
      </c>
      <c r="B4" s="2">
        <f>COUNTIF('UI 3 cap'!B2:B328,1)</f>
        <v/>
      </c>
      <c r="C4" s="2" t="inlineStr"/>
    </row>
    <row r="5">
      <c r="A5" s="2" t="inlineStr">
        <is>
          <t>Tổng số khối (cấp 2)</t>
        </is>
      </c>
      <c r="B5" s="2">
        <f>COUNTIF('UI 3 cap'!B2:B328,2)</f>
        <v/>
      </c>
      <c r="C5" s="2" t="inlineStr"/>
    </row>
    <row r="6">
      <c r="A6" s="2" t="inlineStr">
        <is>
          <t>Tổng số widget/hành động (cấp 3)</t>
        </is>
      </c>
      <c r="B6" s="2">
        <f>COUNTIF('UI 3 cap'!B2:B328,3)</f>
        <v/>
      </c>
      <c r="C6" s="2" t="inlineStr"/>
    </row>
    <row r="7">
      <c r="A7" s="2" t="inlineStr">
        <is>
          <t>Widget cấp 3 CHƯA ánh xạ yêu cầu</t>
        </is>
      </c>
      <c r="B7" s="2">
        <f>COUNTIFS('UI 3 cap'!B2:B328,3,'UI 3 cap'!I2:I328,"THIẾU")</f>
        <v/>
      </c>
      <c r="C7" s="2" t="inlineStr">
        <is>
          <t>Phải = 0 (chiều UI → Yêu cầu)</t>
        </is>
      </c>
    </row>
    <row r="8">
      <c r="A8" s="2" t="inlineStr">
        <is>
          <t>Khối cấp 2 CHƯA ánh xạ</t>
        </is>
      </c>
      <c r="B8" s="2">
        <f>COUNTIFS('UI 3 cap'!B2:B328,2,'UI 3 cap'!I2:I328,"THIẾU")</f>
        <v/>
      </c>
      <c r="C8" s="2" t="inlineStr">
        <is>
          <t>Phải = 0</t>
        </is>
      </c>
    </row>
    <row r="9">
      <c r="A9" s="2" t="inlineStr">
        <is>
          <t>Vùng cấp 1 CHƯA ánh xạ</t>
        </is>
      </c>
      <c r="B9" s="2">
        <f>COUNTIFS('UI 3 cap'!B2:B328,1,'UI 3 cap'!I2:I328,"THIẾU")</f>
        <v/>
      </c>
      <c r="C9" s="2" t="inlineStr">
        <is>
          <t>Phải = 0</t>
        </is>
      </c>
    </row>
    <row r="10">
      <c r="A10" s="2" t="inlineStr">
        <is>
          <t>Tổng số cặp ánh xạ</t>
        </is>
      </c>
      <c r="B10" s="2">
        <f>COUNTA('Anh xa'!A2:A725)</f>
        <v/>
      </c>
      <c r="C10" s="2" t="inlineStr"/>
    </row>
    <row r="11">
      <c r="A11" s="2" t="inlineStr">
        <is>
          <t>Cặp có mã yêu cầu không tồn tại</t>
        </is>
      </c>
      <c r="B11" s="2">
        <f>SUMPRODUCT((COUNTIF('Yeu cau'!$A$2:$A$283,'Anh xa'!D2:D725)=0)*1)</f>
        <v/>
      </c>
      <c r="C11" s="2" t="inlineStr">
        <is>
          <t>Phải = 0</t>
        </is>
      </c>
    </row>
    <row r="12">
      <c r="A12" s="3" t="inlineStr">
        <is>
          <t>KẾT LUẬN</t>
        </is>
      </c>
      <c r="B12" s="2">
        <f>IF(AND(B3=0,B7=0,B8=0,B9=0,B11=0),"ĐẠT — kín hai chiều","KHÔNG ĐẠT — xem ô đỏ")</f>
        <v/>
      </c>
      <c r="C12" s="2" t="inlineStr"/>
    </row>
    <row r="13">
      <c r="A13" s="2" t="inlineStr">
        <is>
          <t>Yêu cầu theo trạng thái hiện thực: Đã làm</t>
        </is>
      </c>
      <c r="B13" s="2">
        <f>COUNTIF('Yeu cau'!G2:G283,"Đã làm")</f>
        <v/>
      </c>
      <c r="C13" s="2" t="inlineStr">
        <is>
          <t>Cột vàng do người điền</t>
        </is>
      </c>
    </row>
    <row r="14">
      <c r="A14" s="2" t="inlineStr">
        <is>
          <t>Yêu cầu theo trạng thái hiện thực: Đang làm</t>
        </is>
      </c>
      <c r="B14" s="2">
        <f>COUNTIF('Yeu cau'!G2:G283,"Đang làm")</f>
        <v/>
      </c>
      <c r="C14" s="2" t="inlineStr"/>
    </row>
    <row r="15">
      <c r="A15" s="2" t="inlineStr">
        <is>
          <t>Yêu cầu theo trạng thái hiện thực: Chưa làm</t>
        </is>
      </c>
      <c r="B15" s="2">
        <f>COUNTIF('Yeu cau'!G2:G283,"Chưa làm")</f>
        <v/>
      </c>
      <c r="C15" s="2" t="inlineStr"/>
    </row>
  </sheetData>
  <conditionalFormatting sqref="B3">
    <cfRule type="cellIs" priority="1" operator="greaterThan" dxfId="0">
      <formula>0</formula>
    </cfRule>
  </conditionalFormatting>
  <conditionalFormatting sqref="B7">
    <cfRule type="cellIs" priority="2" operator="greaterThan" dxfId="0">
      <formula>0</formula>
    </cfRule>
  </conditionalFormatting>
  <conditionalFormatting sqref="B8">
    <cfRule type="cellIs" priority="3" operator="greaterThan" dxfId="0">
      <formula>0</formula>
    </cfRule>
  </conditionalFormatting>
  <conditionalFormatting sqref="B9">
    <cfRule type="cellIs" priority="4" operator="greaterThan" dxfId="0">
      <formula>0</formula>
    </cfRule>
  </conditionalFormatting>
  <conditionalFormatting sqref="B11">
    <cfRule type="cellIs" priority="5" operator="greaterThan" dxfId="0">
      <formula>0</formula>
    </cfRule>
  </conditionalFormatting>
  <conditionalFormatting sqref="B12">
    <cfRule type="expression" priority="6" dxfId="1">
      <formula>LEFT(B12,3)="ĐẠT"</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4" t="inlineStr">
        <is>
          <t>MA TRẬN ÁNH XẠ HAI CHIỀU — YÊU CẦU (EIDE-MDD-40 v3.0) ↔ GIAO DIỆN (EIDE_v3.0_UI_prototype.html)</t>
        </is>
      </c>
    </row>
    <row r="2">
      <c r="A2" s="5" t="inlineStr"/>
    </row>
    <row r="3">
      <c r="A3" s="5" t="inlineStr">
        <is>
          <t>1. Nguồn: cả HTML và Excel này được sinh từ CÙNG một mô hình (ui_model.py). Mã UI trong HTML (bật 'Chế độ truy vết') trùng với cột 'Mã UI' ở đây.</t>
        </is>
      </c>
    </row>
    <row r="4">
      <c r="A4" s="5" t="inlineStr">
        <is>
          <t>2. Cấp UI: Cấp 1 = Vùng (A0–A14: thanh trạng thái, Console, 10 tab, thẻ cổng, thiết lập, dự án) · Cấp 2 = Khối (Ax.y) · Cấp 3 = Widget/Hành động (Ax.y.z).</t>
        </is>
      </c>
    </row>
    <row r="5">
      <c r="A5" s="5" t="inlineStr">
        <is>
          <t>3. Sheet 'Yeu cau': 198 yêu cầu rút từ MDD-40 (nguyên tắc, bất biến, chặng, UC, HumanAct, UICommand, cổng, hiện vật, lớp giải thích, quy tắc trình bày, đồng bộ khi sửa, changeset, snapshot, tầng, luồng datasheet, bố cục, ngữ cảnh, bộ nhớ, sự cố, năng lực). Cột 'Số UI ánh xạ' là CÔNG THỨC đếm từ sheet 'Anh xa'; = 0 → THIẾU.</t>
        </is>
      </c>
    </row>
    <row r="6">
      <c r="A6" s="5" t="inlineStr">
        <is>
          <t>4. Sheet 'UI 3 cap': toàn bộ cây UI. Cột 'Số yêu cầu' là công thức; widget cấp 3 = 0 → THIẾU (khối cấp 2 và vùng cấp 1 được phủ qua widget con hoặc yêu cầu gán trực tiếp).</t>
        </is>
      </c>
    </row>
    <row r="7">
      <c r="A7" s="5" t="inlineStr">
        <is>
          <t>5. Sheet 'Anh xa' (dạng dài): mỗi dòng một cặp (UI, yêu cầu). Đây là bảng gốc cho hai chiều; sửa ở đây thì hai sheet kiểm tra tự cập nhật.</t>
        </is>
      </c>
    </row>
    <row r="8">
      <c r="A8" s="5" t="inlineStr">
        <is>
          <t>6. Sheet 'REQ -&gt; UI' và 'UI -&gt; REQ': bảng đọc nhanh, mỗi dòng một ID với danh sách ID phía kia (chuỗi do trình sinh ghép) + công thức đếm để đối chiếu.</t>
        </is>
      </c>
    </row>
    <row r="9">
      <c r="A9" s="5" t="inlineStr">
        <is>
          <t>7. Sheet 'Kiem tra': tổng hợp; ô 'KẾT LUẬN' phải là ĐẠT (0 yêu cầu chưa phủ, 0 widget chưa ánh xạ).</t>
        </is>
      </c>
    </row>
    <row r="10">
      <c r="A10" s="5" t="inlineStr">
        <is>
          <t>8. Chỉ điền cột nền vàng (Ghi chú rà soát, Trạng thái hiện thực) khi dùng để theo dõi hiện thực; các cột khác do trình sinh quản lý.</t>
        </is>
      </c>
    </row>
    <row r="11">
      <c r="A11" s="5" t="inlineStr"/>
    </row>
    <row r="12">
      <c r="A12" s="5" t="inlineStr">
        <is>
          <t>Ngày sinh: 25/09/2026 · Nguồn yêu cầu: EIDE-MDD-40 v3.0 · Tác giả: Vũ Trí Công (Đề án ThS Kỹ thuật Điện tử — PTIT, GVHD TS. Nguyễn Trung Hiếu)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2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 customWidth="1" min="3" max="3"/>
    <col width="16" customWidth="1" min="4" max="4"/>
    <col width="22" customWidth="1" min="5" max="5"/>
    <col width="60" customWidth="1" min="6" max="6"/>
    <col width="18" customWidth="1" min="7" max="7"/>
    <col width="30" customWidth="1" min="8" max="8"/>
  </cols>
  <sheetData>
    <row r="1" ht="30" customHeight="1">
      <c r="A1" s="1" t="inlineStr">
        <is>
          <t>Mã UI</t>
        </is>
      </c>
      <c r="B1" s="1" t="inlineStr">
        <is>
          <t>Tên UI</t>
        </is>
      </c>
      <c r="C1" s="1" t="inlineStr">
        <is>
          <t>Cấp</t>
        </is>
      </c>
      <c r="D1" s="1" t="inlineStr">
        <is>
          <t>Mã yêu cầu</t>
        </is>
      </c>
      <c r="E1" s="1" t="inlineStr">
        <is>
          <t>Nhóm yêu cầu</t>
        </is>
      </c>
      <c r="F1" s="1" t="inlineStr">
        <is>
          <t>Mô tả yêu cầu</t>
        </is>
      </c>
      <c r="G1" s="1" t="inlineStr">
        <is>
          <t>Nguồn §</t>
        </is>
      </c>
      <c r="H1" s="1" t="inlineStr">
        <is>
          <t>Ghi chú rà soát</t>
        </is>
      </c>
    </row>
    <row r="2">
      <c r="A2" s="2" t="inlineStr">
        <is>
          <t>A0.1</t>
        </is>
      </c>
      <c r="B2" s="2" t="inlineStr">
        <is>
          <t>Trạng thái dự án</t>
        </is>
      </c>
      <c r="C2" s="2" t="n">
        <v>2</v>
      </c>
      <c r="D2" s="2" t="inlineStr">
        <is>
          <t>LY-statusbar</t>
        </is>
      </c>
      <c r="E2" s="2" t="inlineStr">
        <is>
          <t>Bố cục</t>
        </is>
      </c>
      <c r="F2" s="2" t="inlineStr">
        <is>
          <t>Thanh trạng thái: dự án, nhánh, chip, Fact theo tầng, chặng, snapshot + khoảng cách, STALE</t>
        </is>
      </c>
      <c r="G2" s="2" t="inlineStr">
        <is>
          <t>MDD-40 E7</t>
        </is>
      </c>
      <c r="H2" s="6" t="inlineStr"/>
    </row>
    <row r="3">
      <c r="A3" s="2" t="inlineStr">
        <is>
          <t>A0.1</t>
        </is>
      </c>
      <c r="B3" s="2" t="inlineStr">
        <is>
          <t>Trạng thái dự án</t>
        </is>
      </c>
      <c r="C3" s="2" t="n">
        <v>2</v>
      </c>
      <c r="D3" s="2" t="inlineStr">
        <is>
          <t>N3</t>
        </is>
      </c>
      <c r="E3" s="2" t="inlineStr">
        <is>
          <t>Nguyên tắc</t>
        </is>
      </c>
      <c r="F3" s="2" t="inlineStr">
        <is>
          <t>Kiểm kê xác định — tình trạng dự án do mã dựng, hiển thị cho người</t>
        </is>
      </c>
      <c r="G3" s="2" t="inlineStr">
        <is>
          <t>MDD-40 A3</t>
        </is>
      </c>
      <c r="H3" s="6" t="inlineStr"/>
    </row>
    <row r="4">
      <c r="A4" s="2" t="inlineStr">
        <is>
          <t>A0.1.1</t>
        </is>
      </c>
      <c r="B4" s="2" t="inlineStr">
        <is>
          <t>Tên dự án + nhánh hiện tại</t>
        </is>
      </c>
      <c r="C4" s="2" t="n">
        <v>3</v>
      </c>
      <c r="D4" s="2" t="inlineStr">
        <is>
          <t>LY-statusbar</t>
        </is>
      </c>
      <c r="E4" s="2" t="inlineStr">
        <is>
          <t>Bố cục</t>
        </is>
      </c>
      <c r="F4" s="2" t="inlineStr">
        <is>
          <t>Thanh trạng thái: dự án, nhánh, chip, Fact theo tầng, chặng, snapshot + khoảng cách, STALE</t>
        </is>
      </c>
      <c r="G4" s="2" t="inlineStr">
        <is>
          <t>MDD-40 E7</t>
        </is>
      </c>
      <c r="H4" s="6" t="inlineStr"/>
    </row>
    <row r="5">
      <c r="A5" s="2" t="inlineStr">
        <is>
          <t>A0.1.1</t>
        </is>
      </c>
      <c r="B5" s="2" t="inlineStr">
        <is>
          <t>Tên dự án + nhánh hiện tại</t>
        </is>
      </c>
      <c r="C5" s="2" t="n">
        <v>3</v>
      </c>
      <c r="D5" s="2" t="inlineStr">
        <is>
          <t>CS-branch</t>
        </is>
      </c>
      <c r="E5" s="2" t="inlineStr">
        <is>
          <t>Changeset &amp; rollback</t>
        </is>
      </c>
      <c r="F5" s="2" t="inlineStr">
        <is>
          <t>Rẽ nhánh phương án; so sánh; gộp</t>
        </is>
      </c>
      <c r="G5" s="2" t="inlineStr">
        <is>
          <t>MDD-40 E5</t>
        </is>
      </c>
      <c r="H5" s="6" t="inlineStr"/>
    </row>
    <row r="6">
      <c r="A6" s="2" t="inlineStr">
        <is>
          <t>A0.1.1</t>
        </is>
      </c>
      <c r="B6" s="2" t="inlineStr">
        <is>
          <t>Tên dự án + nhánh hiện tại</t>
        </is>
      </c>
      <c r="C6" s="2" t="n">
        <v>3</v>
      </c>
      <c r="D6" s="2" t="inlineStr">
        <is>
          <t>UC17</t>
        </is>
      </c>
      <c r="E6" s="2" t="inlineStr">
        <is>
          <t>Usecase</t>
        </is>
      </c>
      <c r="F6" s="2" t="inlineStr">
        <is>
          <t>Quản lý phiên/dự án</t>
        </is>
      </c>
      <c r="G6" s="2" t="inlineStr">
        <is>
          <t>Excel 76 TC</t>
        </is>
      </c>
      <c r="H6" s="6" t="inlineStr"/>
    </row>
    <row r="7">
      <c r="A7" s="2" t="inlineStr">
        <is>
          <t>A0.1.2</t>
        </is>
      </c>
      <c r="B7" s="2" t="inlineStr">
        <is>
          <t>Chip đã ghim (ns.part@semver) + ISA</t>
        </is>
      </c>
      <c r="C7" s="2" t="n">
        <v>3</v>
      </c>
      <c r="D7" s="2" t="inlineStr">
        <is>
          <t>AR05</t>
        </is>
      </c>
      <c r="E7" s="2" t="inlineStr">
        <is>
          <t>Hiện vật (E2)</t>
        </is>
      </c>
      <c r="F7" s="2" t="inlineStr">
        <is>
          <t>Hộ chiếu chip</t>
        </is>
      </c>
      <c r="G7" s="2" t="inlineStr">
        <is>
          <t>MDD-40 E2</t>
        </is>
      </c>
      <c r="H7" s="6" t="inlineStr"/>
    </row>
    <row r="8">
      <c r="A8" s="2" t="inlineStr">
        <is>
          <t>A0.1.2</t>
        </is>
      </c>
      <c r="B8" s="2" t="inlineStr">
        <is>
          <t>Chip đã ghim (ns.part@semver) + ISA</t>
        </is>
      </c>
      <c r="C8" s="2" t="n">
        <v>3</v>
      </c>
      <c r="D8" s="2" t="inlineStr">
        <is>
          <t>DS6</t>
        </is>
      </c>
      <c r="E8" s="2" t="inlineStr">
        <is>
          <t>Luồng datasheet</t>
        </is>
      </c>
      <c r="F8" s="2" t="inlineStr">
        <is>
          <t>Ghim hộ chiếu; đối chiếu ISA</t>
        </is>
      </c>
      <c r="G8" s="2" t="inlineStr">
        <is>
          <t>MDD-40 C3</t>
        </is>
      </c>
      <c r="H8" s="6" t="inlineStr"/>
    </row>
    <row r="9">
      <c r="A9" s="2" t="inlineStr">
        <is>
          <t>A0.1.3</t>
        </is>
      </c>
      <c r="B9" s="2" t="inlineStr">
        <is>
          <t>Fact theo tầng (VÀNG/BẠC/NGƯỜI/ĐỒNG)</t>
        </is>
      </c>
      <c r="C9" s="2" t="n">
        <v>3</v>
      </c>
      <c r="D9" s="2" t="inlineStr">
        <is>
          <t>T-VANG</t>
        </is>
      </c>
      <c r="E9" s="2" t="inlineStr">
        <is>
          <t>Tầng dữ liệu</t>
        </is>
      </c>
      <c r="F9" s="2" t="inlineStr">
        <is>
          <t>Tầng VÀNG — nền vàng, khoá, mở trang nguồn</t>
        </is>
      </c>
      <c r="G9" s="2" t="inlineStr">
        <is>
          <t>MDD-40 C1</t>
        </is>
      </c>
      <c r="H9" s="6" t="inlineStr"/>
    </row>
    <row r="10">
      <c r="A10" s="2" t="inlineStr">
        <is>
          <t>A0.1.3</t>
        </is>
      </c>
      <c r="B10" s="2" t="inlineStr">
        <is>
          <t>Fact theo tầng (VÀNG/BẠC/NGƯỜI/ĐỒNG)</t>
        </is>
      </c>
      <c r="C10" s="2" t="n">
        <v>3</v>
      </c>
      <c r="D10" s="2" t="inlineStr">
        <is>
          <t>T-BAC</t>
        </is>
      </c>
      <c r="E10" s="2" t="inlineStr">
        <is>
          <t>Tầng dữ liệu</t>
        </is>
      </c>
      <c r="F10" s="2" t="inlineStr">
        <is>
          <t>Tầng BẠC — nền xám, nút Xác nhận</t>
        </is>
      </c>
      <c r="G10" s="2" t="inlineStr">
        <is>
          <t>MDD-40 C1</t>
        </is>
      </c>
      <c r="H10" s="6" t="inlineStr"/>
    </row>
    <row r="11">
      <c r="A11" s="2" t="inlineStr">
        <is>
          <t>A0.1.3</t>
        </is>
      </c>
      <c r="B11" s="2" t="inlineStr">
        <is>
          <t>Fact theo tầng (VÀNG/BẠC/NGƯỜI/ĐỒNG)</t>
        </is>
      </c>
      <c r="C11" s="2" t="n">
        <v>3</v>
      </c>
      <c r="D11" s="2" t="inlineStr">
        <is>
          <t>T-NGUOI</t>
        </is>
      </c>
      <c r="E11" s="2" t="inlineStr">
        <is>
          <t>Tầng dữ liệu</t>
        </is>
      </c>
      <c r="F11" s="2" t="inlineStr">
        <is>
          <t>Tầng NGƯỜI — 'anh cho, chưa có tài liệu', nút Tìm tài liệu</t>
        </is>
      </c>
      <c r="G11" s="2" t="inlineStr">
        <is>
          <t>MDD-40 C1</t>
        </is>
      </c>
      <c r="H11" s="6" t="inlineStr"/>
    </row>
    <row r="12">
      <c r="A12" s="2" t="inlineStr">
        <is>
          <t>A0.1.3</t>
        </is>
      </c>
      <c r="B12" s="2" t="inlineStr">
        <is>
          <t>Fact theo tầng (VÀNG/BẠC/NGƯỜI/ĐỒNG)</t>
        </is>
      </c>
      <c r="C12" s="2" t="n">
        <v>3</v>
      </c>
      <c r="D12" s="2" t="inlineStr">
        <is>
          <t>T-DONG</t>
        </is>
      </c>
      <c r="E12" s="2" t="inlineStr">
        <is>
          <t>Tầng dữ liệu</t>
        </is>
      </c>
      <c r="F12" s="2" t="inlineStr">
        <is>
          <t>Tầng ĐỒNG — nghiêng, 'chưa kiểm chứng'</t>
        </is>
      </c>
      <c r="G12" s="2" t="inlineStr">
        <is>
          <t>MDD-40 C1</t>
        </is>
      </c>
      <c r="H12" s="6" t="inlineStr"/>
    </row>
    <row r="13">
      <c r="A13" s="2" t="inlineStr">
        <is>
          <t>A0.1.3</t>
        </is>
      </c>
      <c r="B13" s="2" t="inlineStr">
        <is>
          <t>Fact theo tầng (VÀNG/BẠC/NGƯỜI/ĐỒNG)</t>
        </is>
      </c>
      <c r="C13" s="2" t="n">
        <v>3</v>
      </c>
      <c r="D13" s="2" t="inlineStr">
        <is>
          <t>N2</t>
        </is>
      </c>
      <c r="E13" s="2" t="inlineStr">
        <is>
          <t>Nguyên tắc</t>
        </is>
      </c>
      <c r="F13" s="2" t="inlineStr">
        <is>
          <t>Bốn tầng tin cậy VÀNG/BẠC/NGƯỜI/ĐỒNG; ĐỒNG không là vế so sánh</t>
        </is>
      </c>
      <c r="G13" s="2" t="inlineStr">
        <is>
          <t>MDD-40 A3</t>
        </is>
      </c>
      <c r="H13" s="6" t="inlineStr"/>
    </row>
    <row r="14">
      <c r="A14" s="2" t="inlineStr">
        <is>
          <t>A0.1.4</t>
        </is>
      </c>
      <c r="B14" s="2" t="inlineStr">
        <is>
          <t>Chặng hiện tại C1–C7</t>
        </is>
      </c>
      <c r="C14" s="2" t="n">
        <v>3</v>
      </c>
      <c r="D14" s="2" t="inlineStr">
        <is>
          <t>C1</t>
        </is>
      </c>
      <c r="E14" s="2" t="inlineStr">
        <is>
          <t>Chặng</t>
        </is>
      </c>
      <c r="F14" s="2" t="inlineStr">
        <is>
          <t>Làm rõ ý tưởng &amp; đề xuất giải pháp</t>
        </is>
      </c>
      <c r="G14" s="2" t="inlineStr">
        <is>
          <t>MDD-40 A4</t>
        </is>
      </c>
      <c r="H14" s="6" t="inlineStr"/>
    </row>
    <row r="15">
      <c r="A15" s="2" t="inlineStr">
        <is>
          <t>A0.1.4</t>
        </is>
      </c>
      <c r="B15" s="2" t="inlineStr">
        <is>
          <t>Chặng hiện tại C1–C7</t>
        </is>
      </c>
      <c r="C15" s="2" t="n">
        <v>3</v>
      </c>
      <c r="D15" s="2" t="inlineStr">
        <is>
          <t>C2</t>
        </is>
      </c>
      <c r="E15" s="2" t="inlineStr">
        <is>
          <t>Chặng</t>
        </is>
      </c>
      <c r="F15" s="2" t="inlineStr">
        <is>
          <t>Tài liệu &amp; Bản đồ tri thức mạch</t>
        </is>
      </c>
      <c r="G15" s="2" t="inlineStr">
        <is>
          <t>MDD-40 A4</t>
        </is>
      </c>
      <c r="H15" s="6" t="inlineStr"/>
    </row>
    <row r="16">
      <c r="A16" s="2" t="inlineStr">
        <is>
          <t>A0.1.4</t>
        </is>
      </c>
      <c r="B16" s="2" t="inlineStr">
        <is>
          <t>Chặng hiện tại C1–C7</t>
        </is>
      </c>
      <c r="C16" s="2" t="n">
        <v>3</v>
      </c>
      <c r="D16" s="2" t="inlineStr">
        <is>
          <t>C3</t>
        </is>
      </c>
      <c r="E16" s="2" t="inlineStr">
        <is>
          <t>Chặng</t>
        </is>
      </c>
      <c r="F16" s="2" t="inlineStr">
        <is>
          <t>Môi trường công cụ</t>
        </is>
      </c>
      <c r="G16" s="2" t="inlineStr">
        <is>
          <t>MDD-40 A4</t>
        </is>
      </c>
      <c r="H16" s="6" t="inlineStr"/>
    </row>
    <row r="17">
      <c r="A17" s="2" t="inlineStr">
        <is>
          <t>A0.1.4</t>
        </is>
      </c>
      <c r="B17" s="2" t="inlineStr">
        <is>
          <t>Chặng hiện tại C1–C7</t>
        </is>
      </c>
      <c r="C17" s="2" t="n">
        <v>3</v>
      </c>
      <c r="D17" s="2" t="inlineStr">
        <is>
          <t>C4</t>
        </is>
      </c>
      <c r="E17" s="2" t="inlineStr">
        <is>
          <t>Chặng</t>
        </is>
      </c>
      <c r="F17" s="2" t="inlineStr">
        <is>
          <t>Firmware</t>
        </is>
      </c>
      <c r="G17" s="2" t="inlineStr">
        <is>
          <t>MDD-40 A4</t>
        </is>
      </c>
      <c r="H17" s="6" t="inlineStr"/>
    </row>
    <row r="18">
      <c r="A18" s="2" t="inlineStr">
        <is>
          <t>A0.1.4</t>
        </is>
      </c>
      <c r="B18" s="2" t="inlineStr">
        <is>
          <t>Chặng hiện tại C1–C7</t>
        </is>
      </c>
      <c r="C18" s="2" t="n">
        <v>3</v>
      </c>
      <c r="D18" s="2" t="inlineStr">
        <is>
          <t>C5</t>
        </is>
      </c>
      <c r="E18" s="2" t="inlineStr">
        <is>
          <t>Chặng</t>
        </is>
      </c>
      <c r="F18" s="2" t="inlineStr">
        <is>
          <t>Mô phỏng</t>
        </is>
      </c>
      <c r="G18" s="2" t="inlineStr">
        <is>
          <t>MDD-40 A4</t>
        </is>
      </c>
      <c r="H18" s="6" t="inlineStr"/>
    </row>
    <row r="19">
      <c r="A19" s="2" t="inlineStr">
        <is>
          <t>A0.1.4</t>
        </is>
      </c>
      <c r="B19" s="2" t="inlineStr">
        <is>
          <t>Chặng hiện tại C1–C7</t>
        </is>
      </c>
      <c r="C19" s="2" t="n">
        <v>3</v>
      </c>
      <c r="D19" s="2" t="inlineStr">
        <is>
          <t>C6</t>
        </is>
      </c>
      <c r="E19" s="2" t="inlineStr">
        <is>
          <t>Chặng</t>
        </is>
      </c>
      <c r="F19" s="2" t="inlineStr">
        <is>
          <t>Mạch thật</t>
        </is>
      </c>
      <c r="G19" s="2" t="inlineStr">
        <is>
          <t>MDD-40 A4</t>
        </is>
      </c>
      <c r="H19" s="6" t="inlineStr"/>
    </row>
    <row r="20">
      <c r="A20" s="2" t="inlineStr">
        <is>
          <t>A0.1.4</t>
        </is>
      </c>
      <c r="B20" s="2" t="inlineStr">
        <is>
          <t>Chặng hiện tại C1–C7</t>
        </is>
      </c>
      <c r="C20" s="2" t="n">
        <v>3</v>
      </c>
      <c r="D20" s="2" t="inlineStr">
        <is>
          <t>C7</t>
        </is>
      </c>
      <c r="E20" s="2" t="inlineStr">
        <is>
          <t>Chặng</t>
        </is>
      </c>
      <c r="F20" s="2" t="inlineStr">
        <is>
          <t>Xuyên suốt (lịch sử, snapshot, sổ cái, tài liệu, báo cáo)</t>
        </is>
      </c>
      <c r="G20" s="2" t="inlineStr">
        <is>
          <t>MDD-40 A4</t>
        </is>
      </c>
      <c r="H20" s="6" t="inlineStr"/>
    </row>
    <row r="21">
      <c r="A21" s="2" t="inlineStr">
        <is>
          <t>A0.1.4</t>
        </is>
      </c>
      <c r="B21" s="2" t="inlineStr">
        <is>
          <t>Chặng hiện tại C1–C7</t>
        </is>
      </c>
      <c r="C21" s="2" t="n">
        <v>3</v>
      </c>
      <c r="D21" s="2" t="inlineStr">
        <is>
          <t>CX-inventory</t>
        </is>
      </c>
      <c r="E21" s="2" t="inlineStr">
        <is>
          <t>Ngữ cảnh tác tử</t>
        </is>
      </c>
      <c r="F21" s="2" t="inlineStr">
        <is>
          <t>&lt;inventory&gt; hiển thị cho người</t>
        </is>
      </c>
      <c r="G21" s="2" t="inlineStr">
        <is>
          <t>MDD-40 B2/B5</t>
        </is>
      </c>
      <c r="H21" s="6" t="inlineStr"/>
    </row>
    <row r="22">
      <c r="A22" s="2" t="inlineStr">
        <is>
          <t>A0.1.5</t>
        </is>
      </c>
      <c r="B22" s="2" t="inlineStr">
        <is>
          <t>Snapshot gần nhất + khoảng cách (changeset)</t>
        </is>
      </c>
      <c r="C22" s="2" t="n">
        <v>3</v>
      </c>
      <c r="D22" s="2" t="inlineStr">
        <is>
          <t>SN-resume-info</t>
        </is>
      </c>
      <c r="E22" s="2" t="inlineStr">
        <is>
          <t>Snapshot</t>
        </is>
      </c>
      <c r="F22" s="2" t="inlineStr">
        <is>
          <t>Mở lại dự án nêu snapshot gần nhất + khoảng cách</t>
        </is>
      </c>
      <c r="G22" s="2" t="inlineStr">
        <is>
          <t>MDD-40 E6</t>
        </is>
      </c>
      <c r="H22" s="6" t="inlineStr"/>
    </row>
    <row r="23">
      <c r="A23" s="2" t="inlineStr">
        <is>
          <t>A0.1.5</t>
        </is>
      </c>
      <c r="B23" s="2" t="inlineStr">
        <is>
          <t>Snapshot gần nhất + khoảng cách (changeset)</t>
        </is>
      </c>
      <c r="C23" s="2" t="n">
        <v>3</v>
      </c>
      <c r="D23" s="2" t="inlineStr">
        <is>
          <t>LY-statusbar</t>
        </is>
      </c>
      <c r="E23" s="2" t="inlineStr">
        <is>
          <t>Bố cục</t>
        </is>
      </c>
      <c r="F23" s="2" t="inlineStr">
        <is>
          <t>Thanh trạng thái: dự án, nhánh, chip, Fact theo tầng, chặng, snapshot + khoảng cách, STALE</t>
        </is>
      </c>
      <c r="G23" s="2" t="inlineStr">
        <is>
          <t>MDD-40 E7</t>
        </is>
      </c>
      <c r="H23" s="6" t="inlineStr"/>
    </row>
    <row r="24">
      <c r="A24" s="2" t="inlineStr">
        <is>
          <t>A0.1.6</t>
        </is>
      </c>
      <c r="B24" s="2" t="inlineStr">
        <is>
          <t>Số hiện vật STALE (bấm → Lịch sử)</t>
        </is>
      </c>
      <c r="C24" s="2" t="n">
        <v>3</v>
      </c>
      <c r="D24" s="2" t="inlineStr">
        <is>
          <t>CS-stale</t>
        </is>
      </c>
      <c r="E24" s="2" t="inlineStr">
        <is>
          <t>Changeset &amp; rollback</t>
        </is>
      </c>
      <c r="F24" s="2" t="inlineStr">
        <is>
          <t>Đồ thị phụ thuộc + STALE + chấp nhận STALE</t>
        </is>
      </c>
      <c r="G24" s="2" t="inlineStr">
        <is>
          <t>MDD-40 E5</t>
        </is>
      </c>
      <c r="H24" s="6" t="inlineStr"/>
    </row>
    <row r="25">
      <c r="A25" s="2" t="inlineStr">
        <is>
          <t>A0.1.6</t>
        </is>
      </c>
      <c r="B25" s="2" t="inlineStr">
        <is>
          <t>Số hiện vật STALE (bấm → Lịch sử)</t>
        </is>
      </c>
      <c r="C25" s="2" t="n">
        <v>3</v>
      </c>
      <c r="D25" s="2" t="inlineStr">
        <is>
          <t>PR3</t>
        </is>
      </c>
      <c r="E25" s="2" t="inlineStr">
        <is>
          <t>Quy tắc trình bày</t>
        </is>
      </c>
      <c r="F25" s="2" t="inlineStr">
        <is>
          <t>Luôn nói khác biệt; băng STALE</t>
        </is>
      </c>
      <c r="G25" s="2" t="inlineStr">
        <is>
          <t>MDD-40 E3.2</t>
        </is>
      </c>
      <c r="H25" s="6" t="inlineStr"/>
    </row>
    <row r="26">
      <c r="A26" s="2" t="inlineStr">
        <is>
          <t>A0.1.7</t>
        </is>
      </c>
      <c r="B26" s="2" t="inlineStr">
        <is>
          <t>Mức tự chủ hiện tại (A0–A4) + mô hình</t>
        </is>
      </c>
      <c r="C26" s="2" t="n">
        <v>3</v>
      </c>
      <c r="D26" s="2" t="inlineStr">
        <is>
          <t>MM-autonomy</t>
        </is>
      </c>
      <c r="E26" s="2" t="inlineStr">
        <is>
          <t>Bộ nhớ người dùng</t>
        </is>
      </c>
      <c r="F26" s="2" t="inlineStr">
        <is>
          <t>Mức tự chủ A0–A4</t>
        </is>
      </c>
      <c r="G26" s="2" t="inlineStr">
        <is>
          <t>MDD-40 B6/E3.4</t>
        </is>
      </c>
      <c r="H26" s="6" t="inlineStr"/>
    </row>
    <row r="27">
      <c r="A27" s="2" t="inlineStr">
        <is>
          <t>A0.1.7</t>
        </is>
      </c>
      <c r="B27" s="2" t="inlineStr">
        <is>
          <t>Mức tự chủ hiện tại (A0–A4) + mô hình</t>
        </is>
      </c>
      <c r="C27" s="2" t="n">
        <v>3</v>
      </c>
      <c r="D27" s="2" t="inlineStr">
        <is>
          <t>MM-model</t>
        </is>
      </c>
      <c r="E27" s="2" t="inlineStr">
        <is>
          <t>Bộ nhớ người dùng</t>
        </is>
      </c>
      <c r="F27" s="2" t="inlineStr">
        <is>
          <t>Chọn mô hình theo vai trò</t>
        </is>
      </c>
      <c r="G27" s="2" t="inlineStr">
        <is>
          <t>MDD-40 B6/E3.4</t>
        </is>
      </c>
      <c r="H27" s="6" t="inlineStr"/>
    </row>
    <row r="28">
      <c r="A28" s="2" t="inlineStr">
        <is>
          <t>A0.1.8</t>
        </is>
      </c>
      <c r="B28" s="2" t="inlineStr">
        <is>
          <t>Ngân sách lượt: tool/40 · giây/300 · ngữ cảnh %</t>
        </is>
      </c>
      <c r="C28" s="2" t="n">
        <v>3</v>
      </c>
      <c r="D28" s="2" t="inlineStr">
        <is>
          <t>CX-budget</t>
        </is>
      </c>
      <c r="E28" s="2" t="inlineStr">
        <is>
          <t>Ngữ cảnh tác tử</t>
        </is>
      </c>
      <c r="F28" s="2" t="inlineStr">
        <is>
          <t>Ngân sách: tool/lượt, thời gian, ngữ cảnh</t>
        </is>
      </c>
      <c r="G28" s="2" t="inlineStr">
        <is>
          <t>MDD-40 B2/B5</t>
        </is>
      </c>
      <c r="H28" s="6" t="inlineStr"/>
    </row>
    <row r="29">
      <c r="A29" s="2" t="inlineStr">
        <is>
          <t>A0.1.8</t>
        </is>
      </c>
      <c r="B29" s="2" t="inlineStr">
        <is>
          <t>Ngân sách lượt: tool/40 · giây/300 · ngữ cảnh %</t>
        </is>
      </c>
      <c r="C29" s="2" t="n">
        <v>3</v>
      </c>
      <c r="D29" s="2" t="inlineStr">
        <is>
          <t>IN-timeout</t>
        </is>
      </c>
      <c r="E29" s="2" t="inlineStr">
        <is>
          <t>Sự cố (UC19)</t>
        </is>
      </c>
      <c r="F29" s="2" t="inlineStr">
        <is>
          <t>Quá 300 s: thả người, nói thật</t>
        </is>
      </c>
      <c r="G29" s="2" t="inlineStr">
        <is>
          <t>MDD-40 B1/UC19</t>
        </is>
      </c>
      <c r="H29" s="6" t="inlineStr"/>
    </row>
    <row r="30">
      <c r="A30" s="2" t="inlineStr">
        <is>
          <t>A0.1.9</t>
        </is>
      </c>
      <c r="B30" s="2" t="inlineStr">
        <is>
          <t>Trạng thái kết nối lõi/mạng</t>
        </is>
      </c>
      <c r="C30" s="2" t="n">
        <v>3</v>
      </c>
      <c r="D30" s="2" t="inlineStr">
        <is>
          <t>IN-network</t>
        </is>
      </c>
      <c r="E30" s="2" t="inlineStr">
        <is>
          <t>Sự cố (UC19)</t>
        </is>
      </c>
      <c r="F30" s="2" t="inlineStr">
        <is>
          <t>Mất mạng: báo đúng lỗi mạng, lưu trạng thái</t>
        </is>
      </c>
      <c r="G30" s="2" t="inlineStr">
        <is>
          <t>MDD-40 B1/UC19</t>
        </is>
      </c>
      <c r="H30" s="6" t="inlineStr"/>
    </row>
    <row r="31">
      <c r="A31" s="2" t="inlineStr">
        <is>
          <t>A0.1.9</t>
        </is>
      </c>
      <c r="B31" s="2" t="inlineStr">
        <is>
          <t>Trạng thái kết nối lõi/mạng</t>
        </is>
      </c>
      <c r="C31" s="2" t="n">
        <v>3</v>
      </c>
      <c r="D31" s="2" t="inlineStr">
        <is>
          <t>I5</t>
        </is>
      </c>
      <c r="E31" s="2" t="inlineStr">
        <is>
          <t>Bất biến giao thức</t>
        </is>
      </c>
      <c r="F31" s="2" t="inlineStr">
        <is>
          <t>Có thứ tự, không trùng, khôi phục được (seq/resume)</t>
        </is>
      </c>
      <c r="G31" s="2" t="inlineStr">
        <is>
          <t>MDD-40 D1</t>
        </is>
      </c>
      <c r="H31" s="6" t="inlineStr"/>
    </row>
    <row r="32">
      <c r="A32" s="2" t="inlineStr">
        <is>
          <t>A1.1</t>
        </is>
      </c>
      <c r="B32" s="2" t="inlineStr">
        <is>
          <t>Dòng hội thoại (transcript)</t>
        </is>
      </c>
      <c r="C32" s="2" t="n">
        <v>2</v>
      </c>
      <c r="D32" s="2" t="inlineStr">
        <is>
          <t>I2</t>
        </is>
      </c>
      <c r="E32" s="2" t="inlineStr">
        <is>
          <t>Bất biến giao thức</t>
        </is>
      </c>
      <c r="F32" s="2" t="inlineStr">
        <is>
          <t>Một dòng hội thoại: mọi HumanAct và lời tác tử trong transcript</t>
        </is>
      </c>
      <c r="G32" s="2" t="inlineStr">
        <is>
          <t>MDD-40 D1</t>
        </is>
      </c>
      <c r="H32" s="6" t="inlineStr"/>
    </row>
    <row r="33">
      <c r="A33" s="2" t="inlineStr">
        <is>
          <t>A1.1</t>
        </is>
      </c>
      <c r="B33" s="2" t="inlineStr">
        <is>
          <t>Dòng hội thoại (transcript)</t>
        </is>
      </c>
      <c r="C33" s="2" t="n">
        <v>2</v>
      </c>
      <c r="D33" s="2" t="inlineStr">
        <is>
          <t>UI-console.post</t>
        </is>
      </c>
      <c r="E33" s="2" t="inlineStr">
        <is>
          <t>UICommand</t>
        </is>
      </c>
      <c r="F33" s="2" t="inlineStr">
        <is>
          <t>Đăng lời tác tử + thẻ</t>
        </is>
      </c>
      <c r="G33" s="2" t="inlineStr">
        <is>
          <t>MDD-40 D2</t>
        </is>
      </c>
      <c r="H33" s="6" t="inlineStr"/>
    </row>
    <row r="34">
      <c r="A34" s="2" t="inlineStr">
        <is>
          <t>A1.1</t>
        </is>
      </c>
      <c r="B34" s="2" t="inlineStr">
        <is>
          <t>Dòng hội thoại (transcript)</t>
        </is>
      </c>
      <c r="C34" s="2" t="n">
        <v>2</v>
      </c>
      <c r="D34" s="2" t="inlineStr">
        <is>
          <t>UI-console.stream</t>
        </is>
      </c>
      <c r="E34" s="2" t="inlineStr">
        <is>
          <t>UICommand</t>
        </is>
      </c>
      <c r="F34" s="2" t="inlineStr">
        <is>
          <t>Stream văn bản</t>
        </is>
      </c>
      <c r="G34" s="2" t="inlineStr">
        <is>
          <t>MDD-40 D2</t>
        </is>
      </c>
      <c r="H34" s="6" t="inlineStr"/>
    </row>
    <row r="35">
      <c r="A35" s="2" t="inlineStr">
        <is>
          <t>A1.1.1</t>
        </is>
      </c>
      <c r="B35" s="2" t="inlineStr">
        <is>
          <t>Dòng [Tác tử] (stream, markdown, liên kết mở tab)</t>
        </is>
      </c>
      <c r="C35" s="2" t="n">
        <v>3</v>
      </c>
      <c r="D35" s="2" t="inlineStr">
        <is>
          <t>UI-console.post</t>
        </is>
      </c>
      <c r="E35" s="2" t="inlineStr">
        <is>
          <t>UICommand</t>
        </is>
      </c>
      <c r="F35" s="2" t="inlineStr">
        <is>
          <t>Đăng lời tác tử + thẻ</t>
        </is>
      </c>
      <c r="G35" s="2" t="inlineStr">
        <is>
          <t>MDD-40 D2</t>
        </is>
      </c>
      <c r="H35" s="6" t="inlineStr"/>
    </row>
    <row r="36">
      <c r="A36" s="2" t="inlineStr">
        <is>
          <t>A1.1.1</t>
        </is>
      </c>
      <c r="B36" s="2" t="inlineStr">
        <is>
          <t>Dòng [Tác tử] (stream, markdown, liên kết mở tab)</t>
        </is>
      </c>
      <c r="C36" s="2" t="n">
        <v>3</v>
      </c>
      <c r="D36" s="2" t="inlineStr">
        <is>
          <t>UI-console.stream</t>
        </is>
      </c>
      <c r="E36" s="2" t="inlineStr">
        <is>
          <t>UICommand</t>
        </is>
      </c>
      <c r="F36" s="2" t="inlineStr">
        <is>
          <t>Stream văn bản</t>
        </is>
      </c>
      <c r="G36" s="2" t="inlineStr">
        <is>
          <t>MDD-40 D2</t>
        </is>
      </c>
      <c r="H36" s="6" t="inlineStr"/>
    </row>
    <row r="37">
      <c r="A37" s="2" t="inlineStr">
        <is>
          <t>A1.1.1</t>
        </is>
      </c>
      <c r="B37" s="2" t="inlineStr">
        <is>
          <t>Dòng [Tác tử] (stream, markdown, liên kết mở tab)</t>
        </is>
      </c>
      <c r="C37" s="2" t="n">
        <v>3</v>
      </c>
      <c r="D37" s="2" t="inlineStr">
        <is>
          <t>PR2</t>
        </is>
      </c>
      <c r="E37" s="2" t="inlineStr">
        <is>
          <t>Quy tắc trình bày</t>
        </is>
      </c>
      <c r="F37" s="2" t="inlineStr">
        <is>
          <t>Mọi con số là liên kết ra nguồn</t>
        </is>
      </c>
      <c r="G37" s="2" t="inlineStr">
        <is>
          <t>MDD-40 E3.2</t>
        </is>
      </c>
      <c r="H37" s="6" t="inlineStr"/>
    </row>
    <row r="38">
      <c r="A38" s="2" t="inlineStr">
        <is>
          <t>A1.1.2</t>
        </is>
      </c>
      <c r="B38" s="2" t="inlineStr">
        <is>
          <t>Dòng [Bạn] cho MỌI HumanAct (kể cả thao tác trên tab)</t>
        </is>
      </c>
      <c r="C38" s="2" t="n">
        <v>3</v>
      </c>
      <c r="D38" s="2" t="inlineStr">
        <is>
          <t>I1</t>
        </is>
      </c>
      <c r="E38" s="2" t="inlineStr">
        <is>
          <t>Bất biến giao thức</t>
        </is>
      </c>
      <c r="F38" s="2" t="inlineStr">
        <is>
          <t>Một cửa vào: console.act / HumanAct</t>
        </is>
      </c>
      <c r="G38" s="2" t="inlineStr">
        <is>
          <t>MDD-40 D1</t>
        </is>
      </c>
      <c r="H38" s="6" t="inlineStr"/>
    </row>
    <row r="39">
      <c r="A39" s="2" t="inlineStr">
        <is>
          <t>A1.1.2</t>
        </is>
      </c>
      <c r="B39" s="2" t="inlineStr">
        <is>
          <t>Dòng [Bạn] cho MỌI HumanAct (kể cả thao tác trên tab)</t>
        </is>
      </c>
      <c r="C39" s="2" t="n">
        <v>3</v>
      </c>
      <c r="D39" s="2" t="inlineStr">
        <is>
          <t>I2</t>
        </is>
      </c>
      <c r="E39" s="2" t="inlineStr">
        <is>
          <t>Bất biến giao thức</t>
        </is>
      </c>
      <c r="F39" s="2" t="inlineStr">
        <is>
          <t>Một dòng hội thoại: mọi HumanAct và lời tác tử trong transcript</t>
        </is>
      </c>
      <c r="G39" s="2" t="inlineStr">
        <is>
          <t>MDD-40 D1</t>
        </is>
      </c>
      <c r="H39" s="6" t="inlineStr"/>
    </row>
    <row r="40">
      <c r="A40" s="2" t="inlineStr">
        <is>
          <t>A1.1.2</t>
        </is>
      </c>
      <c r="B40" s="2" t="inlineStr">
        <is>
          <t>Dòng [Bạn] cho MỌI HumanAct (kể cả thao tác trên tab)</t>
        </is>
      </c>
      <c r="C40" s="2" t="n">
        <v>3</v>
      </c>
      <c r="D40" s="2" t="inlineStr">
        <is>
          <t>ED2</t>
        </is>
      </c>
      <c r="E40" s="2" t="inlineStr">
        <is>
          <t>Đồng bộ khi người sửa</t>
        </is>
      </c>
      <c r="F40" s="2" t="inlineStr">
        <is>
          <t>Lưu → HumanAct edit qua Console; dòng '[Bạn] Sửa…'</t>
        </is>
      </c>
      <c r="G40" s="2" t="inlineStr">
        <is>
          <t>MDD-40 E4</t>
        </is>
      </c>
      <c r="H40" s="6" t="inlineStr"/>
    </row>
    <row r="41">
      <c r="A41" s="2" t="inlineStr">
        <is>
          <t>A1.1.3</t>
        </is>
      </c>
      <c r="B41" s="2" t="inlineStr">
        <is>
          <t>Dòng [Hệ thống] sự cố/thông báo</t>
        </is>
      </c>
      <c r="C41" s="2" t="n">
        <v>3</v>
      </c>
      <c r="D41" s="2" t="inlineStr">
        <is>
          <t>UI-notice</t>
        </is>
      </c>
      <c r="E41" s="2" t="inlineStr">
        <is>
          <t>UICommand</t>
        </is>
      </c>
      <c r="F41" s="2" t="inlineStr">
        <is>
          <t>Thông báo ngắn</t>
        </is>
      </c>
      <c r="G41" s="2" t="inlineStr">
        <is>
          <t>MDD-40 D2</t>
        </is>
      </c>
      <c r="H41" s="6" t="inlineStr"/>
    </row>
    <row r="42">
      <c r="A42" s="2" t="inlineStr">
        <is>
          <t>A1.1.3</t>
        </is>
      </c>
      <c r="B42" s="2" t="inlineStr">
        <is>
          <t>Dòng [Hệ thống] sự cố/thông báo</t>
        </is>
      </c>
      <c r="C42" s="2" t="n">
        <v>3</v>
      </c>
      <c r="D42" s="2" t="inlineStr">
        <is>
          <t>IN-network</t>
        </is>
      </c>
      <c r="E42" s="2" t="inlineStr">
        <is>
          <t>Sự cố (UC19)</t>
        </is>
      </c>
      <c r="F42" s="2" t="inlineStr">
        <is>
          <t>Mất mạng: báo đúng lỗi mạng, lưu trạng thái</t>
        </is>
      </c>
      <c r="G42" s="2" t="inlineStr">
        <is>
          <t>MDD-40 B1/UC19</t>
        </is>
      </c>
      <c r="H42" s="6" t="inlineStr"/>
    </row>
    <row r="43">
      <c r="A43" s="2" t="inlineStr">
        <is>
          <t>A1.1.3</t>
        </is>
      </c>
      <c r="B43" s="2" t="inlineStr">
        <is>
          <t>Dòng [Hệ thống] sự cố/thông báo</t>
        </is>
      </c>
      <c r="C43" s="2" t="n">
        <v>3</v>
      </c>
      <c r="D43" s="2" t="inlineStr">
        <is>
          <t>IN-llm</t>
        </is>
      </c>
      <c r="E43" s="2" t="inlineStr">
        <is>
          <t>Sự cố (UC19)</t>
        </is>
      </c>
      <c r="F43" s="2" t="inlineStr">
        <is>
          <t>LLM lỗi/quá tải: retry rồi báo</t>
        </is>
      </c>
      <c r="G43" s="2" t="inlineStr">
        <is>
          <t>MDD-40 B1/UC19</t>
        </is>
      </c>
      <c r="H43" s="6" t="inlineStr"/>
    </row>
    <row r="44">
      <c r="A44" s="2" t="inlineStr">
        <is>
          <t>A1.1.3</t>
        </is>
      </c>
      <c r="B44" s="2" t="inlineStr">
        <is>
          <t>Dòng [Hệ thống] sự cố/thông báo</t>
        </is>
      </c>
      <c r="C44" s="2" t="n">
        <v>3</v>
      </c>
      <c r="D44" s="2" t="inlineStr">
        <is>
          <t>IN-timeout</t>
        </is>
      </c>
      <c r="E44" s="2" t="inlineStr">
        <is>
          <t>Sự cố (UC19)</t>
        </is>
      </c>
      <c r="F44" s="2" t="inlineStr">
        <is>
          <t>Quá 300 s: thả người, nói thật</t>
        </is>
      </c>
      <c r="G44" s="2" t="inlineStr">
        <is>
          <t>MDD-40 B1/UC19</t>
        </is>
      </c>
      <c r="H44" s="6" t="inlineStr"/>
    </row>
    <row r="45">
      <c r="A45" s="2" t="inlineStr">
        <is>
          <t>A1.1.4</t>
        </is>
      </c>
      <c r="B45" s="2" t="inlineStr">
        <is>
          <t>Báo cáo lượt (đã làm / bỏ / giả định / hoàn tác tới đâu / chi phí)</t>
        </is>
      </c>
      <c r="C45" s="2" t="n">
        <v>3</v>
      </c>
      <c r="D45" s="2" t="inlineStr">
        <is>
          <t>AR21</t>
        </is>
      </c>
      <c r="E45" s="2" t="inlineStr">
        <is>
          <t>Hiện vật (E2)</t>
        </is>
      </c>
      <c r="F45" s="2" t="inlineStr">
        <is>
          <t>Báo cáo lượt</t>
        </is>
      </c>
      <c r="G45" s="2" t="inlineStr">
        <is>
          <t>MDD-40 E2</t>
        </is>
      </c>
      <c r="H45" s="6" t="inlineStr"/>
    </row>
    <row r="46">
      <c r="A46" s="2" t="inlineStr">
        <is>
          <t>A1.1.4</t>
        </is>
      </c>
      <c r="B46" s="2" t="inlineStr">
        <is>
          <t>Báo cáo lượt (đã làm / bỏ / giả định / hoàn tác tới đâu / chi phí)</t>
        </is>
      </c>
      <c r="C46" s="2" t="n">
        <v>3</v>
      </c>
      <c r="D46" s="2" t="inlineStr">
        <is>
          <t>N4</t>
        </is>
      </c>
      <c r="E46" s="2" t="inlineStr">
        <is>
          <t>Nguyên tắc</t>
        </is>
      </c>
      <c r="F46" s="2" t="inlineStr">
        <is>
          <t>Hỏi một cụm, ≤ 2 lần/lượt, nói ra giả định</t>
        </is>
      </c>
      <c r="G46" s="2" t="inlineStr">
        <is>
          <t>MDD-40 A3</t>
        </is>
      </c>
      <c r="H46" s="6" t="inlineStr"/>
    </row>
    <row r="47">
      <c r="A47" s="2" t="inlineStr">
        <is>
          <t>A1.1.4</t>
        </is>
      </c>
      <c r="B47" s="2" t="inlineStr">
        <is>
          <t>Báo cáo lượt (đã làm / bỏ / giả định / hoàn tác tới đâu / chi phí)</t>
        </is>
      </c>
      <c r="C47" s="2" t="n">
        <v>3</v>
      </c>
      <c r="D47" s="2" t="inlineStr">
        <is>
          <t>CX-budget</t>
        </is>
      </c>
      <c r="E47" s="2" t="inlineStr">
        <is>
          <t>Ngữ cảnh tác tử</t>
        </is>
      </c>
      <c r="F47" s="2" t="inlineStr">
        <is>
          <t>Ngân sách: tool/lượt, thời gian, ngữ cảnh</t>
        </is>
      </c>
      <c r="G47" s="2" t="inlineStr">
        <is>
          <t>MDD-40 B2/B5</t>
        </is>
      </c>
      <c r="H47" s="6" t="inlineStr"/>
    </row>
    <row r="48">
      <c r="A48" s="2" t="inlineStr">
        <is>
          <t>A1.1.5</t>
        </is>
      </c>
      <c r="B48" s="2" t="inlineStr">
        <is>
          <t>Phát lại (replay) transcript từ sổ cái</t>
        </is>
      </c>
      <c r="C48" s="2" t="n">
        <v>3</v>
      </c>
      <c r="D48" s="2" t="inlineStr">
        <is>
          <t>I2</t>
        </is>
      </c>
      <c r="E48" s="2" t="inlineStr">
        <is>
          <t>Bất biến giao thức</t>
        </is>
      </c>
      <c r="F48" s="2" t="inlineStr">
        <is>
          <t>Một dòng hội thoại: mọi HumanAct và lời tác tử trong transcript</t>
        </is>
      </c>
      <c r="G48" s="2" t="inlineStr">
        <is>
          <t>MDD-40 D1</t>
        </is>
      </c>
      <c r="H48" s="6" t="inlineStr"/>
    </row>
    <row r="49">
      <c r="A49" s="2" t="inlineStr">
        <is>
          <t>A1.1.5</t>
        </is>
      </c>
      <c r="B49" s="2" t="inlineStr">
        <is>
          <t>Phát lại (replay) transcript từ sổ cái</t>
        </is>
      </c>
      <c r="C49" s="2" t="n">
        <v>3</v>
      </c>
      <c r="D49" s="2" t="inlineStr">
        <is>
          <t>I5</t>
        </is>
      </c>
      <c r="E49" s="2" t="inlineStr">
        <is>
          <t>Bất biến giao thức</t>
        </is>
      </c>
      <c r="F49" s="2" t="inlineStr">
        <is>
          <t>Có thứ tự, không trùng, khôi phục được (seq/resume)</t>
        </is>
      </c>
      <c r="G49" s="2" t="inlineStr">
        <is>
          <t>MDD-40 D1</t>
        </is>
      </c>
      <c r="H49" s="6" t="inlineStr"/>
    </row>
    <row r="50">
      <c r="A50" s="2" t="inlineStr">
        <is>
          <t>A1.1.5</t>
        </is>
      </c>
      <c r="B50" s="2" t="inlineStr">
        <is>
          <t>Phát lại (replay) transcript từ sổ cái</t>
        </is>
      </c>
      <c r="C50" s="2" t="n">
        <v>3</v>
      </c>
      <c r="D50" s="2" t="inlineStr">
        <is>
          <t>UC17</t>
        </is>
      </c>
      <c r="E50" s="2" t="inlineStr">
        <is>
          <t>Usecase</t>
        </is>
      </c>
      <c r="F50" s="2" t="inlineStr">
        <is>
          <t>Quản lý phiên/dự án</t>
        </is>
      </c>
      <c r="G50" s="2" t="inlineStr">
        <is>
          <t>Excel 76 TC</t>
        </is>
      </c>
      <c r="H50" s="6" t="inlineStr"/>
    </row>
    <row r="51">
      <c r="A51" s="2" t="inlineStr">
        <is>
          <t>A1.2</t>
        </is>
      </c>
      <c r="B51" s="2" t="inlineStr">
        <is>
          <t>Ô nhập</t>
        </is>
      </c>
      <c r="C51" s="2" t="n">
        <v>2</v>
      </c>
      <c r="D51" s="2" t="inlineStr">
        <is>
          <t>HA-say</t>
        </is>
      </c>
      <c r="E51" s="2" t="inlineStr">
        <is>
          <t>HumanAct</t>
        </is>
      </c>
      <c r="F51" s="2" t="inlineStr">
        <is>
          <t>Gõ tự do</t>
        </is>
      </c>
      <c r="G51" s="2" t="inlineStr">
        <is>
          <t>MDD-40 D2</t>
        </is>
      </c>
      <c r="H51" s="6" t="inlineStr"/>
    </row>
    <row r="52">
      <c r="A52" s="2" t="inlineStr">
        <is>
          <t>A1.2.1</t>
        </is>
      </c>
      <c r="B52" s="2" t="inlineStr">
        <is>
          <t>Gõ tự do (say) + Enter gửi</t>
        </is>
      </c>
      <c r="C52" s="2" t="n">
        <v>3</v>
      </c>
      <c r="D52" s="2" t="inlineStr">
        <is>
          <t>HA-say</t>
        </is>
      </c>
      <c r="E52" s="2" t="inlineStr">
        <is>
          <t>HumanAct</t>
        </is>
      </c>
      <c r="F52" s="2" t="inlineStr">
        <is>
          <t>Gõ tự do</t>
        </is>
      </c>
      <c r="G52" s="2" t="inlineStr">
        <is>
          <t>MDD-40 D2</t>
        </is>
      </c>
      <c r="H52" s="6" t="inlineStr"/>
    </row>
    <row r="53">
      <c r="A53" s="2" t="inlineStr">
        <is>
          <t>A1.2.1</t>
        </is>
      </c>
      <c r="B53" s="2" t="inlineStr">
        <is>
          <t>Gõ tự do (say) + Enter gửi</t>
        </is>
      </c>
      <c r="C53" s="2" t="n">
        <v>3</v>
      </c>
      <c r="D53" s="2" t="inlineStr">
        <is>
          <t>I1</t>
        </is>
      </c>
      <c r="E53" s="2" t="inlineStr">
        <is>
          <t>Bất biến giao thức</t>
        </is>
      </c>
      <c r="F53" s="2" t="inlineStr">
        <is>
          <t>Một cửa vào: console.act / HumanAct</t>
        </is>
      </c>
      <c r="G53" s="2" t="inlineStr">
        <is>
          <t>MDD-40 D1</t>
        </is>
      </c>
      <c r="H53" s="6" t="inlineStr"/>
    </row>
    <row r="54">
      <c r="A54" s="2" t="inlineStr">
        <is>
          <t>A1.2.2</t>
        </is>
      </c>
      <c r="B54" s="2" t="inlineStr">
        <is>
          <t>Đính kèm tệp (upload)</t>
        </is>
      </c>
      <c r="C54" s="2" t="n">
        <v>3</v>
      </c>
      <c r="D54" s="2" t="inlineStr">
        <is>
          <t>HA-upload</t>
        </is>
      </c>
      <c r="E54" s="2" t="inlineStr">
        <is>
          <t>HumanAct</t>
        </is>
      </c>
      <c r="F54" s="2" t="inlineStr">
        <is>
          <t>Kéo thả/chọn tệp</t>
        </is>
      </c>
      <c r="G54" s="2" t="inlineStr">
        <is>
          <t>MDD-40 D2</t>
        </is>
      </c>
      <c r="H54" s="6" t="inlineStr"/>
    </row>
    <row r="55">
      <c r="A55" s="2" t="inlineStr">
        <is>
          <t>A1.2.2</t>
        </is>
      </c>
      <c r="B55" s="2" t="inlineStr">
        <is>
          <t>Đính kèm tệp (upload)</t>
        </is>
      </c>
      <c r="C55" s="2" t="n">
        <v>3</v>
      </c>
      <c r="D55" s="2" t="inlineStr">
        <is>
          <t>DS1</t>
        </is>
      </c>
      <c r="E55" s="2" t="inlineStr">
        <is>
          <t>Luồng datasheet</t>
        </is>
      </c>
      <c r="F55" s="2" t="inlineStr">
        <is>
          <t>Kích hoạt: nạp tệp hoặc thẻ đề nghị 3 lựa chọn</t>
        </is>
      </c>
      <c r="G55" s="2" t="inlineStr">
        <is>
          <t>MDD-40 C3</t>
        </is>
      </c>
      <c r="H55" s="6" t="inlineStr"/>
    </row>
    <row r="56">
      <c r="A56" s="2" t="inlineStr">
        <is>
          <t>A1.2.3</t>
        </is>
      </c>
      <c r="B56" s="2" t="inlineStr">
        <is>
          <t>Lệnh nhanh: /dung /tiep-tuc /hoan-tac /snapshot /nhanh</t>
        </is>
      </c>
      <c r="C56" s="2" t="n">
        <v>3</v>
      </c>
      <c r="D56" s="2" t="inlineStr">
        <is>
          <t>HA-stop</t>
        </is>
      </c>
      <c r="E56" s="2" t="inlineStr">
        <is>
          <t>HumanAct</t>
        </is>
      </c>
      <c r="F56" s="2" t="inlineStr">
        <is>
          <t>Dừng khẩn</t>
        </is>
      </c>
      <c r="G56" s="2" t="inlineStr">
        <is>
          <t>MDD-40 D2</t>
        </is>
      </c>
      <c r="H56" s="6" t="inlineStr"/>
    </row>
    <row r="57">
      <c r="A57" s="2" t="inlineStr">
        <is>
          <t>A1.2.3</t>
        </is>
      </c>
      <c r="B57" s="2" t="inlineStr">
        <is>
          <t>Lệnh nhanh: /dung /tiep-tuc /hoan-tac /snapshot /nhanh</t>
        </is>
      </c>
      <c r="C57" s="2" t="n">
        <v>3</v>
      </c>
      <c r="D57" s="2" t="inlineStr">
        <is>
          <t>HA-resume</t>
        </is>
      </c>
      <c r="E57" s="2" t="inlineStr">
        <is>
          <t>HumanAct</t>
        </is>
      </c>
      <c r="F57" s="2" t="inlineStr">
        <is>
          <t>Tiếp tục sau sự cố/mở lại</t>
        </is>
      </c>
      <c r="G57" s="2" t="inlineStr">
        <is>
          <t>MDD-40 D2</t>
        </is>
      </c>
      <c r="H57" s="6" t="inlineStr"/>
    </row>
    <row r="58">
      <c r="A58" s="2" t="inlineStr">
        <is>
          <t>A1.2.3</t>
        </is>
      </c>
      <c r="B58" s="2" t="inlineStr">
        <is>
          <t>Lệnh nhanh: /dung /tiep-tuc /hoan-tac /snapshot /nhanh</t>
        </is>
      </c>
      <c r="C58" s="2" t="n">
        <v>3</v>
      </c>
      <c r="D58" s="2" t="inlineStr">
        <is>
          <t>HA-undo</t>
        </is>
      </c>
      <c r="E58" s="2" t="inlineStr">
        <is>
          <t>HumanAct</t>
        </is>
      </c>
      <c r="F58" s="2" t="inlineStr">
        <is>
          <t>Hoàn tác</t>
        </is>
      </c>
      <c r="G58" s="2" t="inlineStr">
        <is>
          <t>MDD-40 D2</t>
        </is>
      </c>
      <c r="H58" s="6" t="inlineStr"/>
    </row>
    <row r="59">
      <c r="A59" s="2" t="inlineStr">
        <is>
          <t>A1.2.3</t>
        </is>
      </c>
      <c r="B59" s="2" t="inlineStr">
        <is>
          <t>Lệnh nhanh: /dung /tiep-tuc /hoan-tac /snapshot /nhanh</t>
        </is>
      </c>
      <c r="C59" s="2" t="n">
        <v>3</v>
      </c>
      <c r="D59" s="2" t="inlineStr">
        <is>
          <t>HA-snapshot</t>
        </is>
      </c>
      <c r="E59" s="2" t="inlineStr">
        <is>
          <t>HumanAct</t>
        </is>
      </c>
      <c r="F59" s="2" t="inlineStr">
        <is>
          <t>Ghi bản ưng ý</t>
        </is>
      </c>
      <c r="G59" s="2" t="inlineStr">
        <is>
          <t>MDD-40 D2</t>
        </is>
      </c>
      <c r="H59" s="6" t="inlineStr"/>
    </row>
    <row r="60">
      <c r="A60" s="2" t="inlineStr">
        <is>
          <t>A1.2.3</t>
        </is>
      </c>
      <c r="B60" s="2" t="inlineStr">
        <is>
          <t>Lệnh nhanh: /dung /tiep-tuc /hoan-tac /snapshot /nhanh</t>
        </is>
      </c>
      <c r="C60" s="2" t="n">
        <v>3</v>
      </c>
      <c r="D60" s="2" t="inlineStr">
        <is>
          <t>HA-branch</t>
        </is>
      </c>
      <c r="E60" s="2" t="inlineStr">
        <is>
          <t>HumanAct</t>
        </is>
      </c>
      <c r="F60" s="2" t="inlineStr">
        <is>
          <t>Rẽ/chuyển/gộp nhánh</t>
        </is>
      </c>
      <c r="G60" s="2" t="inlineStr">
        <is>
          <t>MDD-40 D2</t>
        </is>
      </c>
      <c r="H60" s="6" t="inlineStr"/>
    </row>
    <row r="61">
      <c r="A61" s="2" t="inlineStr">
        <is>
          <t>A1.2.4</t>
        </is>
      </c>
      <c r="B61" s="2" t="inlineStr">
        <is>
          <t>Gợi ý điền sẵn từ ngữ cảnh (chip, tệp, run vừa nhắc)</t>
        </is>
      </c>
      <c r="C61" s="2" t="n">
        <v>3</v>
      </c>
      <c r="D61" s="2" t="inlineStr">
        <is>
          <t>N4</t>
        </is>
      </c>
      <c r="E61" s="2" t="inlineStr">
        <is>
          <t>Nguyên tắc</t>
        </is>
      </c>
      <c r="F61" s="2" t="inlineStr">
        <is>
          <t>Hỏi một cụm, ≤ 2 lần/lượt, nói ra giả định</t>
        </is>
      </c>
      <c r="G61" s="2" t="inlineStr">
        <is>
          <t>MDD-40 A3</t>
        </is>
      </c>
      <c r="H61" s="6" t="inlineStr"/>
    </row>
    <row r="62">
      <c r="A62" s="2" t="inlineStr">
        <is>
          <t>A1.2.4</t>
        </is>
      </c>
      <c r="B62" s="2" t="inlineStr">
        <is>
          <t>Gợi ý điền sẵn từ ngữ cảnh (chip, tệp, run vừa nhắc)</t>
        </is>
      </c>
      <c r="C62" s="2" t="n">
        <v>3</v>
      </c>
      <c r="D62" s="2" t="inlineStr">
        <is>
          <t>CX-inventory</t>
        </is>
      </c>
      <c r="E62" s="2" t="inlineStr">
        <is>
          <t>Ngữ cảnh tác tử</t>
        </is>
      </c>
      <c r="F62" s="2" t="inlineStr">
        <is>
          <t>&lt;inventory&gt; hiển thị cho người</t>
        </is>
      </c>
      <c r="G62" s="2" t="inlineStr">
        <is>
          <t>MDD-40 B2/B5</t>
        </is>
      </c>
      <c r="H62" s="6" t="inlineStr"/>
    </row>
    <row r="63">
      <c r="A63" s="2" t="inlineStr">
        <is>
          <t>A1.3</t>
        </is>
      </c>
      <c r="B63" s="2" t="inlineStr">
        <is>
          <t>Thẻ đang chờ (Card)</t>
        </is>
      </c>
      <c r="C63" s="2" t="n">
        <v>2</v>
      </c>
      <c r="D63" s="2" t="inlineStr">
        <is>
          <t>HA-choose</t>
        </is>
      </c>
      <c r="E63" s="2" t="inlineStr">
        <is>
          <t>HumanAct</t>
        </is>
      </c>
      <c r="F63" s="2" t="inlineStr">
        <is>
          <t>Chọn mục trong thẻ</t>
        </is>
      </c>
      <c r="G63" s="2" t="inlineStr">
        <is>
          <t>MDD-40 D2</t>
        </is>
      </c>
      <c r="H63" s="6" t="inlineStr"/>
    </row>
    <row r="64">
      <c r="A64" s="2" t="inlineStr">
        <is>
          <t>A1.3</t>
        </is>
      </c>
      <c r="B64" s="2" t="inlineStr">
        <is>
          <t>Thẻ đang chờ (Card)</t>
        </is>
      </c>
      <c r="C64" s="2" t="n">
        <v>2</v>
      </c>
      <c r="D64" s="2" t="inlineStr">
        <is>
          <t>UI-card.resolve</t>
        </is>
      </c>
      <c r="E64" s="2" t="inlineStr">
        <is>
          <t>UICommand</t>
        </is>
      </c>
      <c r="F64" s="2" t="inlineStr">
        <is>
          <t>Đóng thẻ</t>
        </is>
      </c>
      <c r="G64" s="2" t="inlineStr">
        <is>
          <t>MDD-40 D2</t>
        </is>
      </c>
      <c r="H64" s="6" t="inlineStr"/>
    </row>
    <row r="65">
      <c r="A65" s="2" t="inlineStr">
        <is>
          <t>A1.3</t>
        </is>
      </c>
      <c r="B65" s="2" t="inlineStr">
        <is>
          <t>Thẻ đang chờ (Card)</t>
        </is>
      </c>
      <c r="C65" s="2" t="n">
        <v>2</v>
      </c>
      <c r="D65" s="2" t="inlineStr">
        <is>
          <t>UI-card.expire</t>
        </is>
      </c>
      <c r="E65" s="2" t="inlineStr">
        <is>
          <t>UICommand</t>
        </is>
      </c>
      <c r="F65" s="2" t="inlineStr">
        <is>
          <t>Thẻ hết hạn</t>
        </is>
      </c>
      <c r="G65" s="2" t="inlineStr">
        <is>
          <t>MDD-40 D2</t>
        </is>
      </c>
      <c r="H65" s="6" t="inlineStr"/>
    </row>
    <row r="66">
      <c r="A66" s="2" t="inlineStr">
        <is>
          <t>A1.3.1</t>
        </is>
      </c>
      <c r="B66" s="2" t="inlineStr">
        <is>
          <t>Thẻ làm rõ (clarify) nhiều mục, mục bắt buộc/tuỳ chọn có default</t>
        </is>
      </c>
      <c r="C66" s="2" t="n">
        <v>3</v>
      </c>
      <c r="D66" s="2" t="inlineStr">
        <is>
          <t>N4</t>
        </is>
      </c>
      <c r="E66" s="2" t="inlineStr">
        <is>
          <t>Nguyên tắc</t>
        </is>
      </c>
      <c r="F66" s="2" t="inlineStr">
        <is>
          <t>Hỏi một cụm, ≤ 2 lần/lượt, nói ra giả định</t>
        </is>
      </c>
      <c r="G66" s="2" t="inlineStr">
        <is>
          <t>MDD-40 A3</t>
        </is>
      </c>
      <c r="H66" s="6" t="inlineStr"/>
    </row>
    <row r="67">
      <c r="A67" s="2" t="inlineStr">
        <is>
          <t>A1.3.1</t>
        </is>
      </c>
      <c r="B67" s="2" t="inlineStr">
        <is>
          <t>Thẻ làm rõ (clarify) nhiều mục, mục bắt buộc/tuỳ chọn có default</t>
        </is>
      </c>
      <c r="C67" s="2" t="n">
        <v>3</v>
      </c>
      <c r="D67" s="2" t="inlineStr">
        <is>
          <t>HA-choose</t>
        </is>
      </c>
      <c r="E67" s="2" t="inlineStr">
        <is>
          <t>HumanAct</t>
        </is>
      </c>
      <c r="F67" s="2" t="inlineStr">
        <is>
          <t>Chọn mục trong thẻ</t>
        </is>
      </c>
      <c r="G67" s="2" t="inlineStr">
        <is>
          <t>MDD-40 D2</t>
        </is>
      </c>
      <c r="H67" s="6" t="inlineStr"/>
    </row>
    <row r="68">
      <c r="A68" s="2" t="inlineStr">
        <is>
          <t>A1.3.1</t>
        </is>
      </c>
      <c r="B68" s="2" t="inlineStr">
        <is>
          <t>Thẻ làm rõ (clarify) nhiều mục, mục bắt buộc/tuỳ chọn có default</t>
        </is>
      </c>
      <c r="C68" s="2" t="n">
        <v>3</v>
      </c>
      <c r="D68" s="2" t="inlineStr">
        <is>
          <t>UC01</t>
        </is>
      </c>
      <c r="E68" s="2" t="inlineStr">
        <is>
          <t>Usecase</t>
        </is>
      </c>
      <c r="F68" s="2" t="inlineStr">
        <is>
          <t>Làm rõ ý tưởng và đề xuất phương án</t>
        </is>
      </c>
      <c r="G68" s="2" t="inlineStr">
        <is>
          <t>Excel 76 TC</t>
        </is>
      </c>
      <c r="H68" s="6" t="inlineStr"/>
    </row>
    <row r="69">
      <c r="A69" s="2" t="inlineStr">
        <is>
          <t>A1.3.2</t>
        </is>
      </c>
      <c r="B69" s="2" t="inlineStr">
        <is>
          <t>Thẻ đề nghị (proposal) 3 lựa chọn — ví dụ datasheet chip</t>
        </is>
      </c>
      <c r="C69" s="2" t="n">
        <v>3</v>
      </c>
      <c r="D69" s="2" t="inlineStr">
        <is>
          <t>DS1</t>
        </is>
      </c>
      <c r="E69" s="2" t="inlineStr">
        <is>
          <t>Luồng datasheet</t>
        </is>
      </c>
      <c r="F69" s="2" t="inlineStr">
        <is>
          <t>Kích hoạt: nạp tệp hoặc thẻ đề nghị 3 lựa chọn</t>
        </is>
      </c>
      <c r="G69" s="2" t="inlineStr">
        <is>
          <t>MDD-40 C3</t>
        </is>
      </c>
      <c r="H69" s="6" t="inlineStr"/>
    </row>
    <row r="70">
      <c r="A70" s="2" t="inlineStr">
        <is>
          <t>A1.3.2</t>
        </is>
      </c>
      <c r="B70" s="2" t="inlineStr">
        <is>
          <t>Thẻ đề nghị (proposal) 3 lựa chọn — ví dụ datasheet chip</t>
        </is>
      </c>
      <c r="C70" s="2" t="n">
        <v>3</v>
      </c>
      <c r="D70" s="2" t="inlineStr">
        <is>
          <t>HA-choose</t>
        </is>
      </c>
      <c r="E70" s="2" t="inlineStr">
        <is>
          <t>HumanAct</t>
        </is>
      </c>
      <c r="F70" s="2" t="inlineStr">
        <is>
          <t>Chọn mục trong thẻ</t>
        </is>
      </c>
      <c r="G70" s="2" t="inlineStr">
        <is>
          <t>MDD-40 D2</t>
        </is>
      </c>
      <c r="H70" s="6" t="inlineStr"/>
    </row>
    <row r="71">
      <c r="A71" s="2" t="inlineStr">
        <is>
          <t>A1.3.2</t>
        </is>
      </c>
      <c r="B71" s="2" t="inlineStr">
        <is>
          <t>Thẻ đề nghị (proposal) 3 lựa chọn — ví dụ datasheet chip</t>
        </is>
      </c>
      <c r="C71" s="2" t="n">
        <v>3</v>
      </c>
      <c r="D71" s="2" t="inlineStr">
        <is>
          <t>UC02</t>
        </is>
      </c>
      <c r="E71" s="2" t="inlineStr">
        <is>
          <t>Usecase</t>
        </is>
      </c>
      <c r="F71" s="2" t="inlineStr">
        <is>
          <t>Từ phương án đến thiết kế mạch</t>
        </is>
      </c>
      <c r="G71" s="2" t="inlineStr">
        <is>
          <t>Excel 76 TC</t>
        </is>
      </c>
      <c r="H71" s="6" t="inlineStr"/>
    </row>
    <row r="72">
      <c r="A72" s="2" t="inlineStr">
        <is>
          <t>A1.3.3</t>
        </is>
      </c>
      <c r="B72" s="2" t="inlineStr">
        <is>
          <t>Thẻ kế hoạch (plan) có checkbox bước + chi phí + giả định</t>
        </is>
      </c>
      <c r="C72" s="2" t="n">
        <v>3</v>
      </c>
      <c r="D72" s="2" t="inlineStr">
        <is>
          <t>CX-plan</t>
        </is>
      </c>
      <c r="E72" s="2" t="inlineStr">
        <is>
          <t>Ngữ cảnh tác tử</t>
        </is>
      </c>
      <c r="F72" s="2" t="inlineStr">
        <is>
          <t>Plan mode: kế hoạch có checkbox, duyệt</t>
        </is>
      </c>
      <c r="G72" s="2" t="inlineStr">
        <is>
          <t>MDD-40 B2/B5</t>
        </is>
      </c>
      <c r="H72" s="6" t="inlineStr"/>
    </row>
    <row r="73">
      <c r="A73" s="2" t="inlineStr">
        <is>
          <t>A1.3.3</t>
        </is>
      </c>
      <c r="B73" s="2" t="inlineStr">
        <is>
          <t>Thẻ kế hoạch (plan) có checkbox bước + chi phí + giả định</t>
        </is>
      </c>
      <c r="C73" s="2" t="n">
        <v>3</v>
      </c>
      <c r="D73" s="2" t="inlineStr">
        <is>
          <t>G-SCOPE</t>
        </is>
      </c>
      <c r="E73" s="2" t="inlineStr">
        <is>
          <t>Cổng</t>
        </is>
      </c>
      <c r="F73" s="2" t="inlineStr">
        <is>
          <t>Duyệt kế hoạch việc lớn</t>
        </is>
      </c>
      <c r="G73" s="2" t="inlineStr">
        <is>
          <t>MDD-40 B4/E7</t>
        </is>
      </c>
      <c r="H73" s="6" t="inlineStr"/>
    </row>
    <row r="74">
      <c r="A74" s="2" t="inlineStr">
        <is>
          <t>A1.3.3</t>
        </is>
      </c>
      <c r="B74" s="2" t="inlineStr">
        <is>
          <t>Thẻ kế hoạch (plan) có checkbox bước + chi phí + giả định</t>
        </is>
      </c>
      <c r="C74" s="2" t="n">
        <v>3</v>
      </c>
      <c r="D74" s="2" t="inlineStr">
        <is>
          <t>AR12</t>
        </is>
      </c>
      <c r="E74" s="2" t="inlineStr">
        <is>
          <t>Hiện vật (E2)</t>
        </is>
      </c>
      <c r="F74" s="2" t="inlineStr">
        <is>
          <t>Kế hoạch (plan mode)</t>
        </is>
      </c>
      <c r="G74" s="2" t="inlineStr">
        <is>
          <t>MDD-40 E2</t>
        </is>
      </c>
      <c r="H74" s="6" t="inlineStr"/>
    </row>
    <row r="75">
      <c r="A75" s="2" t="inlineStr">
        <is>
          <t>A1.3.4</t>
        </is>
      </c>
      <c r="B75" s="2" t="inlineStr">
        <is>
          <t>Thẻ tiêu chí (criteria) form assert</t>
        </is>
      </c>
      <c r="C75" s="2" t="n">
        <v>3</v>
      </c>
      <c r="D75" s="2" t="inlineStr">
        <is>
          <t>TL-criteria</t>
        </is>
      </c>
      <c r="E75" s="2" t="inlineStr">
        <is>
          <t>Năng lực chuyên môn</t>
        </is>
      </c>
      <c r="F75" s="2" t="inlineStr">
        <is>
          <t>Tiêu chí mô phỏng nêu trước</t>
        </is>
      </c>
      <c r="G75" s="2" t="inlineStr">
        <is>
          <t>MDD-40 B3/UC</t>
        </is>
      </c>
      <c r="H75" s="6" t="inlineStr"/>
    </row>
    <row r="76">
      <c r="A76" s="2" t="inlineStr">
        <is>
          <t>A1.3.4</t>
        </is>
      </c>
      <c r="B76" s="2" t="inlineStr">
        <is>
          <t>Thẻ tiêu chí (criteria) form assert</t>
        </is>
      </c>
      <c r="C76" s="2" t="n">
        <v>3</v>
      </c>
      <c r="D76" s="2" t="inlineStr">
        <is>
          <t>AR16</t>
        </is>
      </c>
      <c r="E76" s="2" t="inlineStr">
        <is>
          <t>Hiện vật (E2)</t>
        </is>
      </c>
      <c r="F76" s="2" t="inlineStr">
        <is>
          <t>Tiêu chí mô phỏng</t>
        </is>
      </c>
      <c r="G76" s="2" t="inlineStr">
        <is>
          <t>MDD-40 E2</t>
        </is>
      </c>
      <c r="H76" s="6" t="inlineStr"/>
    </row>
    <row r="77">
      <c r="A77" s="2" t="inlineStr">
        <is>
          <t>A1.3.4</t>
        </is>
      </c>
      <c r="B77" s="2" t="inlineStr">
        <is>
          <t>Thẻ tiêu chí (criteria) form assert</t>
        </is>
      </c>
      <c r="C77" s="2" t="n">
        <v>3</v>
      </c>
      <c r="D77" s="2" t="inlineStr">
        <is>
          <t>N6</t>
        </is>
      </c>
      <c r="E77" s="2" t="inlineStr">
        <is>
          <t>Nguyên tắc</t>
        </is>
      </c>
      <c r="F77" s="2" t="inlineStr">
        <is>
          <t>Không đạt giả — tiêu chí của người; log rỗng ≠ đạt; phần chưa mô phỏng nói rõ</t>
        </is>
      </c>
      <c r="G77" s="2" t="inlineStr">
        <is>
          <t>MDD-40 A3</t>
        </is>
      </c>
      <c r="H77" s="6" t="inlineStr"/>
    </row>
    <row r="78">
      <c r="A78" s="2" t="inlineStr">
        <is>
          <t>A1.3.5</t>
        </is>
      </c>
      <c r="B78" s="2" t="inlineStr">
        <is>
          <t>Thẻ báo cáo (report) + Mở tab / Hoàn tác</t>
        </is>
      </c>
      <c r="C78" s="2" t="n">
        <v>3</v>
      </c>
      <c r="D78" s="2" t="inlineStr">
        <is>
          <t>AR21</t>
        </is>
      </c>
      <c r="E78" s="2" t="inlineStr">
        <is>
          <t>Hiện vật (E2)</t>
        </is>
      </c>
      <c r="F78" s="2" t="inlineStr">
        <is>
          <t>Báo cáo lượt</t>
        </is>
      </c>
      <c r="G78" s="2" t="inlineStr">
        <is>
          <t>MDD-40 E2</t>
        </is>
      </c>
      <c r="H78" s="6" t="inlineStr"/>
    </row>
    <row r="79">
      <c r="A79" s="2" t="inlineStr">
        <is>
          <t>A1.3.5</t>
        </is>
      </c>
      <c r="B79" s="2" t="inlineStr">
        <is>
          <t>Thẻ báo cáo (report) + Mở tab / Hoàn tác</t>
        </is>
      </c>
      <c r="C79" s="2" t="n">
        <v>3</v>
      </c>
      <c r="D79" s="2" t="inlineStr">
        <is>
          <t>CS-undo30s</t>
        </is>
      </c>
      <c r="E79" s="2" t="inlineStr">
        <is>
          <t>Changeset &amp; rollback</t>
        </is>
      </c>
      <c r="F79" s="2" t="inlineStr">
        <is>
          <t>Hoàn tác lượt vừa xong trong 30 s không cần thẻ</t>
        </is>
      </c>
      <c r="G79" s="2" t="inlineStr">
        <is>
          <t>MDD-40 E5</t>
        </is>
      </c>
      <c r="H79" s="6" t="inlineStr"/>
    </row>
    <row r="80">
      <c r="A80" s="2" t="inlineStr">
        <is>
          <t>A1.3.6</t>
        </is>
      </c>
      <c r="B80" s="2" t="inlineStr">
        <is>
          <t>Thẻ đã đóng/hết hạn (mờ, giữ nội dung)</t>
        </is>
      </c>
      <c r="C80" s="2" t="n">
        <v>3</v>
      </c>
      <c r="D80" s="2" t="inlineStr">
        <is>
          <t>UI-card.resolve</t>
        </is>
      </c>
      <c r="E80" s="2" t="inlineStr">
        <is>
          <t>UICommand</t>
        </is>
      </c>
      <c r="F80" s="2" t="inlineStr">
        <is>
          <t>Đóng thẻ</t>
        </is>
      </c>
      <c r="G80" s="2" t="inlineStr">
        <is>
          <t>MDD-40 D2</t>
        </is>
      </c>
      <c r="H80" s="6" t="inlineStr"/>
    </row>
    <row r="81">
      <c r="A81" s="2" t="inlineStr">
        <is>
          <t>A1.3.6</t>
        </is>
      </c>
      <c r="B81" s="2" t="inlineStr">
        <is>
          <t>Thẻ đã đóng/hết hạn (mờ, giữ nội dung)</t>
        </is>
      </c>
      <c r="C81" s="2" t="n">
        <v>3</v>
      </c>
      <c r="D81" s="2" t="inlineStr">
        <is>
          <t>UI-card.expire</t>
        </is>
      </c>
      <c r="E81" s="2" t="inlineStr">
        <is>
          <t>UICommand</t>
        </is>
      </c>
      <c r="F81" s="2" t="inlineStr">
        <is>
          <t>Thẻ hết hạn</t>
        </is>
      </c>
      <c r="G81" s="2" t="inlineStr">
        <is>
          <t>MDD-40 D2</t>
        </is>
      </c>
      <c r="H81" s="6" t="inlineStr"/>
    </row>
    <row r="82">
      <c r="A82" s="2" t="inlineStr">
        <is>
          <t>A1.4</t>
        </is>
      </c>
      <c r="B82" s="2" t="inlineStr">
        <is>
          <t>Thẻ Run (lượt đang chạy)</t>
        </is>
      </c>
      <c r="C82" s="2" t="n">
        <v>2</v>
      </c>
      <c r="D82" s="2" t="inlineStr">
        <is>
          <t>UI-run.update</t>
        </is>
      </c>
      <c r="E82" s="2" t="inlineStr">
        <is>
          <t>UICommand</t>
        </is>
      </c>
      <c r="F82" s="2" t="inlineStr">
        <is>
          <t>Thẻ Run</t>
        </is>
      </c>
      <c r="G82" s="2" t="inlineStr">
        <is>
          <t>MDD-40 D2</t>
        </is>
      </c>
      <c r="H82" s="6" t="inlineStr"/>
    </row>
    <row r="83">
      <c r="A83" s="2" t="inlineStr">
        <is>
          <t>A1.4</t>
        </is>
      </c>
      <c r="B83" s="2" t="inlineStr">
        <is>
          <t>Thẻ Run (lượt đang chạy)</t>
        </is>
      </c>
      <c r="C83" s="2" t="n">
        <v>2</v>
      </c>
      <c r="D83" s="2" t="inlineStr">
        <is>
          <t>LY-runcard</t>
        </is>
      </c>
      <c r="E83" s="2" t="inlineStr">
        <is>
          <t>Bố cục</t>
        </is>
      </c>
      <c r="F83" s="2" t="inlineStr">
        <is>
          <t>Thẻ Run: tiến trình, Hoàn tác 30 s, Ghi bản ưng ý</t>
        </is>
      </c>
      <c r="G83" s="2" t="inlineStr">
        <is>
          <t>MDD-40 E7</t>
        </is>
      </c>
      <c r="H83" s="6" t="inlineStr"/>
    </row>
    <row r="84">
      <c r="A84" s="2" t="inlineStr">
        <is>
          <t>A1.4.1</t>
        </is>
      </c>
      <c r="B84" s="2" t="inlineStr">
        <is>
          <t>Tiến trình theo bước/tool (đang chạy, xong, bỏ, chờ cổng)</t>
        </is>
      </c>
      <c r="C84" s="2" t="n">
        <v>3</v>
      </c>
      <c r="D84" s="2" t="inlineStr">
        <is>
          <t>UI-run.update</t>
        </is>
      </c>
      <c r="E84" s="2" t="inlineStr">
        <is>
          <t>UICommand</t>
        </is>
      </c>
      <c r="F84" s="2" t="inlineStr">
        <is>
          <t>Thẻ Run</t>
        </is>
      </c>
      <c r="G84" s="2" t="inlineStr">
        <is>
          <t>MDD-40 D2</t>
        </is>
      </c>
      <c r="H84" s="6" t="inlineStr"/>
    </row>
    <row r="85">
      <c r="A85" s="2" t="inlineStr">
        <is>
          <t>A1.4.1</t>
        </is>
      </c>
      <c r="B85" s="2" t="inlineStr">
        <is>
          <t>Tiến trình theo bước/tool (đang chạy, xong, bỏ, chờ cổng)</t>
        </is>
      </c>
      <c r="C85" s="2" t="n">
        <v>3</v>
      </c>
      <c r="D85" s="2" t="inlineStr">
        <is>
          <t>PR5</t>
        </is>
      </c>
      <c r="E85" s="2" t="inlineStr">
        <is>
          <t>Quy tắc trình bày</t>
        </is>
      </c>
      <c r="F85" s="2" t="inlineStr">
        <is>
          <t>Không giấu thất bại — khối riêng</t>
        </is>
      </c>
      <c r="G85" s="2" t="inlineStr">
        <is>
          <t>MDD-40 E3.2</t>
        </is>
      </c>
      <c r="H85" s="6" t="inlineStr"/>
    </row>
    <row r="86">
      <c r="A86" s="2" t="inlineStr">
        <is>
          <t>A1.4.2</t>
        </is>
      </c>
      <c r="B86" s="2" t="inlineStr">
        <is>
          <t>Subagent đang chạy (tên, tool được phép, trạng thái)</t>
        </is>
      </c>
      <c r="C86" s="2" t="n">
        <v>3</v>
      </c>
      <c r="D86" s="2" t="inlineStr">
        <is>
          <t>CX-subagent</t>
        </is>
      </c>
      <c r="E86" s="2" t="inlineStr">
        <is>
          <t>Ngữ cảnh tác tử</t>
        </is>
      </c>
      <c r="F86" s="2" t="inlineStr">
        <is>
          <t>Subagent đang chạy hiển thị trong Run</t>
        </is>
      </c>
      <c r="G86" s="2" t="inlineStr">
        <is>
          <t>MDD-40 B2/B5</t>
        </is>
      </c>
      <c r="H86" s="6" t="inlineStr"/>
    </row>
    <row r="87">
      <c r="A87" s="2" t="inlineStr">
        <is>
          <t>A1.4.3</t>
        </is>
      </c>
      <c r="B87" s="2" t="inlineStr">
        <is>
          <t>Nút Dừng khẩn</t>
        </is>
      </c>
      <c r="C87" s="2" t="n">
        <v>3</v>
      </c>
      <c r="D87" s="2" t="inlineStr">
        <is>
          <t>HA-stop</t>
        </is>
      </c>
      <c r="E87" s="2" t="inlineStr">
        <is>
          <t>HumanAct</t>
        </is>
      </c>
      <c r="F87" s="2" t="inlineStr">
        <is>
          <t>Dừng khẩn</t>
        </is>
      </c>
      <c r="G87" s="2" t="inlineStr">
        <is>
          <t>MDD-40 D2</t>
        </is>
      </c>
      <c r="H87" s="6" t="inlineStr"/>
    </row>
    <row r="88">
      <c r="A88" s="2" t="inlineStr">
        <is>
          <t>A1.4.3</t>
        </is>
      </c>
      <c r="B88" s="2" t="inlineStr">
        <is>
          <t>Nút Dừng khẩn</t>
        </is>
      </c>
      <c r="C88" s="2" t="n">
        <v>3</v>
      </c>
      <c r="D88" s="2" t="inlineStr">
        <is>
          <t>N5</t>
        </is>
      </c>
      <c r="E88" s="2" t="inlineStr">
        <is>
          <t>Nguyên tắc</t>
        </is>
      </c>
      <c r="F88" s="2" t="inlineStr">
        <is>
          <t>Cổng an toàn đứng trước phép đoán (S0, G-OPS never_auto)</t>
        </is>
      </c>
      <c r="G88" s="2" t="inlineStr">
        <is>
          <t>MDD-40 A3</t>
        </is>
      </c>
      <c r="H88" s="6" t="inlineStr"/>
    </row>
    <row r="89">
      <c r="A89" s="2" t="inlineStr">
        <is>
          <t>A1.4.3</t>
        </is>
      </c>
      <c r="B89" s="2" t="inlineStr">
        <is>
          <t>Nút Dừng khẩn</t>
        </is>
      </c>
      <c r="C89" s="2" t="n">
        <v>3</v>
      </c>
      <c r="D89" s="2" t="inlineStr">
        <is>
          <t>UC19</t>
        </is>
      </c>
      <c r="E89" s="2" t="inlineStr">
        <is>
          <t>Usecase</t>
        </is>
      </c>
      <c r="F89" s="2" t="inlineStr">
        <is>
          <t>Sự cố của chính tác tử</t>
        </is>
      </c>
      <c r="G89" s="2" t="inlineStr">
        <is>
          <t>Excel 76 TC</t>
        </is>
      </c>
      <c r="H89" s="6" t="inlineStr"/>
    </row>
    <row r="90">
      <c r="A90" s="2" t="inlineStr">
        <is>
          <t>A1.4.4</t>
        </is>
      </c>
      <c r="B90" s="2" t="inlineStr">
        <is>
          <t>Nút Hoàn tác lượt (30 s không cần thẻ)</t>
        </is>
      </c>
      <c r="C90" s="2" t="n">
        <v>3</v>
      </c>
      <c r="D90" s="2" t="inlineStr">
        <is>
          <t>CS-undo30s</t>
        </is>
      </c>
      <c r="E90" s="2" t="inlineStr">
        <is>
          <t>Changeset &amp; rollback</t>
        </is>
      </c>
      <c r="F90" s="2" t="inlineStr">
        <is>
          <t>Hoàn tác lượt vừa xong trong 30 s không cần thẻ</t>
        </is>
      </c>
      <c r="G90" s="2" t="inlineStr">
        <is>
          <t>MDD-40 E5</t>
        </is>
      </c>
      <c r="H90" s="6" t="inlineStr"/>
    </row>
    <row r="91">
      <c r="A91" s="2" t="inlineStr">
        <is>
          <t>A1.4.4</t>
        </is>
      </c>
      <c r="B91" s="2" t="inlineStr">
        <is>
          <t>Nút Hoàn tác lượt (30 s không cần thẻ)</t>
        </is>
      </c>
      <c r="C91" s="2" t="n">
        <v>3</v>
      </c>
      <c r="D91" s="2" t="inlineStr">
        <is>
          <t>HA-undo</t>
        </is>
      </c>
      <c r="E91" s="2" t="inlineStr">
        <is>
          <t>HumanAct</t>
        </is>
      </c>
      <c r="F91" s="2" t="inlineStr">
        <is>
          <t>Hoàn tác</t>
        </is>
      </c>
      <c r="G91" s="2" t="inlineStr">
        <is>
          <t>MDD-40 D2</t>
        </is>
      </c>
      <c r="H91" s="6" t="inlineStr"/>
    </row>
    <row r="92">
      <c r="A92" s="2" t="inlineStr">
        <is>
          <t>A1.4.5</t>
        </is>
      </c>
      <c r="B92" s="2" t="inlineStr">
        <is>
          <t>Nút Ghi bản ưng ý</t>
        </is>
      </c>
      <c r="C92" s="2" t="n">
        <v>3</v>
      </c>
      <c r="D92" s="2" t="inlineStr">
        <is>
          <t>SN-human</t>
        </is>
      </c>
      <c r="E92" s="2" t="inlineStr">
        <is>
          <t>Snapshot</t>
        </is>
      </c>
      <c r="F92" s="2" t="inlineStr">
        <is>
          <t>Người ghi bản ưng ý bất cứ lúc nào</t>
        </is>
      </c>
      <c r="G92" s="2" t="inlineStr">
        <is>
          <t>MDD-40 E6</t>
        </is>
      </c>
      <c r="H92" s="6" t="inlineStr"/>
    </row>
    <row r="93">
      <c r="A93" s="2" t="inlineStr">
        <is>
          <t>A1.4.5</t>
        </is>
      </c>
      <c r="B93" s="2" t="inlineStr">
        <is>
          <t>Nút Ghi bản ưng ý</t>
        </is>
      </c>
      <c r="C93" s="2" t="n">
        <v>3</v>
      </c>
      <c r="D93" s="2" t="inlineStr">
        <is>
          <t>HA-snapshot</t>
        </is>
      </c>
      <c r="E93" s="2" t="inlineStr">
        <is>
          <t>HumanAct</t>
        </is>
      </c>
      <c r="F93" s="2" t="inlineStr">
        <is>
          <t>Ghi bản ưng ý</t>
        </is>
      </c>
      <c r="G93" s="2" t="inlineStr">
        <is>
          <t>MDD-40 D2</t>
        </is>
      </c>
      <c r="H93" s="6" t="inlineStr"/>
    </row>
    <row r="94">
      <c r="A94" s="2" t="inlineStr">
        <is>
          <t>A1.4.6</t>
        </is>
      </c>
      <c r="B94" s="2" t="inlineStr">
        <is>
          <t>Giả định đang dùng của lượt</t>
        </is>
      </c>
      <c r="C94" s="2" t="n">
        <v>3</v>
      </c>
      <c r="D94" s="2" t="inlineStr">
        <is>
          <t>AR20</t>
        </is>
      </c>
      <c r="E94" s="2" t="inlineStr">
        <is>
          <t>Hiện vật (E2)</t>
        </is>
      </c>
      <c r="F94" s="2" t="inlineStr">
        <is>
          <t>Giả định đang dùng</t>
        </is>
      </c>
      <c r="G94" s="2" t="inlineStr">
        <is>
          <t>MDD-40 E2</t>
        </is>
      </c>
      <c r="H94" s="6" t="inlineStr"/>
    </row>
    <row r="95">
      <c r="A95" s="2" t="inlineStr">
        <is>
          <t>A1.4.6</t>
        </is>
      </c>
      <c r="B95" s="2" t="inlineStr">
        <is>
          <t>Giả định đang dùng của lượt</t>
        </is>
      </c>
      <c r="C95" s="2" t="n">
        <v>3</v>
      </c>
      <c r="D95" s="2" t="inlineStr">
        <is>
          <t>N4</t>
        </is>
      </c>
      <c r="E95" s="2" t="inlineStr">
        <is>
          <t>Nguyên tắc</t>
        </is>
      </c>
      <c r="F95" s="2" t="inlineStr">
        <is>
          <t>Hỏi một cụm, ≤ 2 lần/lượt, nói ra giả định</t>
        </is>
      </c>
      <c r="G95" s="2" t="inlineStr">
        <is>
          <t>MDD-40 A3</t>
        </is>
      </c>
      <c r="H95" s="6" t="inlineStr"/>
    </row>
    <row r="96">
      <c r="A96" s="2" t="inlineStr">
        <is>
          <t>A1.4.6</t>
        </is>
      </c>
      <c r="B96" s="2" t="inlineStr">
        <is>
          <t>Giả định đang dùng của lượt</t>
        </is>
      </c>
      <c r="C96" s="2" t="n">
        <v>3</v>
      </c>
      <c r="D96" s="2" t="inlineStr">
        <is>
          <t>CX-assumptions</t>
        </is>
      </c>
      <c r="E96" s="2" t="inlineStr">
        <is>
          <t>Ngữ cảnh tác tử</t>
        </is>
      </c>
      <c r="F96" s="2" t="inlineStr">
        <is>
          <t>Giả định đang dùng: xác nhận/bác bỏ</t>
        </is>
      </c>
      <c r="G96" s="2" t="inlineStr">
        <is>
          <t>MDD-40 B2/B5</t>
        </is>
      </c>
      <c r="H96" s="6" t="inlineStr"/>
    </row>
    <row r="97">
      <c r="A97" s="2" t="inlineStr">
        <is>
          <t>A1.4.7</t>
        </is>
      </c>
      <c r="B97" s="2" t="inlineStr">
        <is>
          <t>Chi phí token/giây đến hiện tại</t>
        </is>
      </c>
      <c r="C97" s="2" t="n">
        <v>3</v>
      </c>
      <c r="D97" s="2" t="inlineStr">
        <is>
          <t>CX-budget</t>
        </is>
      </c>
      <c r="E97" s="2" t="inlineStr">
        <is>
          <t>Ngữ cảnh tác tử</t>
        </is>
      </c>
      <c r="F97" s="2" t="inlineStr">
        <is>
          <t>Ngân sách: tool/lượt, thời gian, ngữ cảnh</t>
        </is>
      </c>
      <c r="G97" s="2" t="inlineStr">
        <is>
          <t>MDD-40 B2/B5</t>
        </is>
      </c>
      <c r="H97" s="6" t="inlineStr"/>
    </row>
    <row r="98">
      <c r="A98" s="2" t="inlineStr">
        <is>
          <t>A1.4.8</t>
        </is>
      </c>
      <c r="B98" s="2" t="inlineStr">
        <is>
          <t>Nút Tiếp tục (sau sự cố/dừng)</t>
        </is>
      </c>
      <c r="C98" s="2" t="n">
        <v>3</v>
      </c>
      <c r="D98" s="2" t="inlineStr">
        <is>
          <t>HA-resume</t>
        </is>
      </c>
      <c r="E98" s="2" t="inlineStr">
        <is>
          <t>HumanAct</t>
        </is>
      </c>
      <c r="F98" s="2" t="inlineStr">
        <is>
          <t>Tiếp tục sau sự cố/mở lại</t>
        </is>
      </c>
      <c r="G98" s="2" t="inlineStr">
        <is>
          <t>MDD-40 D2</t>
        </is>
      </c>
      <c r="H98" s="6" t="inlineStr"/>
    </row>
    <row r="99">
      <c r="A99" s="2" t="inlineStr">
        <is>
          <t>A1.4.8</t>
        </is>
      </c>
      <c r="B99" s="2" t="inlineStr">
        <is>
          <t>Nút Tiếp tục (sau sự cố/dừng)</t>
        </is>
      </c>
      <c r="C99" s="2" t="n">
        <v>3</v>
      </c>
      <c r="D99" s="2" t="inlineStr">
        <is>
          <t>IN-resume</t>
        </is>
      </c>
      <c r="E99" s="2" t="inlineStr">
        <is>
          <t>Sự cố (UC19)</t>
        </is>
      </c>
      <c r="F99" s="2" t="inlineStr">
        <is>
          <t>Tiếp tục sau sự cố</t>
        </is>
      </c>
      <c r="G99" s="2" t="inlineStr">
        <is>
          <t>MDD-40 B1/UC19</t>
        </is>
      </c>
      <c r="H99" s="6" t="inlineStr"/>
    </row>
    <row r="100">
      <c r="A100" s="2" t="inlineStr">
        <is>
          <t>A1.5</t>
        </is>
      </c>
      <c r="B100" s="2" t="inlineStr">
        <is>
          <t>Kích cỡ Console</t>
        </is>
      </c>
      <c r="C100" s="2" t="n">
        <v>2</v>
      </c>
      <c r="D100" s="2" t="inlineStr">
        <is>
          <t>LY-console3</t>
        </is>
      </c>
      <c r="E100" s="2" t="inlineStr">
        <is>
          <t>Bố cục</t>
        </is>
      </c>
      <c r="F100" s="2" t="inlineStr">
        <is>
          <t>Console 3 cỡ</t>
        </is>
      </c>
      <c r="G100" s="2" t="inlineStr">
        <is>
          <t>MDD-40 E7</t>
        </is>
      </c>
      <c r="H100" s="6" t="inlineStr"/>
    </row>
    <row r="101">
      <c r="A101" s="2" t="inlineStr">
        <is>
          <t>A1.5.1</t>
        </is>
      </c>
      <c r="B101" s="2" t="inlineStr">
        <is>
          <t>Chuyển 3 cỡ (hẹp/vừa/rộng)</t>
        </is>
      </c>
      <c r="C101" s="2" t="n">
        <v>3</v>
      </c>
      <c r="D101" s="2" t="inlineStr">
        <is>
          <t>LY-console3</t>
        </is>
      </c>
      <c r="E101" s="2" t="inlineStr">
        <is>
          <t>Bố cục</t>
        </is>
      </c>
      <c r="F101" s="2" t="inlineStr">
        <is>
          <t>Console 3 cỡ</t>
        </is>
      </c>
      <c r="G101" s="2" t="inlineStr">
        <is>
          <t>MDD-40 E7</t>
        </is>
      </c>
      <c r="H101" s="6" t="inlineStr"/>
    </row>
    <row r="102">
      <c r="A102" s="2" t="inlineStr">
        <is>
          <t>A1.5.1</t>
        </is>
      </c>
      <c r="B102" s="2" t="inlineStr">
        <is>
          <t>Chuyển 3 cỡ (hẹp/vừa/rộng)</t>
        </is>
      </c>
      <c r="C102" s="2" t="n">
        <v>3</v>
      </c>
      <c r="D102" s="2" t="inlineStr">
        <is>
          <t>HA-set</t>
        </is>
      </c>
      <c r="E102" s="2" t="inlineStr">
        <is>
          <t>HumanAct</t>
        </is>
      </c>
      <c r="F102" s="2" t="inlineStr">
        <is>
          <t>Đổi thiết lập</t>
        </is>
      </c>
      <c r="G102" s="2" t="inlineStr">
        <is>
          <t>MDD-40 D2</t>
        </is>
      </c>
      <c r="H102" s="6" t="inlineStr"/>
    </row>
    <row r="103">
      <c r="A103" s="2" t="inlineStr">
        <is>
          <t>A1.5.1</t>
        </is>
      </c>
      <c r="B103" s="2" t="inlineStr">
        <is>
          <t>Chuyển 3 cỡ (hẹp/vừa/rộng)</t>
        </is>
      </c>
      <c r="C103" s="2" t="n">
        <v>3</v>
      </c>
      <c r="D103" s="2" t="inlineStr">
        <is>
          <t>UI-ui.set</t>
        </is>
      </c>
      <c r="E103" s="2" t="inlineStr">
        <is>
          <t>UICommand</t>
        </is>
      </c>
      <c r="F103" s="2" t="inlineStr">
        <is>
          <t>Thiết lập UI do lõi</t>
        </is>
      </c>
      <c r="G103" s="2" t="inlineStr">
        <is>
          <t>MDD-40 D2</t>
        </is>
      </c>
      <c r="H103" s="6" t="inlineStr"/>
    </row>
    <row r="104">
      <c r="A104" s="2" t="inlineStr">
        <is>
          <t>A2.1</t>
        </is>
      </c>
      <c r="B104" s="2" t="inlineStr">
        <is>
          <t>Đặc tả yêu cầu (có phiên bản)</t>
        </is>
      </c>
      <c r="C104" s="2" t="n">
        <v>2</v>
      </c>
      <c r="D104" s="2" t="inlineStr">
        <is>
          <t>AR01</t>
        </is>
      </c>
      <c r="E104" s="2" t="inlineStr">
        <is>
          <t>Hiện vật (E2)</t>
        </is>
      </c>
      <c r="F104" s="2" t="inlineStr">
        <is>
          <t>Đặc tả yêu cầu (REQ set)</t>
        </is>
      </c>
      <c r="G104" s="2" t="inlineStr">
        <is>
          <t>MDD-40 E2</t>
        </is>
      </c>
      <c r="H104" s="6" t="inlineStr"/>
    </row>
    <row r="105">
      <c r="A105" s="2" t="inlineStr">
        <is>
          <t>A2.1</t>
        </is>
      </c>
      <c r="B105" s="2" t="inlineStr">
        <is>
          <t>Đặc tả yêu cầu (có phiên bản)</t>
        </is>
      </c>
      <c r="C105" s="2" t="n">
        <v>2</v>
      </c>
      <c r="D105" s="2" t="inlineStr">
        <is>
          <t>C1</t>
        </is>
      </c>
      <c r="E105" s="2" t="inlineStr">
        <is>
          <t>Chặng</t>
        </is>
      </c>
      <c r="F105" s="2" t="inlineStr">
        <is>
          <t>Làm rõ ý tưởng &amp; đề xuất giải pháp</t>
        </is>
      </c>
      <c r="G105" s="2" t="inlineStr">
        <is>
          <t>MDD-40 A4</t>
        </is>
      </c>
      <c r="H105" s="6" t="inlineStr"/>
    </row>
    <row r="106">
      <c r="A106" s="2" t="inlineStr">
        <is>
          <t>A2.1</t>
        </is>
      </c>
      <c r="B106" s="2" t="inlineStr">
        <is>
          <t>Đặc tả yêu cầu (có phiên bản)</t>
        </is>
      </c>
      <c r="C106" s="2" t="n">
        <v>2</v>
      </c>
      <c r="D106" s="2" t="inlineStr">
        <is>
          <t>UC01</t>
        </is>
      </c>
      <c r="E106" s="2" t="inlineStr">
        <is>
          <t>Usecase</t>
        </is>
      </c>
      <c r="F106" s="2" t="inlineStr">
        <is>
          <t>Làm rõ ý tưởng và đề xuất phương án</t>
        </is>
      </c>
      <c r="G106" s="2" t="inlineStr">
        <is>
          <t>Excel 76 TC</t>
        </is>
      </c>
      <c r="H106" s="6" t="inlineStr"/>
    </row>
    <row r="107">
      <c r="A107" s="2" t="inlineStr">
        <is>
          <t>A2.1</t>
        </is>
      </c>
      <c r="B107" s="2" t="inlineStr">
        <is>
          <t>Đặc tả yêu cầu (có phiên bản)</t>
        </is>
      </c>
      <c r="C107" s="2" t="n">
        <v>2</v>
      </c>
      <c r="D107" s="2" t="inlineStr">
        <is>
          <t>N7</t>
        </is>
      </c>
      <c r="E107" s="2" t="inlineStr">
        <is>
          <t>Nguyên tắc</t>
        </is>
      </c>
      <c r="F107" s="2" t="inlineStr">
        <is>
          <t>Chỉ thị cho tác tử ≠ yêu cầu sản phẩm; rủi ro tách riêng</t>
        </is>
      </c>
      <c r="G107" s="2" t="inlineStr">
        <is>
          <t>MDD-40 A3</t>
        </is>
      </c>
      <c r="H107" s="6" t="inlineStr"/>
    </row>
    <row r="108">
      <c r="A108" s="2" t="inlineStr">
        <is>
          <t>A2.1.1</t>
        </is>
      </c>
      <c r="B108" s="2" t="inlineStr">
        <is>
          <t>Tóm tắt + Vì sao? + Giải thích thêm (lớp giải thích)</t>
        </is>
      </c>
      <c r="C108" s="2" t="n">
        <v>3</v>
      </c>
      <c r="D108" s="2" t="inlineStr">
        <is>
          <t>EX-summary</t>
        </is>
      </c>
      <c r="E108" s="2" t="inlineStr">
        <is>
          <t>Lớp giải thích</t>
        </is>
      </c>
      <c r="F108" s="2" t="inlineStr">
        <is>
          <t>Tóm tắt 1 câu</t>
        </is>
      </c>
      <c r="G108" s="2" t="inlineStr">
        <is>
          <t>MDD-40 E3.1</t>
        </is>
      </c>
      <c r="H108" s="6" t="inlineStr"/>
    </row>
    <row r="109">
      <c r="A109" s="2" t="inlineStr">
        <is>
          <t>A2.1.1</t>
        </is>
      </c>
      <c r="B109" s="2" t="inlineStr">
        <is>
          <t>Tóm tắt + Vì sao? + Giải thích thêm (lớp giải thích)</t>
        </is>
      </c>
      <c r="C109" s="2" t="n">
        <v>3</v>
      </c>
      <c r="D109" s="2" t="inlineStr">
        <is>
          <t>EX-why</t>
        </is>
      </c>
      <c r="E109" s="2" t="inlineStr">
        <is>
          <t>Lớp giải thích</t>
        </is>
      </c>
      <c r="F109" s="2" t="inlineStr">
        <is>
          <t>Vì sao</t>
        </is>
      </c>
      <c r="G109" s="2" t="inlineStr">
        <is>
          <t>MDD-40 E3.1</t>
        </is>
      </c>
      <c r="H109" s="6" t="inlineStr"/>
    </row>
    <row r="110">
      <c r="A110" s="2" t="inlineStr">
        <is>
          <t>A2.1.1</t>
        </is>
      </c>
      <c r="B110" s="2" t="inlineStr">
        <is>
          <t>Tóm tắt + Vì sao? + Giải thích thêm (lớp giải thích)</t>
        </is>
      </c>
      <c r="C110" s="2" t="n">
        <v>3</v>
      </c>
      <c r="D110" s="2" t="inlineStr">
        <is>
          <t>EX-why-button</t>
        </is>
      </c>
      <c r="E110" s="2" t="inlineStr">
        <is>
          <t>Lớp giải thích</t>
        </is>
      </c>
      <c r="F110" s="2" t="inlineStr">
        <is>
          <t>Nút 'Vì sao?' (0 token)</t>
        </is>
      </c>
      <c r="G110" s="2" t="inlineStr">
        <is>
          <t>MDD-40 E3.3–3.4</t>
        </is>
      </c>
      <c r="H110" s="6" t="inlineStr"/>
    </row>
    <row r="111">
      <c r="A111" s="2" t="inlineStr">
        <is>
          <t>A2.1.1</t>
        </is>
      </c>
      <c r="B111" s="2" t="inlineStr">
        <is>
          <t>Tóm tắt + Vì sao? + Giải thích thêm (lớp giải thích)</t>
        </is>
      </c>
      <c r="C111" s="2" t="n">
        <v>3</v>
      </c>
      <c r="D111" s="2" t="inlineStr">
        <is>
          <t>EX-explain-more</t>
        </is>
      </c>
      <c r="E111" s="2" t="inlineStr">
        <is>
          <t>Lớp giải thích</t>
        </is>
      </c>
      <c r="F111" s="2" t="inlineStr">
        <is>
          <t>Nút 'Giải thích thêm' → tác tử trả lời</t>
        </is>
      </c>
      <c r="G111" s="2" t="inlineStr">
        <is>
          <t>MDD-40 E3.3–3.4</t>
        </is>
      </c>
      <c r="H111" s="6" t="inlineStr"/>
    </row>
    <row r="112">
      <c r="A112" s="2" t="inlineStr">
        <is>
          <t>A2.1.1</t>
        </is>
      </c>
      <c r="B112" s="2" t="inlineStr">
        <is>
          <t>Tóm tắt + Vì sao? + Giải thích thêm (lớp giải thích)</t>
        </is>
      </c>
      <c r="C112" s="2" t="n">
        <v>3</v>
      </c>
      <c r="D112" s="2" t="inlineStr">
        <is>
          <t>N8</t>
        </is>
      </c>
      <c r="E112" s="2" t="inlineStr">
        <is>
          <t>Nguyên tắc</t>
        </is>
      </c>
      <c r="F112" s="2" t="inlineStr">
        <is>
          <t>Mọi thứ tác tử làm ra có dạng người hiểu được (lớp giải thích 6 trường)</t>
        </is>
      </c>
      <c r="G112" s="2" t="inlineStr">
        <is>
          <t>MDD-40 A3</t>
        </is>
      </c>
      <c r="H112" s="6" t="inlineStr"/>
    </row>
    <row r="113">
      <c r="A113" s="2" t="inlineStr">
        <is>
          <t>A2.1.1</t>
        </is>
      </c>
      <c r="B113" s="2" t="inlineStr">
        <is>
          <t>Tóm tắt + Vì sao? + Giải thích thêm (lớp giải thích)</t>
        </is>
      </c>
      <c r="C113" s="2" t="n">
        <v>3</v>
      </c>
      <c r="D113" s="2" t="inlineStr">
        <is>
          <t>UI-explain.show</t>
        </is>
      </c>
      <c r="E113" s="2" t="inlineStr">
        <is>
          <t>UICommand</t>
        </is>
      </c>
      <c r="F113" s="2" t="inlineStr">
        <is>
          <t>Hiện lớp giải thích</t>
        </is>
      </c>
      <c r="G113" s="2" t="inlineStr">
        <is>
          <t>MDD-40 D2</t>
        </is>
      </c>
      <c r="H113" s="6" t="inlineStr"/>
    </row>
    <row r="114">
      <c r="A114" s="2" t="inlineStr">
        <is>
          <t>A2.1.0</t>
        </is>
      </c>
      <c r="B114" s="2" t="inlineStr">
        <is>
          <t>Khối chuẩn: gập/mở chi tiết; một hành động tiếp theo nổi bật (next)</t>
        </is>
      </c>
      <c r="C114" s="2" t="n">
        <v>3</v>
      </c>
      <c r="D114" s="2" t="inlineStr">
        <is>
          <t>PR1</t>
        </is>
      </c>
      <c r="E114" s="2" t="inlineStr">
        <is>
          <t>Quy tắc trình bày</t>
        </is>
      </c>
      <c r="F114" s="2" t="inlineStr">
        <is>
          <t>Tóm tắt trước, chi tiết sau (gập)</t>
        </is>
      </c>
      <c r="G114" s="2" t="inlineStr">
        <is>
          <t>MDD-40 E3.2</t>
        </is>
      </c>
      <c r="H114" s="6" t="inlineStr"/>
    </row>
    <row r="115">
      <c r="A115" s="2" t="inlineStr">
        <is>
          <t>A2.1.0</t>
        </is>
      </c>
      <c r="B115" s="2" t="inlineStr">
        <is>
          <t>Khối chuẩn: gập/mở chi tiết; một hành động tiếp theo nổi bật (next)</t>
        </is>
      </c>
      <c r="C115" s="2" t="n">
        <v>3</v>
      </c>
      <c r="D115" s="2" t="inlineStr">
        <is>
          <t>PR4</t>
        </is>
      </c>
      <c r="E115" s="2" t="inlineStr">
        <is>
          <t>Quy tắc trình bày</t>
        </is>
      </c>
      <c r="F115" s="2" t="inlineStr">
        <is>
          <t>Chỉ ra đúng một việc cần người</t>
        </is>
      </c>
      <c r="G115" s="2" t="inlineStr">
        <is>
          <t>MDD-40 E3.2</t>
        </is>
      </c>
      <c r="H115" s="6" t="inlineStr"/>
    </row>
    <row r="116">
      <c r="A116" s="2" t="inlineStr">
        <is>
          <t>A2.1.0</t>
        </is>
      </c>
      <c r="B116" s="2" t="inlineStr">
        <is>
          <t>Khối chuẩn: gập/mở chi tiết; một hành động tiếp theo nổi bật (next)</t>
        </is>
      </c>
      <c r="C116" s="2" t="n">
        <v>3</v>
      </c>
      <c r="D116" s="2" t="inlineStr">
        <is>
          <t>EX-next</t>
        </is>
      </c>
      <c r="E116" s="2" t="inlineStr">
        <is>
          <t>Lớp giải thích</t>
        </is>
      </c>
      <c r="F116" s="2" t="inlineStr">
        <is>
          <t>Việc tiếp theo</t>
        </is>
      </c>
      <c r="G116" s="2" t="inlineStr">
        <is>
          <t>MDD-40 E3.1</t>
        </is>
      </c>
      <c r="H116" s="6" t="inlineStr"/>
    </row>
    <row r="117">
      <c r="A117" s="2" t="inlineStr">
        <is>
          <t>A2.1.2</t>
        </is>
      </c>
      <c r="B117" s="2" t="inlineStr">
        <is>
          <t>Bảng REQ (FR/NFR/UR): mô tả, tiêu chí đo, cột 'trích lời anh' (source_quote)</t>
        </is>
      </c>
      <c r="C117" s="2" t="n">
        <v>3</v>
      </c>
      <c r="D117" s="2" t="inlineStr">
        <is>
          <t>AR01</t>
        </is>
      </c>
      <c r="E117" s="2" t="inlineStr">
        <is>
          <t>Hiện vật (E2)</t>
        </is>
      </c>
      <c r="F117" s="2" t="inlineStr">
        <is>
          <t>Đặc tả yêu cầu (REQ set)</t>
        </is>
      </c>
      <c r="G117" s="2" t="inlineStr">
        <is>
          <t>MDD-40 E2</t>
        </is>
      </c>
      <c r="H117" s="6" t="inlineStr"/>
    </row>
    <row r="118">
      <c r="A118" s="2" t="inlineStr">
        <is>
          <t>A2.1.2</t>
        </is>
      </c>
      <c r="B118" s="2" t="inlineStr">
        <is>
          <t>Bảng REQ (FR/NFR/UR): mô tả, tiêu chí đo, cột 'trích lời anh' (source_quote)</t>
        </is>
      </c>
      <c r="C118" s="2" t="n">
        <v>3</v>
      </c>
      <c r="D118" s="2" t="inlineStr">
        <is>
          <t>N7</t>
        </is>
      </c>
      <c r="E118" s="2" t="inlineStr">
        <is>
          <t>Nguyên tắc</t>
        </is>
      </c>
      <c r="F118" s="2" t="inlineStr">
        <is>
          <t>Chỉ thị cho tác tử ≠ yêu cầu sản phẩm; rủi ro tách riêng</t>
        </is>
      </c>
      <c r="G118" s="2" t="inlineStr">
        <is>
          <t>MDD-40 A3</t>
        </is>
      </c>
      <c r="H118" s="6" t="inlineStr"/>
    </row>
    <row r="119">
      <c r="A119" s="2" t="inlineStr">
        <is>
          <t>A2.1.2</t>
        </is>
      </c>
      <c r="B119" s="2" t="inlineStr">
        <is>
          <t>Bảng REQ (FR/NFR/UR): mô tả, tiêu chí đo, cột 'trích lời anh' (source_quote)</t>
        </is>
      </c>
      <c r="C119" s="2" t="n">
        <v>3</v>
      </c>
      <c r="D119" s="2" t="inlineStr">
        <is>
          <t>PR2</t>
        </is>
      </c>
      <c r="E119" s="2" t="inlineStr">
        <is>
          <t>Quy tắc trình bày</t>
        </is>
      </c>
      <c r="F119" s="2" t="inlineStr">
        <is>
          <t>Mọi con số là liên kết ra nguồn</t>
        </is>
      </c>
      <c r="G119" s="2" t="inlineStr">
        <is>
          <t>MDD-40 E3.2</t>
        </is>
      </c>
      <c r="H119" s="6" t="inlineStr"/>
    </row>
    <row r="120">
      <c r="A120" s="2" t="inlineStr">
        <is>
          <t>A2.1.3</t>
        </is>
      </c>
      <c r="B120" s="2" t="inlineStr">
        <is>
          <t>Sửa mô tả/tiêu chí inline + ô 'vì sao'</t>
        </is>
      </c>
      <c r="C120" s="2" t="n">
        <v>3</v>
      </c>
      <c r="D120" s="2" t="inlineStr">
        <is>
          <t>HA-edit</t>
        </is>
      </c>
      <c r="E120" s="2" t="inlineStr">
        <is>
          <t>HumanAct</t>
        </is>
      </c>
      <c r="F120" s="2" t="inlineStr">
        <is>
          <t>Sửa hiện vật rồi lưu</t>
        </is>
      </c>
      <c r="G120" s="2" t="inlineStr">
        <is>
          <t>MDD-40 D2</t>
        </is>
      </c>
      <c r="H120" s="6" t="inlineStr"/>
    </row>
    <row r="121">
      <c r="A121" s="2" t="inlineStr">
        <is>
          <t>A2.1.3</t>
        </is>
      </c>
      <c r="B121" s="2" t="inlineStr">
        <is>
          <t>Sửa mô tả/tiêu chí inline + ô 'vì sao'</t>
        </is>
      </c>
      <c r="C121" s="2" t="n">
        <v>3</v>
      </c>
      <c r="D121" s="2" t="inlineStr">
        <is>
          <t>ED1</t>
        </is>
      </c>
      <c r="E121" s="2" t="inlineStr">
        <is>
          <t>Đồng bộ khi người sửa</t>
        </is>
      </c>
      <c r="F121" s="2" t="inlineStr">
        <is>
          <t>Sửa trên Surface bằng widget đúng loại; cảnh báo soft-lock</t>
        </is>
      </c>
      <c r="G121" s="2" t="inlineStr">
        <is>
          <t>MDD-40 E4</t>
        </is>
      </c>
      <c r="H121" s="6" t="inlineStr"/>
    </row>
    <row r="122">
      <c r="A122" s="2" t="inlineStr">
        <is>
          <t>A2.1.3</t>
        </is>
      </c>
      <c r="B122" s="2" t="inlineStr">
        <is>
          <t>Sửa mô tả/tiêu chí inline + ô 'vì sao'</t>
        </is>
      </c>
      <c r="C122" s="2" t="n">
        <v>3</v>
      </c>
      <c r="D122" s="2" t="inlineStr">
        <is>
          <t>ED2</t>
        </is>
      </c>
      <c r="E122" s="2" t="inlineStr">
        <is>
          <t>Đồng bộ khi người sửa</t>
        </is>
      </c>
      <c r="F122" s="2" t="inlineStr">
        <is>
          <t>Lưu → HumanAct edit qua Console; dòng '[Bạn] Sửa…'</t>
        </is>
      </c>
      <c r="G122" s="2" t="inlineStr">
        <is>
          <t>MDD-40 E4</t>
        </is>
      </c>
      <c r="H122" s="6" t="inlineStr"/>
    </row>
    <row r="123">
      <c r="A123" s="2" t="inlineStr">
        <is>
          <t>A2.1.3</t>
        </is>
      </c>
      <c r="B123" s="2" t="inlineStr">
        <is>
          <t>Sửa mô tả/tiêu chí inline + ô 'vì sao'</t>
        </is>
      </c>
      <c r="C123" s="2" t="n">
        <v>3</v>
      </c>
      <c r="D123" s="2" t="inlineStr">
        <is>
          <t>EDK-content</t>
        </is>
      </c>
      <c r="E123" s="2" t="inlineStr">
        <is>
          <t>Loại sửa của người</t>
        </is>
      </c>
      <c r="F123" s="2" t="inlineStr">
        <is>
          <t>Sửa nội dung → STALE + đề nghị</t>
        </is>
      </c>
      <c r="G123" s="2" t="inlineStr">
        <is>
          <t>MDD-40 E4.1</t>
        </is>
      </c>
      <c r="H123" s="6" t="inlineStr"/>
    </row>
    <row r="124">
      <c r="A124" s="2" t="inlineStr">
        <is>
          <t>A2.1.4</t>
        </is>
      </c>
      <c r="B124" s="2" t="inlineStr">
        <is>
          <t>Thêm / xoá REQ</t>
        </is>
      </c>
      <c r="C124" s="2" t="n">
        <v>3</v>
      </c>
      <c r="D124" s="2" t="inlineStr">
        <is>
          <t>HA-edit</t>
        </is>
      </c>
      <c r="E124" s="2" t="inlineStr">
        <is>
          <t>HumanAct</t>
        </is>
      </c>
      <c r="F124" s="2" t="inlineStr">
        <is>
          <t>Sửa hiện vật rồi lưu</t>
        </is>
      </c>
      <c r="G124" s="2" t="inlineStr">
        <is>
          <t>MDD-40 D2</t>
        </is>
      </c>
      <c r="H124" s="6" t="inlineStr"/>
    </row>
    <row r="125">
      <c r="A125" s="2" t="inlineStr">
        <is>
          <t>A2.1.4</t>
        </is>
      </c>
      <c r="B125" s="2" t="inlineStr">
        <is>
          <t>Thêm / xoá REQ</t>
        </is>
      </c>
      <c r="C125" s="2" t="n">
        <v>3</v>
      </c>
      <c r="D125" s="2" t="inlineStr">
        <is>
          <t>EDK-content</t>
        </is>
      </c>
      <c r="E125" s="2" t="inlineStr">
        <is>
          <t>Loại sửa của người</t>
        </is>
      </c>
      <c r="F125" s="2" t="inlineStr">
        <is>
          <t>Sửa nội dung → STALE + đề nghị</t>
        </is>
      </c>
      <c r="G125" s="2" t="inlineStr">
        <is>
          <t>MDD-40 E4.1</t>
        </is>
      </c>
      <c r="H125" s="6" t="inlineStr"/>
    </row>
    <row r="126">
      <c r="A126" s="2" t="inlineStr">
        <is>
          <t>A2.1.5</t>
        </is>
      </c>
      <c r="B126" s="2" t="inlineStr">
        <is>
          <t>Đánh dấu 'không đúng ý tôi'</t>
        </is>
      </c>
      <c r="C126" s="2" t="n">
        <v>3</v>
      </c>
      <c r="D126" s="2" t="inlineStr">
        <is>
          <t>EDK-reject</t>
        </is>
      </c>
      <c r="E126" s="2" t="inlineStr">
        <is>
          <t>Loại sửa của người</t>
        </is>
      </c>
      <c r="F126" s="2" t="inlineStr">
        <is>
          <t>Bác bỏ → EIDE.md §Đừng</t>
        </is>
      </c>
      <c r="G126" s="2" t="inlineStr">
        <is>
          <t>MDD-40 E4.1</t>
        </is>
      </c>
      <c r="H126" s="6" t="inlineStr"/>
    </row>
    <row r="127">
      <c r="A127" s="2" t="inlineStr">
        <is>
          <t>A2.1.5</t>
        </is>
      </c>
      <c r="B127" s="2" t="inlineStr">
        <is>
          <t>Đánh dấu 'không đúng ý tôi'</t>
        </is>
      </c>
      <c r="C127" s="2" t="n">
        <v>3</v>
      </c>
      <c r="D127" s="2" t="inlineStr">
        <is>
          <t>HA-confirm</t>
        </is>
      </c>
      <c r="E127" s="2" t="inlineStr">
        <is>
          <t>HumanAct</t>
        </is>
      </c>
      <c r="F127" s="2" t="inlineStr">
        <is>
          <t>Xác nhận/từ chối/sửa Fact hoặc nguồn</t>
        </is>
      </c>
      <c r="G127" s="2" t="inlineStr">
        <is>
          <t>MDD-40 D2</t>
        </is>
      </c>
      <c r="H127" s="6" t="inlineStr"/>
    </row>
    <row r="128">
      <c r="A128" s="2" t="inlineStr">
        <is>
          <t>A2.1.6</t>
        </is>
      </c>
      <c r="B128" s="2" t="inlineStr">
        <is>
          <t>Chọn phiên bản v1/v2… và diff bằng lời + tô màu</t>
        </is>
      </c>
      <c r="C128" s="2" t="n">
        <v>3</v>
      </c>
      <c r="D128" s="2" t="inlineStr">
        <is>
          <t>EX-diff_prev</t>
        </is>
      </c>
      <c r="E128" s="2" t="inlineStr">
        <is>
          <t>Lớp giải thích</t>
        </is>
      </c>
      <c r="F128" s="2" t="inlineStr">
        <is>
          <t>Khác bản trước</t>
        </is>
      </c>
      <c r="G128" s="2" t="inlineStr">
        <is>
          <t>MDD-40 E3.1</t>
        </is>
      </c>
      <c r="H128" s="6" t="inlineStr"/>
    </row>
    <row r="129">
      <c r="A129" s="2" t="inlineStr">
        <is>
          <t>A2.1.6</t>
        </is>
      </c>
      <c r="B129" s="2" t="inlineStr">
        <is>
          <t>Chọn phiên bản v1/v2… và diff bằng lời + tô màu</t>
        </is>
      </c>
      <c r="C129" s="2" t="n">
        <v>3</v>
      </c>
      <c r="D129" s="2" t="inlineStr">
        <is>
          <t>PR3</t>
        </is>
      </c>
      <c r="E129" s="2" t="inlineStr">
        <is>
          <t>Quy tắc trình bày</t>
        </is>
      </c>
      <c r="F129" s="2" t="inlineStr">
        <is>
          <t>Luôn nói khác biệt; băng STALE</t>
        </is>
      </c>
      <c r="G129" s="2" t="inlineStr">
        <is>
          <t>MDD-40 E3.2</t>
        </is>
      </c>
      <c r="H129" s="6" t="inlineStr"/>
    </row>
    <row r="130">
      <c r="A130" s="2" t="inlineStr">
        <is>
          <t>A2.1.6</t>
        </is>
      </c>
      <c r="B130" s="2" t="inlineStr">
        <is>
          <t>Chọn phiên bản v1/v2… và diff bằng lời + tô màu</t>
        </is>
      </c>
      <c r="C130" s="2" t="n">
        <v>3</v>
      </c>
      <c r="D130" s="2" t="inlineStr">
        <is>
          <t>AR01</t>
        </is>
      </c>
      <c r="E130" s="2" t="inlineStr">
        <is>
          <t>Hiện vật (E2)</t>
        </is>
      </c>
      <c r="F130" s="2" t="inlineStr">
        <is>
          <t>Đặc tả yêu cầu (REQ set)</t>
        </is>
      </c>
      <c r="G130" s="2" t="inlineStr">
        <is>
          <t>MDD-40 E2</t>
        </is>
      </c>
      <c r="H130" s="6" t="inlineStr"/>
    </row>
    <row r="131">
      <c r="A131" s="2" t="inlineStr">
        <is>
          <t>A2.1.7</t>
        </is>
      </c>
      <c r="B131" s="2" t="inlineStr">
        <is>
          <t>Băng STALE (hạ nguồn cần cập nhật) + nút Chấp nhận STALE</t>
        </is>
      </c>
      <c r="C131" s="2" t="n">
        <v>3</v>
      </c>
      <c r="D131" s="2" t="inlineStr">
        <is>
          <t>CS-stale</t>
        </is>
      </c>
      <c r="E131" s="2" t="inlineStr">
        <is>
          <t>Changeset &amp; rollback</t>
        </is>
      </c>
      <c r="F131" s="2" t="inlineStr">
        <is>
          <t>Đồ thị phụ thuộc + STALE + chấp nhận STALE</t>
        </is>
      </c>
      <c r="G131" s="2" t="inlineStr">
        <is>
          <t>MDD-40 E5</t>
        </is>
      </c>
      <c r="H131" s="6" t="inlineStr"/>
    </row>
    <row r="132">
      <c r="A132" s="2" t="inlineStr">
        <is>
          <t>A2.1.7</t>
        </is>
      </c>
      <c r="B132" s="2" t="inlineStr">
        <is>
          <t>Băng STALE (hạ nguồn cần cập nhật) + nút Chấp nhận STALE</t>
        </is>
      </c>
      <c r="C132" s="2" t="n">
        <v>3</v>
      </c>
      <c r="D132" s="2" t="inlineStr">
        <is>
          <t>PR3</t>
        </is>
      </c>
      <c r="E132" s="2" t="inlineStr">
        <is>
          <t>Quy tắc trình bày</t>
        </is>
      </c>
      <c r="F132" s="2" t="inlineStr">
        <is>
          <t>Luôn nói khác biệt; băng STALE</t>
        </is>
      </c>
      <c r="G132" s="2" t="inlineStr">
        <is>
          <t>MDD-40 E3.2</t>
        </is>
      </c>
      <c r="H132" s="6" t="inlineStr"/>
    </row>
    <row r="133">
      <c r="A133" s="2" t="inlineStr">
        <is>
          <t>A2.1.7</t>
        </is>
      </c>
      <c r="B133" s="2" t="inlineStr">
        <is>
          <t>Băng STALE (hạ nguồn cần cập nhật) + nút Chấp nhận STALE</t>
        </is>
      </c>
      <c r="C133" s="2" t="n">
        <v>3</v>
      </c>
      <c r="D133" s="2" t="inlineStr">
        <is>
          <t>ED4</t>
        </is>
      </c>
      <c r="E133" s="2" t="inlineStr">
        <is>
          <t>Đồng bộ khi người sửa</t>
        </is>
      </c>
      <c r="F133" s="2" t="inlineStr">
        <is>
          <t>Changeset author=human; STALE hạ nguồn</t>
        </is>
      </c>
      <c r="G133" s="2" t="inlineStr">
        <is>
          <t>MDD-40 E4</t>
        </is>
      </c>
      <c r="H133" s="6" t="inlineStr"/>
    </row>
    <row r="134">
      <c r="A134" s="2" t="inlineStr">
        <is>
          <t>A2.1.8</t>
        </is>
      </c>
      <c r="B134" s="2" t="inlineStr">
        <is>
          <t>Thanh tác giả (người/tác tử) + changeset</t>
        </is>
      </c>
      <c r="C134" s="2" t="n">
        <v>3</v>
      </c>
      <c r="D134" s="2" t="inlineStr">
        <is>
          <t>N9</t>
        </is>
      </c>
      <c r="E134" s="2" t="inlineStr">
        <is>
          <t>Nguyên tắc</t>
        </is>
      </c>
      <c r="F134" s="2" t="inlineStr">
        <is>
          <t>Mọi thay đổi là changeset hoàn tác được; sửa của người được tác tử biết; snapshot bất biến</t>
        </is>
      </c>
      <c r="G134" s="2" t="inlineStr">
        <is>
          <t>MDD-40 A3</t>
        </is>
      </c>
      <c r="H134" s="6" t="inlineStr"/>
    </row>
    <row r="135">
      <c r="A135" s="2" t="inlineStr">
        <is>
          <t>A2.1.8</t>
        </is>
      </c>
      <c r="B135" s="2" t="inlineStr">
        <is>
          <t>Thanh tác giả (người/tác tử) + changeset</t>
        </is>
      </c>
      <c r="C135" s="2" t="n">
        <v>3</v>
      </c>
      <c r="D135" s="2" t="inlineStr">
        <is>
          <t>AR22</t>
        </is>
      </c>
      <c r="E135" s="2" t="inlineStr">
        <is>
          <t>Hiện vật (E2)</t>
        </is>
      </c>
      <c r="F135" s="2" t="inlineStr">
        <is>
          <t>Changeset</t>
        </is>
      </c>
      <c r="G135" s="2" t="inlineStr">
        <is>
          <t>MDD-40 E2</t>
        </is>
      </c>
      <c r="H135" s="6" t="inlineStr"/>
    </row>
    <row r="136">
      <c r="A136" s="2" t="inlineStr">
        <is>
          <t>A2.1.8</t>
        </is>
      </c>
      <c r="B136" s="2" t="inlineStr">
        <is>
          <t>Thanh tác giả (người/tác tử) + changeset</t>
        </is>
      </c>
      <c r="C136" s="2" t="n">
        <v>3</v>
      </c>
      <c r="D136" s="2" t="inlineStr">
        <is>
          <t>LY-tabs</t>
        </is>
      </c>
      <c r="E136" s="2" t="inlineStr">
        <is>
          <t>Bố cục</t>
        </is>
      </c>
      <c r="F136" s="2" t="inlineStr">
        <is>
          <t>Tab 1–9 với summary + Vì sao + băng STALE + thanh tác giả</t>
        </is>
      </c>
      <c r="G136" s="2" t="inlineStr">
        <is>
          <t>MDD-40 E7</t>
        </is>
      </c>
      <c r="H136" s="6" t="inlineStr"/>
    </row>
    <row r="137">
      <c r="A137" s="2" t="inlineStr">
        <is>
          <t>A2.2</t>
        </is>
      </c>
      <c r="B137" s="2" t="inlineStr">
        <is>
          <t>Rủi ro (tách riêng khỏi FR)</t>
        </is>
      </c>
      <c r="C137" s="2" t="n">
        <v>2</v>
      </c>
      <c r="D137" s="2" t="inlineStr">
        <is>
          <t>N7</t>
        </is>
      </c>
      <c r="E137" s="2" t="inlineStr">
        <is>
          <t>Nguyên tắc</t>
        </is>
      </c>
      <c r="F137" s="2" t="inlineStr">
        <is>
          <t>Chỉ thị cho tác tử ≠ yêu cầu sản phẩm; rủi ro tách riêng</t>
        </is>
      </c>
      <c r="G137" s="2" t="inlineStr">
        <is>
          <t>MDD-40 A3</t>
        </is>
      </c>
      <c r="H137" s="6" t="inlineStr"/>
    </row>
    <row r="138">
      <c r="A138" s="2" t="inlineStr">
        <is>
          <t>A2.2</t>
        </is>
      </c>
      <c r="B138" s="2" t="inlineStr">
        <is>
          <t>Rủi ro (tách riêng khỏi FR)</t>
        </is>
      </c>
      <c r="C138" s="2" t="n">
        <v>2</v>
      </c>
      <c r="D138" s="2" t="inlineStr">
        <is>
          <t>UC01</t>
        </is>
      </c>
      <c r="E138" s="2" t="inlineStr">
        <is>
          <t>Usecase</t>
        </is>
      </c>
      <c r="F138" s="2" t="inlineStr">
        <is>
          <t>Làm rõ ý tưởng và đề xuất phương án</t>
        </is>
      </c>
      <c r="G138" s="2" t="inlineStr">
        <is>
          <t>Excel 76 TC</t>
        </is>
      </c>
      <c r="H138" s="6" t="inlineStr"/>
    </row>
    <row r="139">
      <c r="A139" s="2" t="inlineStr">
        <is>
          <t>A2.2.1</t>
        </is>
      </c>
      <c r="B139" s="2" t="inlineStr">
        <is>
          <t>Bảng rủi ro: mô tả, mức, đề xuất, nguồn</t>
        </is>
      </c>
      <c r="C139" s="2" t="n">
        <v>3</v>
      </c>
      <c r="D139" s="2" t="inlineStr">
        <is>
          <t>N7</t>
        </is>
      </c>
      <c r="E139" s="2" t="inlineStr">
        <is>
          <t>Nguyên tắc</t>
        </is>
      </c>
      <c r="F139" s="2" t="inlineStr">
        <is>
          <t>Chỉ thị cho tác tử ≠ yêu cầu sản phẩm; rủi ro tách riêng</t>
        </is>
      </c>
      <c r="G139" s="2" t="inlineStr">
        <is>
          <t>MDD-40 A3</t>
        </is>
      </c>
      <c r="H139" s="6" t="inlineStr"/>
    </row>
    <row r="140">
      <c r="A140" s="2" t="inlineStr">
        <is>
          <t>A2.2.1</t>
        </is>
      </c>
      <c r="B140" s="2" t="inlineStr">
        <is>
          <t>Bảng rủi ro: mô tả, mức, đề xuất, nguồn</t>
        </is>
      </c>
      <c r="C140" s="2" t="n">
        <v>3</v>
      </c>
      <c r="D140" s="2" t="inlineStr">
        <is>
          <t>PR2</t>
        </is>
      </c>
      <c r="E140" s="2" t="inlineStr">
        <is>
          <t>Quy tắc trình bày</t>
        </is>
      </c>
      <c r="F140" s="2" t="inlineStr">
        <is>
          <t>Mọi con số là liên kết ra nguồn</t>
        </is>
      </c>
      <c r="G140" s="2" t="inlineStr">
        <is>
          <t>MDD-40 E3.2</t>
        </is>
      </c>
      <c r="H140" s="6" t="inlineStr"/>
    </row>
    <row r="141">
      <c r="A141" s="2" t="inlineStr">
        <is>
          <t>A2.2.1</t>
        </is>
      </c>
      <c r="B141" s="2" t="inlineStr">
        <is>
          <t>Bảng rủi ro: mô tả, mức, đề xuất, nguồn</t>
        </is>
      </c>
      <c r="C141" s="2" t="n">
        <v>3</v>
      </c>
      <c r="D141" s="2" t="inlineStr">
        <is>
          <t>EX-sources</t>
        </is>
      </c>
      <c r="E141" s="2" t="inlineStr">
        <is>
          <t>Lớp giải thích</t>
        </is>
      </c>
      <c r="F141" s="2" t="inlineStr">
        <is>
          <t>Nguồn bấm được + tầng</t>
        </is>
      </c>
      <c r="G141" s="2" t="inlineStr">
        <is>
          <t>MDD-40 E3.1</t>
        </is>
      </c>
      <c r="H141" s="6" t="inlineStr"/>
    </row>
    <row r="142">
      <c r="A142" s="2" t="inlineStr">
        <is>
          <t>A2.2.2</t>
        </is>
      </c>
      <c r="B142" s="2" t="inlineStr">
        <is>
          <t>Chấp nhận rủi ro có lý do</t>
        </is>
      </c>
      <c r="C142" s="2" t="n">
        <v>3</v>
      </c>
      <c r="D142" s="2" t="inlineStr">
        <is>
          <t>EDK-reject</t>
        </is>
      </c>
      <c r="E142" s="2" t="inlineStr">
        <is>
          <t>Loại sửa của người</t>
        </is>
      </c>
      <c r="F142" s="2" t="inlineStr">
        <is>
          <t>Bác bỏ → EIDE.md §Đừng</t>
        </is>
      </c>
      <c r="G142" s="2" t="inlineStr">
        <is>
          <t>MDD-40 E4.1</t>
        </is>
      </c>
      <c r="H142" s="6" t="inlineStr"/>
    </row>
    <row r="143">
      <c r="A143" s="2" t="inlineStr">
        <is>
          <t>A2.2.2</t>
        </is>
      </c>
      <c r="B143" s="2" t="inlineStr">
        <is>
          <t>Chấp nhận rủi ro có lý do</t>
        </is>
      </c>
      <c r="C143" s="2" t="n">
        <v>3</v>
      </c>
      <c r="D143" s="2" t="inlineStr">
        <is>
          <t>HA-confirm</t>
        </is>
      </c>
      <c r="E143" s="2" t="inlineStr">
        <is>
          <t>HumanAct</t>
        </is>
      </c>
      <c r="F143" s="2" t="inlineStr">
        <is>
          <t>Xác nhận/từ chối/sửa Fact hoặc nguồn</t>
        </is>
      </c>
      <c r="G143" s="2" t="inlineStr">
        <is>
          <t>MDD-40 D2</t>
        </is>
      </c>
      <c r="H143" s="6" t="inlineStr"/>
    </row>
    <row r="144">
      <c r="A144" s="2" t="inlineStr">
        <is>
          <t>A2.3</t>
        </is>
      </c>
      <c r="B144" s="2" t="inlineStr">
        <is>
          <t>Phương án (2–4) so sánh</t>
        </is>
      </c>
      <c r="C144" s="2" t="n">
        <v>2</v>
      </c>
      <c r="D144" s="2" t="inlineStr">
        <is>
          <t>AR02</t>
        </is>
      </c>
      <c r="E144" s="2" t="inlineStr">
        <is>
          <t>Hiện vật (E2)</t>
        </is>
      </c>
      <c r="F144" s="2" t="inlineStr">
        <is>
          <t>Phương án + phương án chọn</t>
        </is>
      </c>
      <c r="G144" s="2" t="inlineStr">
        <is>
          <t>MDD-40 E2</t>
        </is>
      </c>
      <c r="H144" s="6" t="inlineStr"/>
    </row>
    <row r="145">
      <c r="A145" s="2" t="inlineStr">
        <is>
          <t>A2.3</t>
        </is>
      </c>
      <c r="B145" s="2" t="inlineStr">
        <is>
          <t>Phương án (2–4) so sánh</t>
        </is>
      </c>
      <c r="C145" s="2" t="n">
        <v>2</v>
      </c>
      <c r="D145" s="2" t="inlineStr">
        <is>
          <t>UC01</t>
        </is>
      </c>
      <c r="E145" s="2" t="inlineStr">
        <is>
          <t>Usecase</t>
        </is>
      </c>
      <c r="F145" s="2" t="inlineStr">
        <is>
          <t>Làm rõ ý tưởng và đề xuất phương án</t>
        </is>
      </c>
      <c r="G145" s="2" t="inlineStr">
        <is>
          <t>Excel 76 TC</t>
        </is>
      </c>
      <c r="H145" s="6" t="inlineStr"/>
    </row>
    <row r="146">
      <c r="A146" s="2" t="inlineStr">
        <is>
          <t>A2.3</t>
        </is>
      </c>
      <c r="B146" s="2" t="inlineStr">
        <is>
          <t>Phương án (2–4) so sánh</t>
        </is>
      </c>
      <c r="C146" s="2" t="n">
        <v>2</v>
      </c>
      <c r="D146" s="2" t="inlineStr">
        <is>
          <t>G-DESIGN</t>
        </is>
      </c>
      <c r="E146" s="2" t="inlineStr">
        <is>
          <t>Cổng</t>
        </is>
      </c>
      <c r="F146" s="2" t="inlineStr">
        <is>
          <t>Chốt phương án/thiết kế</t>
        </is>
      </c>
      <c r="G146" s="2" t="inlineStr">
        <is>
          <t>MDD-40 B4/E7</t>
        </is>
      </c>
      <c r="H146" s="6" t="inlineStr"/>
    </row>
    <row r="147">
      <c r="A147" s="2" t="inlineStr">
        <is>
          <t>A2.3.1</t>
        </is>
      </c>
      <c r="B147" s="2" t="inlineStr">
        <is>
          <t>Bảng so sánh: kiến trúc, linh kiện, chi phí, độ khó, rủi ro, nguồn; điểm theo ràng buộc</t>
        </is>
      </c>
      <c r="C147" s="2" t="n">
        <v>3</v>
      </c>
      <c r="D147" s="2" t="inlineStr">
        <is>
          <t>AR02</t>
        </is>
      </c>
      <c r="E147" s="2" t="inlineStr">
        <is>
          <t>Hiện vật (E2)</t>
        </is>
      </c>
      <c r="F147" s="2" t="inlineStr">
        <is>
          <t>Phương án + phương án chọn</t>
        </is>
      </c>
      <c r="G147" s="2" t="inlineStr">
        <is>
          <t>MDD-40 E2</t>
        </is>
      </c>
      <c r="H147" s="6" t="inlineStr"/>
    </row>
    <row r="148">
      <c r="A148" s="2" t="inlineStr">
        <is>
          <t>A2.3.1</t>
        </is>
      </c>
      <c r="B148" s="2" t="inlineStr">
        <is>
          <t>Bảng so sánh: kiến trúc, linh kiện, chi phí, độ khó, rủi ro, nguồn; điểm theo ràng buộc</t>
        </is>
      </c>
      <c r="C148" s="2" t="n">
        <v>3</v>
      </c>
      <c r="D148" s="2" t="inlineStr">
        <is>
          <t>PR2</t>
        </is>
      </c>
      <c r="E148" s="2" t="inlineStr">
        <is>
          <t>Quy tắc trình bày</t>
        </is>
      </c>
      <c r="F148" s="2" t="inlineStr">
        <is>
          <t>Mọi con số là liên kết ra nguồn</t>
        </is>
      </c>
      <c r="G148" s="2" t="inlineStr">
        <is>
          <t>MDD-40 E3.2</t>
        </is>
      </c>
      <c r="H148" s="6" t="inlineStr"/>
    </row>
    <row r="149">
      <c r="A149" s="2" t="inlineStr">
        <is>
          <t>A2.3.1</t>
        </is>
      </c>
      <c r="B149" s="2" t="inlineStr">
        <is>
          <t>Bảng so sánh: kiến trúc, linh kiện, chi phí, độ khó, rủi ro, nguồn; điểm theo ràng buộc</t>
        </is>
      </c>
      <c r="C149" s="2" t="n">
        <v>3</v>
      </c>
      <c r="D149" s="2" t="inlineStr">
        <is>
          <t>EX-confidence</t>
        </is>
      </c>
      <c r="E149" s="2" t="inlineStr">
        <is>
          <t>Lớp giải thích</t>
        </is>
      </c>
      <c r="F149" s="2" t="inlineStr">
        <is>
          <t>Tin được đến đâu</t>
        </is>
      </c>
      <c r="G149" s="2" t="inlineStr">
        <is>
          <t>MDD-40 E3.1</t>
        </is>
      </c>
      <c r="H149" s="6" t="inlineStr"/>
    </row>
    <row r="150">
      <c r="A150" s="2" t="inlineStr">
        <is>
          <t>A2.3.2</t>
        </is>
      </c>
      <c r="B150" s="2" t="inlineStr">
        <is>
          <t>Số ước lượng (ĐỒNG) tô nghiêng vs số có nguồn</t>
        </is>
      </c>
      <c r="C150" s="2" t="n">
        <v>3</v>
      </c>
      <c r="D150" s="2" t="inlineStr">
        <is>
          <t>T-DONG</t>
        </is>
      </c>
      <c r="E150" s="2" t="inlineStr">
        <is>
          <t>Tầng dữ liệu</t>
        </is>
      </c>
      <c r="F150" s="2" t="inlineStr">
        <is>
          <t>Tầng ĐỒNG — nghiêng, 'chưa kiểm chứng'</t>
        </is>
      </c>
      <c r="G150" s="2" t="inlineStr">
        <is>
          <t>MDD-40 C1</t>
        </is>
      </c>
      <c r="H150" s="6" t="inlineStr"/>
    </row>
    <row r="151">
      <c r="A151" s="2" t="inlineStr">
        <is>
          <t>A2.3.2</t>
        </is>
      </c>
      <c r="B151" s="2" t="inlineStr">
        <is>
          <t>Số ước lượng (ĐỒNG) tô nghiêng vs số có nguồn</t>
        </is>
      </c>
      <c r="C151" s="2" t="n">
        <v>3</v>
      </c>
      <c r="D151" s="2" t="inlineStr">
        <is>
          <t>N2</t>
        </is>
      </c>
      <c r="E151" s="2" t="inlineStr">
        <is>
          <t>Nguyên tắc</t>
        </is>
      </c>
      <c r="F151" s="2" t="inlineStr">
        <is>
          <t>Bốn tầng tin cậy VÀNG/BẠC/NGƯỜI/ĐỒNG; ĐỒNG không là vế so sánh</t>
        </is>
      </c>
      <c r="G151" s="2" t="inlineStr">
        <is>
          <t>MDD-40 A3</t>
        </is>
      </c>
      <c r="H151" s="6" t="inlineStr"/>
    </row>
    <row r="152">
      <c r="A152" s="2" t="inlineStr">
        <is>
          <t>A2.3.3</t>
        </is>
      </c>
      <c r="B152" s="2" t="inlineStr">
        <is>
          <t>Chọn phương án (→ thẻ G-DESIGN)</t>
        </is>
      </c>
      <c r="C152" s="2" t="n">
        <v>3</v>
      </c>
      <c r="D152" s="2" t="inlineStr">
        <is>
          <t>HA-choose</t>
        </is>
      </c>
      <c r="E152" s="2" t="inlineStr">
        <is>
          <t>HumanAct</t>
        </is>
      </c>
      <c r="F152" s="2" t="inlineStr">
        <is>
          <t>Chọn mục trong thẻ</t>
        </is>
      </c>
      <c r="G152" s="2" t="inlineStr">
        <is>
          <t>MDD-40 D2</t>
        </is>
      </c>
      <c r="H152" s="6" t="inlineStr"/>
    </row>
    <row r="153">
      <c r="A153" s="2" t="inlineStr">
        <is>
          <t>A2.3.3</t>
        </is>
      </c>
      <c r="B153" s="2" t="inlineStr">
        <is>
          <t>Chọn phương án (→ thẻ G-DESIGN)</t>
        </is>
      </c>
      <c r="C153" s="2" t="n">
        <v>3</v>
      </c>
      <c r="D153" s="2" t="inlineStr">
        <is>
          <t>G-DESIGN</t>
        </is>
      </c>
      <c r="E153" s="2" t="inlineStr">
        <is>
          <t>Cổng</t>
        </is>
      </c>
      <c r="F153" s="2" t="inlineStr">
        <is>
          <t>Chốt phương án/thiết kế</t>
        </is>
      </c>
      <c r="G153" s="2" t="inlineStr">
        <is>
          <t>MDD-40 B4/E7</t>
        </is>
      </c>
      <c r="H153" s="6" t="inlineStr"/>
    </row>
    <row r="154">
      <c r="A154" s="2" t="inlineStr">
        <is>
          <t>A2.3.3</t>
        </is>
      </c>
      <c r="B154" s="2" t="inlineStr">
        <is>
          <t>Chọn phương án (→ thẻ G-DESIGN)</t>
        </is>
      </c>
      <c r="C154" s="2" t="n">
        <v>3</v>
      </c>
      <c r="D154" s="2" t="inlineStr">
        <is>
          <t>EDK-decision</t>
        </is>
      </c>
      <c r="E154" s="2" t="inlineStr">
        <is>
          <t>Loại sửa của người</t>
        </is>
      </c>
      <c r="F154" s="2" t="inlineStr">
        <is>
          <t>Sửa quyết định → ADR mới, hỏi nhánh</t>
        </is>
      </c>
      <c r="G154" s="2" t="inlineStr">
        <is>
          <t>MDD-40 E4.1</t>
        </is>
      </c>
      <c r="H154" s="6" t="inlineStr"/>
    </row>
    <row r="155">
      <c r="A155" s="2" t="inlineStr">
        <is>
          <t>A2.3.4</t>
        </is>
      </c>
      <c r="B155" s="2" t="inlineStr">
        <is>
          <t>Sửa chi phí/độ khó; thêm phương án bằng lời</t>
        </is>
      </c>
      <c r="C155" s="2" t="n">
        <v>3</v>
      </c>
      <c r="D155" s="2" t="inlineStr">
        <is>
          <t>HA-edit</t>
        </is>
      </c>
      <c r="E155" s="2" t="inlineStr">
        <is>
          <t>HumanAct</t>
        </is>
      </c>
      <c r="F155" s="2" t="inlineStr">
        <is>
          <t>Sửa hiện vật rồi lưu</t>
        </is>
      </c>
      <c r="G155" s="2" t="inlineStr">
        <is>
          <t>MDD-40 D2</t>
        </is>
      </c>
      <c r="H155" s="6" t="inlineStr"/>
    </row>
    <row r="156">
      <c r="A156" s="2" t="inlineStr">
        <is>
          <t>A2.3.4</t>
        </is>
      </c>
      <c r="B156" s="2" t="inlineStr">
        <is>
          <t>Sửa chi phí/độ khó; thêm phương án bằng lời</t>
        </is>
      </c>
      <c r="C156" s="2" t="n">
        <v>3</v>
      </c>
      <c r="D156" s="2" t="inlineStr">
        <is>
          <t>EDK-content</t>
        </is>
      </c>
      <c r="E156" s="2" t="inlineStr">
        <is>
          <t>Loại sửa của người</t>
        </is>
      </c>
      <c r="F156" s="2" t="inlineStr">
        <is>
          <t>Sửa nội dung → STALE + đề nghị</t>
        </is>
      </c>
      <c r="G156" s="2" t="inlineStr">
        <is>
          <t>MDD-40 E4.1</t>
        </is>
      </c>
      <c r="H156" s="6" t="inlineStr"/>
    </row>
    <row r="157">
      <c r="A157" s="2" t="inlineStr">
        <is>
          <t>A2.3.5</t>
        </is>
      </c>
      <c r="B157" s="2" t="inlineStr">
        <is>
          <t>Rẽ nhánh để thử phương án khác song song</t>
        </is>
      </c>
      <c r="C157" s="2" t="n">
        <v>3</v>
      </c>
      <c r="D157" s="2" t="inlineStr">
        <is>
          <t>CS-branch</t>
        </is>
      </c>
      <c r="E157" s="2" t="inlineStr">
        <is>
          <t>Changeset &amp; rollback</t>
        </is>
      </c>
      <c r="F157" s="2" t="inlineStr">
        <is>
          <t>Rẽ nhánh phương án; so sánh; gộp</t>
        </is>
      </c>
      <c r="G157" s="2" t="inlineStr">
        <is>
          <t>MDD-40 E5</t>
        </is>
      </c>
      <c r="H157" s="6" t="inlineStr"/>
    </row>
    <row r="158">
      <c r="A158" s="2" t="inlineStr">
        <is>
          <t>A2.3.5</t>
        </is>
      </c>
      <c r="B158" s="2" t="inlineStr">
        <is>
          <t>Rẽ nhánh để thử phương án khác song song</t>
        </is>
      </c>
      <c r="C158" s="2" t="n">
        <v>3</v>
      </c>
      <c r="D158" s="2" t="inlineStr">
        <is>
          <t>HA-branch</t>
        </is>
      </c>
      <c r="E158" s="2" t="inlineStr">
        <is>
          <t>HumanAct</t>
        </is>
      </c>
      <c r="F158" s="2" t="inlineStr">
        <is>
          <t>Rẽ/chuyển/gộp nhánh</t>
        </is>
      </c>
      <c r="G158" s="2" t="inlineStr">
        <is>
          <t>MDD-40 D2</t>
        </is>
      </c>
      <c r="H158" s="6" t="inlineStr"/>
    </row>
    <row r="159">
      <c r="A159" s="2" t="inlineStr">
        <is>
          <t>A2.4</t>
        </is>
      </c>
      <c r="B159" s="2" t="inlineStr">
        <is>
          <t>Quyết định (ADR)</t>
        </is>
      </c>
      <c r="C159" s="2" t="n">
        <v>2</v>
      </c>
      <c r="D159" s="2" t="inlineStr">
        <is>
          <t>AR03</t>
        </is>
      </c>
      <c r="E159" s="2" t="inlineStr">
        <is>
          <t>Hiện vật (E2)</t>
        </is>
      </c>
      <c r="F159" s="2" t="inlineStr">
        <is>
          <t>ADR</t>
        </is>
      </c>
      <c r="G159" s="2" t="inlineStr">
        <is>
          <t>MDD-40 E2</t>
        </is>
      </c>
      <c r="H159" s="6" t="inlineStr"/>
    </row>
    <row r="160">
      <c r="A160" s="2" t="inlineStr">
        <is>
          <t>A2.4.1</t>
        </is>
      </c>
      <c r="B160" s="2" t="inlineStr">
        <is>
          <t>Thẻ ADR: context, options, choice, consequences, ai quyết</t>
        </is>
      </c>
      <c r="C160" s="2" t="n">
        <v>3</v>
      </c>
      <c r="D160" s="2" t="inlineStr">
        <is>
          <t>AR03</t>
        </is>
      </c>
      <c r="E160" s="2" t="inlineStr">
        <is>
          <t>Hiện vật (E2)</t>
        </is>
      </c>
      <c r="F160" s="2" t="inlineStr">
        <is>
          <t>ADR</t>
        </is>
      </c>
      <c r="G160" s="2" t="inlineStr">
        <is>
          <t>MDD-40 E2</t>
        </is>
      </c>
      <c r="H160" s="6" t="inlineStr"/>
    </row>
    <row r="161">
      <c r="A161" s="2" t="inlineStr">
        <is>
          <t>A2.4.1</t>
        </is>
      </c>
      <c r="B161" s="2" t="inlineStr">
        <is>
          <t>Thẻ ADR: context, options, choice, consequences, ai quyết</t>
        </is>
      </c>
      <c r="C161" s="2" t="n">
        <v>3</v>
      </c>
      <c r="D161" s="2" t="inlineStr">
        <is>
          <t>EX-why</t>
        </is>
      </c>
      <c r="E161" s="2" t="inlineStr">
        <is>
          <t>Lớp giải thích</t>
        </is>
      </c>
      <c r="F161" s="2" t="inlineStr">
        <is>
          <t>Vì sao</t>
        </is>
      </c>
      <c r="G161" s="2" t="inlineStr">
        <is>
          <t>MDD-40 E3.1</t>
        </is>
      </c>
      <c r="H161" s="6" t="inlineStr"/>
    </row>
    <row r="162">
      <c r="A162" s="2" t="inlineStr">
        <is>
          <t>A2.4.2</t>
        </is>
      </c>
      <c r="B162" s="2" t="inlineStr">
        <is>
          <t>Sửa/ghi đè quyết định (→ ADR mới có human_act_ref)</t>
        </is>
      </c>
      <c r="C162" s="2" t="n">
        <v>3</v>
      </c>
      <c r="D162" s="2" t="inlineStr">
        <is>
          <t>EDK-decision</t>
        </is>
      </c>
      <c r="E162" s="2" t="inlineStr">
        <is>
          <t>Loại sửa của người</t>
        </is>
      </c>
      <c r="F162" s="2" t="inlineStr">
        <is>
          <t>Sửa quyết định → ADR mới, hỏi nhánh</t>
        </is>
      </c>
      <c r="G162" s="2" t="inlineStr">
        <is>
          <t>MDD-40 E4.1</t>
        </is>
      </c>
      <c r="H162" s="6" t="inlineStr"/>
    </row>
    <row r="163">
      <c r="A163" s="2" t="inlineStr">
        <is>
          <t>A2.4.2</t>
        </is>
      </c>
      <c r="B163" s="2" t="inlineStr">
        <is>
          <t>Sửa/ghi đè quyết định (→ ADR mới có human_act_ref)</t>
        </is>
      </c>
      <c r="C163" s="2" t="n">
        <v>3</v>
      </c>
      <c r="D163" s="2" t="inlineStr">
        <is>
          <t>HA-edit</t>
        </is>
      </c>
      <c r="E163" s="2" t="inlineStr">
        <is>
          <t>HumanAct</t>
        </is>
      </c>
      <c r="F163" s="2" t="inlineStr">
        <is>
          <t>Sửa hiện vật rồi lưu</t>
        </is>
      </c>
      <c r="G163" s="2" t="inlineStr">
        <is>
          <t>MDD-40 D2</t>
        </is>
      </c>
      <c r="H163" s="6" t="inlineStr"/>
    </row>
    <row r="164">
      <c r="A164" s="2" t="inlineStr">
        <is>
          <t>A2.5</t>
        </is>
      </c>
      <c r="B164" s="2" t="inlineStr">
        <is>
          <t>Mâu thuẫn &amp; khả thi vật lý</t>
        </is>
      </c>
      <c r="C164" s="2" t="n">
        <v>2</v>
      </c>
      <c r="D164" s="2" t="inlineStr">
        <is>
          <t>UC01</t>
        </is>
      </c>
      <c r="E164" s="2" t="inlineStr">
        <is>
          <t>Usecase</t>
        </is>
      </c>
      <c r="F164" s="2" t="inlineStr">
        <is>
          <t>Làm rõ ý tưởng và đề xuất phương án</t>
        </is>
      </c>
      <c r="G164" s="2" t="inlineStr">
        <is>
          <t>Excel 76 TC</t>
        </is>
      </c>
      <c r="H164" s="6" t="inlineStr"/>
    </row>
    <row r="165">
      <c r="A165" s="2" t="inlineStr">
        <is>
          <t>A2.5</t>
        </is>
      </c>
      <c r="B165" s="2" t="inlineStr">
        <is>
          <t>Mâu thuẫn &amp; khả thi vật lý</t>
        </is>
      </c>
      <c r="C165" s="2" t="n">
        <v>2</v>
      </c>
      <c r="D165" s="2" t="inlineStr">
        <is>
          <t>N1</t>
        </is>
      </c>
      <c r="E165" s="2" t="inlineStr">
        <is>
          <t>Nguyên tắc</t>
        </is>
      </c>
      <c r="F165" s="2" t="inlineStr">
        <is>
          <t>Datasheet là nguồn sự thật — mọi con số truy vết tới tài liệu/trang</t>
        </is>
      </c>
      <c r="G165" s="2" t="inlineStr">
        <is>
          <t>MDD-40 A3</t>
        </is>
      </c>
      <c r="H165" s="6" t="inlineStr"/>
    </row>
    <row r="166">
      <c r="A166" s="2" t="inlineStr">
        <is>
          <t>A2.5.1</t>
        </is>
      </c>
      <c r="B166" s="2" t="inlineStr">
        <is>
          <t>Khối 'Mâu thuẫn phát hiện' bằng số có nguồn (băng thông, pin…)</t>
        </is>
      </c>
      <c r="C166" s="2" t="n">
        <v>3</v>
      </c>
      <c r="D166" s="2" t="inlineStr">
        <is>
          <t>N1</t>
        </is>
      </c>
      <c r="E166" s="2" t="inlineStr">
        <is>
          <t>Nguyên tắc</t>
        </is>
      </c>
      <c r="F166" s="2" t="inlineStr">
        <is>
          <t>Datasheet là nguồn sự thật — mọi con số truy vết tới tài liệu/trang</t>
        </is>
      </c>
      <c r="G166" s="2" t="inlineStr">
        <is>
          <t>MDD-40 A3</t>
        </is>
      </c>
      <c r="H166" s="6" t="inlineStr"/>
    </row>
    <row r="167">
      <c r="A167" s="2" t="inlineStr">
        <is>
          <t>A2.5.1</t>
        </is>
      </c>
      <c r="B167" s="2" t="inlineStr">
        <is>
          <t>Khối 'Mâu thuẫn phát hiện' bằng số có nguồn (băng thông, pin…)</t>
        </is>
      </c>
      <c r="C167" s="2" t="n">
        <v>3</v>
      </c>
      <c r="D167" s="2" t="inlineStr">
        <is>
          <t>PR5</t>
        </is>
      </c>
      <c r="E167" s="2" t="inlineStr">
        <is>
          <t>Quy tắc trình bày</t>
        </is>
      </c>
      <c r="F167" s="2" t="inlineStr">
        <is>
          <t>Không giấu thất bại — khối riêng</t>
        </is>
      </c>
      <c r="G167" s="2" t="inlineStr">
        <is>
          <t>MDD-40 E3.2</t>
        </is>
      </c>
      <c r="H167" s="6" t="inlineStr"/>
    </row>
    <row r="168">
      <c r="A168" s="2" t="inlineStr">
        <is>
          <t>A2.5.1</t>
        </is>
      </c>
      <c r="B168" s="2" t="inlineStr">
        <is>
          <t>Khối 'Mâu thuẫn phát hiện' bằng số có nguồn (băng thông, pin…)</t>
        </is>
      </c>
      <c r="C168" s="2" t="n">
        <v>3</v>
      </c>
      <c r="D168" s="2" t="inlineStr">
        <is>
          <t>UC01</t>
        </is>
      </c>
      <c r="E168" s="2" t="inlineStr">
        <is>
          <t>Usecase</t>
        </is>
      </c>
      <c r="F168" s="2" t="inlineStr">
        <is>
          <t>Làm rõ ý tưởng và đề xuất phương án</t>
        </is>
      </c>
      <c r="G168" s="2" t="inlineStr">
        <is>
          <t>Excel 76 TC</t>
        </is>
      </c>
      <c r="H168" s="6" t="inlineStr"/>
    </row>
    <row r="169">
      <c r="A169" s="2" t="inlineStr">
        <is>
          <t>A2.5.2</t>
        </is>
      </c>
      <c r="B169" s="2" t="inlineStr">
        <is>
          <t>Đề xuất nới ràng buộc nào</t>
        </is>
      </c>
      <c r="C169" s="2" t="n">
        <v>3</v>
      </c>
      <c r="D169" s="2" t="inlineStr">
        <is>
          <t>EX-next</t>
        </is>
      </c>
      <c r="E169" s="2" t="inlineStr">
        <is>
          <t>Lớp giải thích</t>
        </is>
      </c>
      <c r="F169" s="2" t="inlineStr">
        <is>
          <t>Việc tiếp theo</t>
        </is>
      </c>
      <c r="G169" s="2" t="inlineStr">
        <is>
          <t>MDD-40 E3.1</t>
        </is>
      </c>
      <c r="H169" s="6" t="inlineStr"/>
    </row>
    <row r="170">
      <c r="A170" s="2" t="inlineStr">
        <is>
          <t>A2.5.2</t>
        </is>
      </c>
      <c r="B170" s="2" t="inlineStr">
        <is>
          <t>Đề xuất nới ràng buộc nào</t>
        </is>
      </c>
      <c r="C170" s="2" t="n">
        <v>3</v>
      </c>
      <c r="D170" s="2" t="inlineStr">
        <is>
          <t>N4</t>
        </is>
      </c>
      <c r="E170" s="2" t="inlineStr">
        <is>
          <t>Nguyên tắc</t>
        </is>
      </c>
      <c r="F170" s="2" t="inlineStr">
        <is>
          <t>Hỏi một cụm, ≤ 2 lần/lượt, nói ra giả định</t>
        </is>
      </c>
      <c r="G170" s="2" t="inlineStr">
        <is>
          <t>MDD-40 A3</t>
        </is>
      </c>
      <c r="H170" s="6" t="inlineStr"/>
    </row>
    <row r="171">
      <c r="A171" s="2" t="inlineStr">
        <is>
          <t>A2.6</t>
        </is>
      </c>
      <c r="B171" s="2" t="inlineStr">
        <is>
          <t>Ma trận truy vết</t>
        </is>
      </c>
      <c r="C171" s="2" t="n">
        <v>2</v>
      </c>
      <c r="D171" s="2" t="inlineStr">
        <is>
          <t>TL-trace</t>
        </is>
      </c>
      <c r="E171" s="2" t="inlineStr">
        <is>
          <t>Năng lực chuyên môn</t>
        </is>
      </c>
      <c r="F171" s="2" t="inlineStr">
        <is>
          <t>Ma trận truy vết yêu cầu↔thiết kế↔mã↔test</t>
        </is>
      </c>
      <c r="G171" s="2" t="inlineStr">
        <is>
          <t>MDD-40 B3/UC</t>
        </is>
      </c>
      <c r="H171" s="6" t="inlineStr"/>
    </row>
    <row r="172">
      <c r="A172" s="2" t="inlineStr">
        <is>
          <t>A2.6</t>
        </is>
      </c>
      <c r="B172" s="2" t="inlineStr">
        <is>
          <t>Ma trận truy vết</t>
        </is>
      </c>
      <c r="C172" s="2" t="n">
        <v>2</v>
      </c>
      <c r="D172" s="2" t="inlineStr">
        <is>
          <t>UC16</t>
        </is>
      </c>
      <c r="E172" s="2" t="inlineStr">
        <is>
          <t>Usecase</t>
        </is>
      </c>
      <c r="F172" s="2" t="inlineStr">
        <is>
          <t>Tài liệu &amp; truy vết</t>
        </is>
      </c>
      <c r="G172" s="2" t="inlineStr">
        <is>
          <t>Excel 76 TC</t>
        </is>
      </c>
      <c r="H172" s="6" t="inlineStr"/>
    </row>
    <row r="173">
      <c r="A173" s="2" t="inlineStr">
        <is>
          <t>A2.6.1</t>
        </is>
      </c>
      <c r="B173" s="2" t="inlineStr">
        <is>
          <t>REQ ↔ module ↔ mã ↔ test, cột 'đứt ở đâu'</t>
        </is>
      </c>
      <c r="C173" s="2" t="n">
        <v>3</v>
      </c>
      <c r="D173" s="2" t="inlineStr">
        <is>
          <t>TL-trace</t>
        </is>
      </c>
      <c r="E173" s="2" t="inlineStr">
        <is>
          <t>Năng lực chuyên môn</t>
        </is>
      </c>
      <c r="F173" s="2" t="inlineStr">
        <is>
          <t>Ma trận truy vết yêu cầu↔thiết kế↔mã↔test</t>
        </is>
      </c>
      <c r="G173" s="2" t="inlineStr">
        <is>
          <t>MDD-40 B3/UC</t>
        </is>
      </c>
      <c r="H173" s="6" t="inlineStr"/>
    </row>
    <row r="174">
      <c r="A174" s="2" t="inlineStr">
        <is>
          <t>A2.6.1</t>
        </is>
      </c>
      <c r="B174" s="2" t="inlineStr">
        <is>
          <t>REQ ↔ module ↔ mã ↔ test, cột 'đứt ở đâu'</t>
        </is>
      </c>
      <c r="C174" s="2" t="n">
        <v>3</v>
      </c>
      <c r="D174" s="2" t="inlineStr">
        <is>
          <t>UC16</t>
        </is>
      </c>
      <c r="E174" s="2" t="inlineStr">
        <is>
          <t>Usecase</t>
        </is>
      </c>
      <c r="F174" s="2" t="inlineStr">
        <is>
          <t>Tài liệu &amp; truy vết</t>
        </is>
      </c>
      <c r="G174" s="2" t="inlineStr">
        <is>
          <t>Excel 76 TC</t>
        </is>
      </c>
      <c r="H174" s="6" t="inlineStr"/>
    </row>
    <row r="175">
      <c r="A175" s="2" t="inlineStr">
        <is>
          <t>A2.6.1</t>
        </is>
      </c>
      <c r="B175" s="2" t="inlineStr">
        <is>
          <t>REQ ↔ module ↔ mã ↔ test, cột 'đứt ở đâu'</t>
        </is>
      </c>
      <c r="C175" s="2" t="n">
        <v>3</v>
      </c>
      <c r="D175" s="2" t="inlineStr">
        <is>
          <t>PR5</t>
        </is>
      </c>
      <c r="E175" s="2" t="inlineStr">
        <is>
          <t>Quy tắc trình bày</t>
        </is>
      </c>
      <c r="F175" s="2" t="inlineStr">
        <is>
          <t>Không giấu thất bại — khối riêng</t>
        </is>
      </c>
      <c r="G175" s="2" t="inlineStr">
        <is>
          <t>MDD-40 E3.2</t>
        </is>
      </c>
      <c r="H175" s="6" t="inlineStr"/>
    </row>
    <row r="176">
      <c r="A176" s="2" t="inlineStr">
        <is>
          <t>A3.1</t>
        </is>
      </c>
      <c r="B176" s="2" t="inlineStr">
        <is>
          <t>Nạp tài liệu</t>
        </is>
      </c>
      <c r="C176" s="2" t="n">
        <v>2</v>
      </c>
      <c r="D176" s="2" t="inlineStr">
        <is>
          <t>DS1</t>
        </is>
      </c>
      <c r="E176" s="2" t="inlineStr">
        <is>
          <t>Luồng datasheet</t>
        </is>
      </c>
      <c r="F176" s="2" t="inlineStr">
        <is>
          <t>Kích hoạt: nạp tệp hoặc thẻ đề nghị 3 lựa chọn</t>
        </is>
      </c>
      <c r="G176" s="2" t="inlineStr">
        <is>
          <t>MDD-40 C3</t>
        </is>
      </c>
      <c r="H176" s="6" t="inlineStr"/>
    </row>
    <row r="177">
      <c r="A177" s="2" t="inlineStr">
        <is>
          <t>A3.1</t>
        </is>
      </c>
      <c r="B177" s="2" t="inlineStr">
        <is>
          <t>Nạp tài liệu</t>
        </is>
      </c>
      <c r="C177" s="2" t="n">
        <v>2</v>
      </c>
      <c r="D177" s="2" t="inlineStr">
        <is>
          <t>HA-upload</t>
        </is>
      </c>
      <c r="E177" s="2" t="inlineStr">
        <is>
          <t>HumanAct</t>
        </is>
      </c>
      <c r="F177" s="2" t="inlineStr">
        <is>
          <t>Kéo thả/chọn tệp</t>
        </is>
      </c>
      <c r="G177" s="2" t="inlineStr">
        <is>
          <t>MDD-40 D2</t>
        </is>
      </c>
      <c r="H177" s="6" t="inlineStr"/>
    </row>
    <row r="178">
      <c r="A178" s="2" t="inlineStr">
        <is>
          <t>A3.1.1</t>
        </is>
      </c>
      <c r="B178" s="2" t="inlineStr">
        <is>
          <t>Kéo thả / chọn tệp (PDF, zip, ảnh, netlist, mã)</t>
        </is>
      </c>
      <c r="C178" s="2" t="n">
        <v>3</v>
      </c>
      <c r="D178" s="2" t="inlineStr">
        <is>
          <t>HA-upload</t>
        </is>
      </c>
      <c r="E178" s="2" t="inlineStr">
        <is>
          <t>HumanAct</t>
        </is>
      </c>
      <c r="F178" s="2" t="inlineStr">
        <is>
          <t>Kéo thả/chọn tệp</t>
        </is>
      </c>
      <c r="G178" s="2" t="inlineStr">
        <is>
          <t>MDD-40 D2</t>
        </is>
      </c>
      <c r="H178" s="6" t="inlineStr"/>
    </row>
    <row r="179">
      <c r="A179" s="2" t="inlineStr">
        <is>
          <t>A3.1.1</t>
        </is>
      </c>
      <c r="B179" s="2" t="inlineStr">
        <is>
          <t>Kéo thả / chọn tệp (PDF, zip, ảnh, netlist, mã)</t>
        </is>
      </c>
      <c r="C179" s="2" t="n">
        <v>3</v>
      </c>
      <c r="D179" s="2" t="inlineStr">
        <is>
          <t>DS1</t>
        </is>
      </c>
      <c r="E179" s="2" t="inlineStr">
        <is>
          <t>Luồng datasheet</t>
        </is>
      </c>
      <c r="F179" s="2" t="inlineStr">
        <is>
          <t>Kích hoạt: nạp tệp hoặc thẻ đề nghị 3 lựa chọn</t>
        </is>
      </c>
      <c r="G179" s="2" t="inlineStr">
        <is>
          <t>MDD-40 C3</t>
        </is>
      </c>
      <c r="H179" s="6" t="inlineStr"/>
    </row>
    <row r="180">
      <c r="A180" s="2" t="inlineStr">
        <is>
          <t>A3.1.1</t>
        </is>
      </c>
      <c r="B180" s="2" t="inlineStr">
        <is>
          <t>Kéo thả / chọn tệp (PDF, zip, ảnh, netlist, mã)</t>
        </is>
      </c>
      <c r="C180" s="2" t="n">
        <v>3</v>
      </c>
      <c r="D180" s="2" t="inlineStr">
        <is>
          <t>UC04</t>
        </is>
      </c>
      <c r="E180" s="2" t="inlineStr">
        <is>
          <t>Usecase</t>
        </is>
      </c>
      <c r="F180" s="2" t="inlineStr">
        <is>
          <t>Nhập thiết kế có sẵn → mô phỏng → sửa code</t>
        </is>
      </c>
      <c r="G180" s="2" t="inlineStr">
        <is>
          <t>Excel 76 TC</t>
        </is>
      </c>
      <c r="H180" s="6" t="inlineStr"/>
    </row>
    <row r="181">
      <c r="A181" s="2" t="inlineStr">
        <is>
          <t>A3.1.2</t>
        </is>
      </c>
      <c r="B181" s="2" t="inlineStr">
        <is>
          <t>Dán URL nguồn riêng</t>
        </is>
      </c>
      <c r="C181" s="2" t="n">
        <v>3</v>
      </c>
      <c r="D181" s="2" t="inlineStr">
        <is>
          <t>DS3</t>
        </is>
      </c>
      <c r="E181" s="2" t="inlineStr">
        <is>
          <t>Luồng datasheet</t>
        </is>
      </c>
      <c r="F181" s="2" t="inlineStr">
        <is>
          <t>Duyệt nguồn (G-DATA)</t>
        </is>
      </c>
      <c r="G181" s="2" t="inlineStr">
        <is>
          <t>MDD-40 C3</t>
        </is>
      </c>
      <c r="H181" s="6" t="inlineStr"/>
    </row>
    <row r="182">
      <c r="A182" s="2" t="inlineStr">
        <is>
          <t>A3.1.2</t>
        </is>
      </c>
      <c r="B182" s="2" t="inlineStr">
        <is>
          <t>Dán URL nguồn riêng</t>
        </is>
      </c>
      <c r="C182" s="2" t="n">
        <v>3</v>
      </c>
      <c r="D182" s="2" t="inlineStr">
        <is>
          <t>HA-upload</t>
        </is>
      </c>
      <c r="E182" s="2" t="inlineStr">
        <is>
          <t>HumanAct</t>
        </is>
      </c>
      <c r="F182" s="2" t="inlineStr">
        <is>
          <t>Kéo thả/chọn tệp</t>
        </is>
      </c>
      <c r="G182" s="2" t="inlineStr">
        <is>
          <t>MDD-40 D2</t>
        </is>
      </c>
      <c r="H182" s="6" t="inlineStr"/>
    </row>
    <row r="183">
      <c r="A183" s="2" t="inlineStr">
        <is>
          <t>A3.1.3</t>
        </is>
      </c>
      <c r="B183" s="2" t="inlineStr">
        <is>
          <t>Phân loại tệp theo nội dung + lý do lỗi đúng (Altium không hỗ trợ, tệp hỏng)</t>
        </is>
      </c>
      <c r="C183" s="2" t="n">
        <v>3</v>
      </c>
      <c r="D183" s="2" t="inlineStr">
        <is>
          <t>UC04</t>
        </is>
      </c>
      <c r="E183" s="2" t="inlineStr">
        <is>
          <t>Usecase</t>
        </is>
      </c>
      <c r="F183" s="2" t="inlineStr">
        <is>
          <t>Nhập thiết kế có sẵn → mô phỏng → sửa code</t>
        </is>
      </c>
      <c r="G183" s="2" t="inlineStr">
        <is>
          <t>Excel 76 TC</t>
        </is>
      </c>
      <c r="H183" s="6" t="inlineStr"/>
    </row>
    <row r="184">
      <c r="A184" s="2" t="inlineStr">
        <is>
          <t>A3.1.3</t>
        </is>
      </c>
      <c r="B184" s="2" t="inlineStr">
        <is>
          <t>Phân loại tệp theo nội dung + lý do lỗi đúng (Altium không hỗ trợ, tệp hỏng)</t>
        </is>
      </c>
      <c r="C184" s="2" t="n">
        <v>3</v>
      </c>
      <c r="D184" s="2" t="inlineStr">
        <is>
          <t>PR5</t>
        </is>
      </c>
      <c r="E184" s="2" t="inlineStr">
        <is>
          <t>Quy tắc trình bày</t>
        </is>
      </c>
      <c r="F184" s="2" t="inlineStr">
        <is>
          <t>Không giấu thất bại — khối riêng</t>
        </is>
      </c>
      <c r="G184" s="2" t="inlineStr">
        <is>
          <t>MDD-40 E3.2</t>
        </is>
      </c>
      <c r="H184" s="6" t="inlineStr"/>
    </row>
    <row r="185">
      <c r="A185" s="2" t="inlineStr">
        <is>
          <t>A3.2</t>
        </is>
      </c>
      <c r="B185" s="2" t="inlineStr">
        <is>
          <t>Ứng viên tìm được</t>
        </is>
      </c>
      <c r="C185" s="2" t="n">
        <v>2</v>
      </c>
      <c r="D185" s="2" t="inlineStr">
        <is>
          <t>DS2</t>
        </is>
      </c>
      <c r="E185" s="2" t="inlineStr">
        <is>
          <t>Luồng datasheet</t>
        </is>
      </c>
      <c r="F185" s="2" t="inlineStr">
        <is>
          <t>Tìm: ứng viên có nguồn/phiên bản/hash</t>
        </is>
      </c>
      <c r="G185" s="2" t="inlineStr">
        <is>
          <t>MDD-40 C3</t>
        </is>
      </c>
      <c r="H185" s="6" t="inlineStr"/>
    </row>
    <row r="186">
      <c r="A186" s="2" t="inlineStr">
        <is>
          <t>A3.2</t>
        </is>
      </c>
      <c r="B186" s="2" t="inlineStr">
        <is>
          <t>Ứng viên tìm được</t>
        </is>
      </c>
      <c r="C186" s="2" t="n">
        <v>2</v>
      </c>
      <c r="D186" s="2" t="inlineStr">
        <is>
          <t>UC02</t>
        </is>
      </c>
      <c r="E186" s="2" t="inlineStr">
        <is>
          <t>Usecase</t>
        </is>
      </c>
      <c r="F186" s="2" t="inlineStr">
        <is>
          <t>Từ phương án đến thiết kế mạch</t>
        </is>
      </c>
      <c r="G186" s="2" t="inlineStr">
        <is>
          <t>Excel 76 TC</t>
        </is>
      </c>
      <c r="H186" s="6" t="inlineStr"/>
    </row>
    <row r="187">
      <c r="A187" s="2" t="inlineStr">
        <is>
          <t>A3.2.1</t>
        </is>
      </c>
      <c r="B187" s="2" t="inlineStr">
        <is>
          <t>Bảng: tiêu đề, URL, nhà phát hành (nhãn nhà sản xuất/bên thứ ba), phiên bản, kích thước, hash</t>
        </is>
      </c>
      <c r="C187" s="2" t="n">
        <v>3</v>
      </c>
      <c r="D187" s="2" t="inlineStr">
        <is>
          <t>DS2</t>
        </is>
      </c>
      <c r="E187" s="2" t="inlineStr">
        <is>
          <t>Luồng datasheet</t>
        </is>
      </c>
      <c r="F187" s="2" t="inlineStr">
        <is>
          <t>Tìm: ứng viên có nguồn/phiên bản/hash</t>
        </is>
      </c>
      <c r="G187" s="2" t="inlineStr">
        <is>
          <t>MDD-40 C3</t>
        </is>
      </c>
      <c r="H187" s="6" t="inlineStr"/>
    </row>
    <row r="188">
      <c r="A188" s="2" t="inlineStr">
        <is>
          <t>A3.2.1</t>
        </is>
      </c>
      <c r="B188" s="2" t="inlineStr">
        <is>
          <t>Bảng: tiêu đề, URL, nhà phát hành (nhãn nhà sản xuất/bên thứ ba), phiên bản, kích thước, hash</t>
        </is>
      </c>
      <c r="C188" s="2" t="n">
        <v>3</v>
      </c>
      <c r="D188" s="2" t="inlineStr">
        <is>
          <t>MM-trusted</t>
        </is>
      </c>
      <c r="E188" s="2" t="inlineStr">
        <is>
          <t>Bộ nhớ người dùng</t>
        </is>
      </c>
      <c r="F188" s="2" t="inlineStr">
        <is>
          <t>Danh sách nguồn tin cậy</t>
        </is>
      </c>
      <c r="G188" s="2" t="inlineStr">
        <is>
          <t>MDD-40 B6/E3.4</t>
        </is>
      </c>
      <c r="H188" s="6" t="inlineStr"/>
    </row>
    <row r="189">
      <c r="A189" s="2" t="inlineStr">
        <is>
          <t>A3.2.2</t>
        </is>
      </c>
      <c r="B189" s="2" t="inlineStr">
        <is>
          <t>Duyệt / Từ chối từng nguồn (→ thẻ G-DATA)</t>
        </is>
      </c>
      <c r="C189" s="2" t="n">
        <v>3</v>
      </c>
      <c r="D189" s="2" t="inlineStr">
        <is>
          <t>G-DATA</t>
        </is>
      </c>
      <c r="E189" s="2" t="inlineStr">
        <is>
          <t>Cổng</t>
        </is>
      </c>
      <c r="F189" s="2" t="inlineStr">
        <is>
          <t>Duyệt nguồn tài liệu</t>
        </is>
      </c>
      <c r="G189" s="2" t="inlineStr">
        <is>
          <t>MDD-40 B4/E7</t>
        </is>
      </c>
      <c r="H189" s="6" t="inlineStr"/>
    </row>
    <row r="190">
      <c r="A190" s="2" t="inlineStr">
        <is>
          <t>A3.2.2</t>
        </is>
      </c>
      <c r="B190" s="2" t="inlineStr">
        <is>
          <t>Duyệt / Từ chối từng nguồn (→ thẻ G-DATA)</t>
        </is>
      </c>
      <c r="C190" s="2" t="n">
        <v>3</v>
      </c>
      <c r="D190" s="2" t="inlineStr">
        <is>
          <t>HA-confirm</t>
        </is>
      </c>
      <c r="E190" s="2" t="inlineStr">
        <is>
          <t>HumanAct</t>
        </is>
      </c>
      <c r="F190" s="2" t="inlineStr">
        <is>
          <t>Xác nhận/từ chối/sửa Fact hoặc nguồn</t>
        </is>
      </c>
      <c r="G190" s="2" t="inlineStr">
        <is>
          <t>MDD-40 D2</t>
        </is>
      </c>
      <c r="H190" s="6" t="inlineStr"/>
    </row>
    <row r="191">
      <c r="A191" s="2" t="inlineStr">
        <is>
          <t>A3.2.2</t>
        </is>
      </c>
      <c r="B191" s="2" t="inlineStr">
        <is>
          <t>Duyệt / Từ chối từng nguồn (→ thẻ G-DATA)</t>
        </is>
      </c>
      <c r="C191" s="2" t="n">
        <v>3</v>
      </c>
      <c r="D191" s="2" t="inlineStr">
        <is>
          <t>DS3</t>
        </is>
      </c>
      <c r="E191" s="2" t="inlineStr">
        <is>
          <t>Luồng datasheet</t>
        </is>
      </c>
      <c r="F191" s="2" t="inlineStr">
        <is>
          <t>Duyệt nguồn (G-DATA)</t>
        </is>
      </c>
      <c r="G191" s="2" t="inlineStr">
        <is>
          <t>MDD-40 C3</t>
        </is>
      </c>
      <c r="H191" s="6" t="inlineStr"/>
    </row>
    <row r="192">
      <c r="A192" s="2" t="inlineStr">
        <is>
          <t>A3.2.3</t>
        </is>
      </c>
      <c r="B192" s="2" t="inlineStr">
        <is>
          <t>Không tìm thấy — khối riêng, đề xuất thay thế/xin tệp</t>
        </is>
      </c>
      <c r="C192" s="2" t="n">
        <v>3</v>
      </c>
      <c r="D192" s="2" t="inlineStr">
        <is>
          <t>DS7</t>
        </is>
      </c>
      <c r="E192" s="2" t="inlineStr">
        <is>
          <t>Luồng datasheet</t>
        </is>
      </c>
      <c r="F192" s="2" t="inlineStr">
        <is>
          <t>Phòng thủ: cảnh báo P-INJ; không tìm thấy nói thẳng</t>
        </is>
      </c>
      <c r="G192" s="2" t="inlineStr">
        <is>
          <t>MDD-40 C3</t>
        </is>
      </c>
      <c r="H192" s="6" t="inlineStr"/>
    </row>
    <row r="193">
      <c r="A193" s="2" t="inlineStr">
        <is>
          <t>A3.2.3</t>
        </is>
      </c>
      <c r="B193" s="2" t="inlineStr">
        <is>
          <t>Không tìm thấy — khối riêng, đề xuất thay thế/xin tệp</t>
        </is>
      </c>
      <c r="C193" s="2" t="n">
        <v>3</v>
      </c>
      <c r="D193" s="2" t="inlineStr">
        <is>
          <t>PR5</t>
        </is>
      </c>
      <c r="E193" s="2" t="inlineStr">
        <is>
          <t>Quy tắc trình bày</t>
        </is>
      </c>
      <c r="F193" s="2" t="inlineStr">
        <is>
          <t>Không giấu thất bại — khối riêng</t>
        </is>
      </c>
      <c r="G193" s="2" t="inlineStr">
        <is>
          <t>MDD-40 E3.2</t>
        </is>
      </c>
      <c r="H193" s="6" t="inlineStr"/>
    </row>
    <row r="194">
      <c r="A194" s="2" t="inlineStr">
        <is>
          <t>A3.2.3</t>
        </is>
      </c>
      <c r="B194" s="2" t="inlineStr">
        <is>
          <t>Không tìm thấy — khối riêng, đề xuất thay thế/xin tệp</t>
        </is>
      </c>
      <c r="C194" s="2" t="n">
        <v>3</v>
      </c>
      <c r="D194" s="2" t="inlineStr">
        <is>
          <t>UC02</t>
        </is>
      </c>
      <c r="E194" s="2" t="inlineStr">
        <is>
          <t>Usecase</t>
        </is>
      </c>
      <c r="F194" s="2" t="inlineStr">
        <is>
          <t>Từ phương án đến thiết kế mạch</t>
        </is>
      </c>
      <c r="G194" s="2" t="inlineStr">
        <is>
          <t>Excel 76 TC</t>
        </is>
      </c>
      <c r="H194" s="6" t="inlineStr"/>
    </row>
    <row r="195">
      <c r="A195" s="2" t="inlineStr">
        <is>
          <t>A3.3</t>
        </is>
      </c>
      <c r="B195" s="2" t="inlineStr">
        <is>
          <t>Trích xuất</t>
        </is>
      </c>
      <c r="C195" s="2" t="n">
        <v>2</v>
      </c>
      <c r="D195" s="2" t="inlineStr">
        <is>
          <t>DS4</t>
        </is>
      </c>
      <c r="E195" s="2" t="inlineStr">
        <is>
          <t>Luồng datasheet</t>
        </is>
      </c>
      <c r="F195" s="2" t="inlineStr">
        <is>
          <t>Trích xuất: tiến trình, Fact ứng viên</t>
        </is>
      </c>
      <c r="G195" s="2" t="inlineStr">
        <is>
          <t>MDD-40 C3</t>
        </is>
      </c>
      <c r="H195" s="6" t="inlineStr"/>
    </row>
    <row r="196">
      <c r="A196" s="2" t="inlineStr">
        <is>
          <t>A3.3.1</t>
        </is>
      </c>
      <c r="B196" s="2" t="inlineStr">
        <is>
          <t>Tiến trình: trang, bảng, OCR (điểm tin cậy), Fact ứng viên</t>
        </is>
      </c>
      <c r="C196" s="2" t="n">
        <v>3</v>
      </c>
      <c r="D196" s="2" t="inlineStr">
        <is>
          <t>DS4</t>
        </is>
      </c>
      <c r="E196" s="2" t="inlineStr">
        <is>
          <t>Luồng datasheet</t>
        </is>
      </c>
      <c r="F196" s="2" t="inlineStr">
        <is>
          <t>Trích xuất: tiến trình, Fact ứng viên</t>
        </is>
      </c>
      <c r="G196" s="2" t="inlineStr">
        <is>
          <t>MDD-40 C3</t>
        </is>
      </c>
      <c r="H196" s="6" t="inlineStr"/>
    </row>
    <row r="197">
      <c r="A197" s="2" t="inlineStr">
        <is>
          <t>A3.3.1</t>
        </is>
      </c>
      <c r="B197" s="2" t="inlineStr">
        <is>
          <t>Tiến trình: trang, bảng, OCR (điểm tin cậy), Fact ứng viên</t>
        </is>
      </c>
      <c r="C197" s="2" t="n">
        <v>3</v>
      </c>
      <c r="D197" s="2" t="inlineStr">
        <is>
          <t>UI-surface.append</t>
        </is>
      </c>
      <c r="E197" s="2" t="inlineStr">
        <is>
          <t>UICommand</t>
        </is>
      </c>
      <c r="F197" s="2" t="inlineStr">
        <is>
          <t>Nối log/timeline</t>
        </is>
      </c>
      <c r="G197" s="2" t="inlineStr">
        <is>
          <t>MDD-40 D2</t>
        </is>
      </c>
      <c r="H197" s="6" t="inlineStr"/>
    </row>
    <row r="198">
      <c r="A198" s="2" t="inlineStr">
        <is>
          <t>A3.3.2</t>
        </is>
      </c>
      <c r="B198" s="2" t="inlineStr">
        <is>
          <t>Cảnh báo đỏ P-INJ (nội dung chứa chỉ dẫn lạ)</t>
        </is>
      </c>
      <c r="C198" s="2" t="n">
        <v>3</v>
      </c>
      <c r="D198" s="2" t="inlineStr">
        <is>
          <t>DS7</t>
        </is>
      </c>
      <c r="E198" s="2" t="inlineStr">
        <is>
          <t>Luồng datasheet</t>
        </is>
      </c>
      <c r="F198" s="2" t="inlineStr">
        <is>
          <t>Phòng thủ: cảnh báo P-INJ; không tìm thấy nói thẳng</t>
        </is>
      </c>
      <c r="G198" s="2" t="inlineStr">
        <is>
          <t>MDD-40 C3</t>
        </is>
      </c>
      <c r="H198" s="6" t="inlineStr"/>
    </row>
    <row r="199">
      <c r="A199" s="2" t="inlineStr">
        <is>
          <t>A3.3.2</t>
        </is>
      </c>
      <c r="B199" s="2" t="inlineStr">
        <is>
          <t>Cảnh báo đỏ P-INJ (nội dung chứa chỉ dẫn lạ)</t>
        </is>
      </c>
      <c r="C199" s="2" t="n">
        <v>3</v>
      </c>
      <c r="D199" s="2" t="inlineStr">
        <is>
          <t>UC19</t>
        </is>
      </c>
      <c r="E199" s="2" t="inlineStr">
        <is>
          <t>Usecase</t>
        </is>
      </c>
      <c r="F199" s="2" t="inlineStr">
        <is>
          <t>Sự cố của chính tác tử</t>
        </is>
      </c>
      <c r="G199" s="2" t="inlineStr">
        <is>
          <t>Excel 76 TC</t>
        </is>
      </c>
      <c r="H199" s="6" t="inlineStr"/>
    </row>
    <row r="200">
      <c r="A200" s="2" t="inlineStr">
        <is>
          <t>A3.4</t>
        </is>
      </c>
      <c r="B200" s="2" t="inlineStr">
        <is>
          <t>Phiên bản tài liệu</t>
        </is>
      </c>
      <c r="C200" s="2" t="n">
        <v>2</v>
      </c>
      <c r="D200" s="2" t="inlineStr">
        <is>
          <t>UC02</t>
        </is>
      </c>
      <c r="E200" s="2" t="inlineStr">
        <is>
          <t>Usecase</t>
        </is>
      </c>
      <c r="F200" s="2" t="inlineStr">
        <is>
          <t>Từ phương án đến thiết kế mạch</t>
        </is>
      </c>
      <c r="G200" s="2" t="inlineStr">
        <is>
          <t>Excel 76 TC</t>
        </is>
      </c>
      <c r="H200" s="6" t="inlineStr"/>
    </row>
    <row r="201">
      <c r="A201" s="2" t="inlineStr">
        <is>
          <t>A3.4.1</t>
        </is>
      </c>
      <c r="B201" s="2" t="inlineStr">
        <is>
          <t>Bảng khác biệt giữa hai phiên bản theo key; chọn bản dùng</t>
        </is>
      </c>
      <c r="C201" s="2" t="n">
        <v>3</v>
      </c>
      <c r="D201" s="2" t="inlineStr">
        <is>
          <t>UC02</t>
        </is>
      </c>
      <c r="E201" s="2" t="inlineStr">
        <is>
          <t>Usecase</t>
        </is>
      </c>
      <c r="F201" s="2" t="inlineStr">
        <is>
          <t>Từ phương án đến thiết kế mạch</t>
        </is>
      </c>
      <c r="G201" s="2" t="inlineStr">
        <is>
          <t>Excel 76 TC</t>
        </is>
      </c>
      <c r="H201" s="6" t="inlineStr"/>
    </row>
    <row r="202">
      <c r="A202" s="2" t="inlineStr">
        <is>
          <t>A3.4.1</t>
        </is>
      </c>
      <c r="B202" s="2" t="inlineStr">
        <is>
          <t>Bảng khác biệt giữa hai phiên bản theo key; chọn bản dùng</t>
        </is>
      </c>
      <c r="C202" s="2" t="n">
        <v>3</v>
      </c>
      <c r="D202" s="2" t="inlineStr">
        <is>
          <t>HA-confirm</t>
        </is>
      </c>
      <c r="E202" s="2" t="inlineStr">
        <is>
          <t>HumanAct</t>
        </is>
      </c>
      <c r="F202" s="2" t="inlineStr">
        <is>
          <t>Xác nhận/từ chối/sửa Fact hoặc nguồn</t>
        </is>
      </c>
      <c r="G202" s="2" t="inlineStr">
        <is>
          <t>MDD-40 D2</t>
        </is>
      </c>
      <c r="H202" s="6" t="inlineStr"/>
    </row>
    <row r="203">
      <c r="A203" s="2" t="inlineStr">
        <is>
          <t>A3.4.1</t>
        </is>
      </c>
      <c r="B203" s="2" t="inlineStr">
        <is>
          <t>Bảng khác biệt giữa hai phiên bản theo key; chọn bản dùng</t>
        </is>
      </c>
      <c r="C203" s="2" t="n">
        <v>3</v>
      </c>
      <c r="D203" s="2" t="inlineStr">
        <is>
          <t>N1</t>
        </is>
      </c>
      <c r="E203" s="2" t="inlineStr">
        <is>
          <t>Nguyên tắc</t>
        </is>
      </c>
      <c r="F203" s="2" t="inlineStr">
        <is>
          <t>Datasheet là nguồn sự thật — mọi con số truy vết tới tài liệu/trang</t>
        </is>
      </c>
      <c r="G203" s="2" t="inlineStr">
        <is>
          <t>MDD-40 A3</t>
        </is>
      </c>
      <c r="H203" s="6" t="inlineStr"/>
    </row>
    <row r="204">
      <c r="A204" s="2" t="inlineStr">
        <is>
          <t>A3.4.2</t>
        </is>
      </c>
      <c r="B204" s="2" t="inlineStr">
        <is>
          <t>Errata áp dụng (supersedes)</t>
        </is>
      </c>
      <c r="C204" s="2" t="n">
        <v>3</v>
      </c>
      <c r="D204" s="2" t="inlineStr">
        <is>
          <t>N1</t>
        </is>
      </c>
      <c r="E204" s="2" t="inlineStr">
        <is>
          <t>Nguyên tắc</t>
        </is>
      </c>
      <c r="F204" s="2" t="inlineStr">
        <is>
          <t>Datasheet là nguồn sự thật — mọi con số truy vết tới tài liệu/trang</t>
        </is>
      </c>
      <c r="G204" s="2" t="inlineStr">
        <is>
          <t>MDD-40 A3</t>
        </is>
      </c>
      <c r="H204" s="6" t="inlineStr"/>
    </row>
    <row r="205">
      <c r="A205" s="2" t="inlineStr">
        <is>
          <t>A3.4.2</t>
        </is>
      </c>
      <c r="B205" s="2" t="inlineStr">
        <is>
          <t>Errata áp dụng (supersedes)</t>
        </is>
      </c>
      <c r="C205" s="2" t="n">
        <v>3</v>
      </c>
      <c r="D205" s="2" t="inlineStr">
        <is>
          <t>AR04</t>
        </is>
      </c>
      <c r="E205" s="2" t="inlineStr">
        <is>
          <t>Hiện vật (E2)</t>
        </is>
      </c>
      <c r="F205" s="2" t="inlineStr">
        <is>
          <t>Fact</t>
        </is>
      </c>
      <c r="G205" s="2" t="inlineStr">
        <is>
          <t>MDD-40 E2</t>
        </is>
      </c>
      <c r="H205" s="6" t="inlineStr"/>
    </row>
    <row r="206">
      <c r="A206" s="2" t="inlineStr">
        <is>
          <t>A3.6</t>
        </is>
      </c>
      <c r="B206" s="2" t="inlineStr">
        <is>
          <t>Nạp &amp; trích xuất theo định dạng (ING-43)</t>
        </is>
      </c>
      <c r="C206" s="2" t="n">
        <v>2</v>
      </c>
      <c r="D206" s="2" t="inlineStr">
        <is>
          <t>ING-01</t>
        </is>
      </c>
      <c r="E206" s="2" t="inlineStr">
        <is>
          <t>Nạp &amp; trích xuất (ING-43)</t>
        </is>
      </c>
      <c r="F206" s="2" t="inlineStr">
        <is>
          <t>Phân loại theo nội dung; thứ tự Office → archive → text; lý do + độ tin cậy</t>
        </is>
      </c>
      <c r="G206" s="2" t="inlineStr">
        <is>
          <t>EIDE-ING-43</t>
        </is>
      </c>
      <c r="H206" s="6" t="inlineStr"/>
    </row>
    <row r="207">
      <c r="A207" s="2" t="inlineStr">
        <is>
          <t>A3.6</t>
        </is>
      </c>
      <c r="B207" s="2" t="inlineStr">
        <is>
          <t>Nạp &amp; trích xuất theo định dạng (ING-43)</t>
        </is>
      </c>
      <c r="C207" s="2" t="n">
        <v>2</v>
      </c>
      <c r="D207" s="2" t="inlineStr">
        <is>
          <t>ING-02</t>
        </is>
      </c>
      <c r="E207" s="2" t="inlineStr">
        <is>
          <t>Nạp &amp; trích xuất (ING-43)</t>
        </is>
      </c>
      <c r="F207" s="2" t="inlineStr">
        <is>
          <t>Ba mức hỗ trợ ĐẦY ĐỦ/MỘT PHẦN/KHÔNG hiển thị, kèm gợi ý thay thế</t>
        </is>
      </c>
      <c r="G207" s="2" t="inlineStr">
        <is>
          <t>EIDE-ING-43</t>
        </is>
      </c>
      <c r="H207" s="6" t="inlineStr"/>
    </row>
    <row r="208">
      <c r="A208" s="2" t="inlineStr">
        <is>
          <t>A3.6.1</t>
        </is>
      </c>
      <c r="B208" s="2" t="inlineStr">
        <is>
          <t>Cây tệp sau phân loại: loại, độ tin cậy, lý do, mức hỗ trợ + gợi ý thay thế</t>
        </is>
      </c>
      <c r="C208" s="2" t="n">
        <v>3</v>
      </c>
      <c r="D208" s="2" t="inlineStr">
        <is>
          <t>ING-01</t>
        </is>
      </c>
      <c r="E208" s="2" t="inlineStr">
        <is>
          <t>Nạp &amp; trích xuất (ING-43)</t>
        </is>
      </c>
      <c r="F208" s="2" t="inlineStr">
        <is>
          <t>Phân loại theo nội dung; thứ tự Office → archive → text; lý do + độ tin cậy</t>
        </is>
      </c>
      <c r="G208" s="2" t="inlineStr">
        <is>
          <t>EIDE-ING-43</t>
        </is>
      </c>
      <c r="H208" s="6" t="inlineStr"/>
    </row>
    <row r="209">
      <c r="A209" s="2" t="inlineStr">
        <is>
          <t>A3.6.1</t>
        </is>
      </c>
      <c r="B209" s="2" t="inlineStr">
        <is>
          <t>Cây tệp sau phân loại: loại, độ tin cậy, lý do, mức hỗ trợ + gợi ý thay thế</t>
        </is>
      </c>
      <c r="C209" s="2" t="n">
        <v>3</v>
      </c>
      <c r="D209" s="2" t="inlineStr">
        <is>
          <t>ING-02</t>
        </is>
      </c>
      <c r="E209" s="2" t="inlineStr">
        <is>
          <t>Nạp &amp; trích xuất (ING-43)</t>
        </is>
      </c>
      <c r="F209" s="2" t="inlineStr">
        <is>
          <t>Ba mức hỗ trợ ĐẦY ĐỦ/MỘT PHẦN/KHÔNG hiển thị, kèm gợi ý thay thế</t>
        </is>
      </c>
      <c r="G209" s="2" t="inlineStr">
        <is>
          <t>EIDE-ING-43</t>
        </is>
      </c>
      <c r="H209" s="6" t="inlineStr"/>
    </row>
    <row r="210">
      <c r="A210" s="2" t="inlineStr">
        <is>
          <t>A3.6.1</t>
        </is>
      </c>
      <c r="B210" s="2" t="inlineStr">
        <is>
          <t>Cây tệp sau phân loại: loại, độ tin cậy, lý do, mức hỗ trợ + gợi ý thay thế</t>
        </is>
      </c>
      <c r="C210" s="2" t="n">
        <v>3</v>
      </c>
      <c r="D210" s="2" t="inlineStr">
        <is>
          <t>ING-03</t>
        </is>
      </c>
      <c r="E210" s="2" t="inlineStr">
        <is>
          <t>Nạp &amp; trích xuất (ING-43)</t>
        </is>
      </c>
      <c r="F210" s="2" t="inlineStr">
        <is>
          <t>Không bao giờ đưa tệp không phải archive vào archive.list</t>
        </is>
      </c>
      <c r="G210" s="2" t="inlineStr">
        <is>
          <t>EIDE-ING-43</t>
        </is>
      </c>
      <c r="H210" s="6" t="inlineStr"/>
    </row>
    <row r="211">
      <c r="A211" s="2" t="inlineStr">
        <is>
          <t>A3.6.2</t>
        </is>
      </c>
      <c r="B211" s="2" t="inlineStr">
        <is>
          <t>Chọn tệp nào nạp khi archive &gt; 20 tệp; chống zip bomb</t>
        </is>
      </c>
      <c r="C211" s="2" t="n">
        <v>3</v>
      </c>
      <c r="D211" s="2" t="inlineStr">
        <is>
          <t>ING-04</t>
        </is>
      </c>
      <c r="E211" s="2" t="inlineStr">
        <is>
          <t>Nạp &amp; trích xuất (ING-43)</t>
        </is>
      </c>
      <c r="F211" s="2" t="inlineStr">
        <is>
          <t>Archive: bóc đệ quy có giới hạn; chọn tệp khi &gt; 20; chống zip bomb</t>
        </is>
      </c>
      <c r="G211" s="2" t="inlineStr">
        <is>
          <t>EIDE-ING-43</t>
        </is>
      </c>
      <c r="H211" s="6" t="inlineStr"/>
    </row>
    <row r="212">
      <c r="A212" s="2" t="inlineStr">
        <is>
          <t>A3.6.2</t>
        </is>
      </c>
      <c r="B212" s="2" t="inlineStr">
        <is>
          <t>Chọn tệp nào nạp khi archive &gt; 20 tệp; chống zip bomb</t>
        </is>
      </c>
      <c r="C212" s="2" t="n">
        <v>3</v>
      </c>
      <c r="D212" s="2" t="inlineStr">
        <is>
          <t>HA-choose</t>
        </is>
      </c>
      <c r="E212" s="2" t="inlineStr">
        <is>
          <t>HumanAct</t>
        </is>
      </c>
      <c r="F212" s="2" t="inlineStr">
        <is>
          <t>Chọn mục trong thẻ</t>
        </is>
      </c>
      <c r="G212" s="2" t="inlineStr">
        <is>
          <t>MDD-40 D2</t>
        </is>
      </c>
      <c r="H212" s="6" t="inlineStr"/>
    </row>
    <row r="213">
      <c r="A213" s="2" t="inlineStr">
        <is>
          <t>A3.6.3</t>
        </is>
      </c>
      <c r="B213" s="2" t="inlineStr">
        <is>
          <t>Xem Office theo cây tiêu đề / sheet / slide; trích dẫn heading/ô/slide</t>
        </is>
      </c>
      <c r="C213" s="2" t="n">
        <v>3</v>
      </c>
      <c r="D213" s="2" t="inlineStr">
        <is>
          <t>ING-05</t>
        </is>
      </c>
      <c r="E213" s="2" t="inlineStr">
        <is>
          <t>Nạp &amp; trích xuất (ING-43)</t>
        </is>
      </c>
      <c r="F213" s="2" t="inlineStr">
        <is>
          <t>Office .docx/.xlsx/.pptx đọc cấu trúc; ảnh nhúng OCR; định dạng cũ chuyển đổi</t>
        </is>
      </c>
      <c r="G213" s="2" t="inlineStr">
        <is>
          <t>EIDE-ING-43</t>
        </is>
      </c>
      <c r="H213" s="6" t="inlineStr"/>
    </row>
    <row r="214">
      <c r="A214" s="2" t="inlineStr">
        <is>
          <t>A3.6.3</t>
        </is>
      </c>
      <c r="B214" s="2" t="inlineStr">
        <is>
          <t>Xem Office theo cây tiêu đề / sheet / slide; trích dẫn heading/ô/slide</t>
        </is>
      </c>
      <c r="C214" s="2" t="n">
        <v>3</v>
      </c>
      <c r="D214" s="2" t="inlineStr">
        <is>
          <t>ING-06</t>
        </is>
      </c>
      <c r="E214" s="2" t="inlineStr">
        <is>
          <t>Nạp &amp; trích xuất (ING-43)</t>
        </is>
      </c>
      <c r="F214" s="2" t="inlineStr">
        <is>
          <t>Trích dẫn theo loại (page/bbox; heading/table/row; sheet!ô; slide); docx → PDF phái sinh</t>
        </is>
      </c>
      <c r="G214" s="2" t="inlineStr">
        <is>
          <t>EIDE-ING-43</t>
        </is>
      </c>
      <c r="H214" s="6" t="inlineStr"/>
    </row>
    <row r="215">
      <c r="A215" s="2" t="inlineStr">
        <is>
          <t>A3.6.4</t>
        </is>
      </c>
      <c r="B215" s="2" t="inlineStr">
        <is>
          <t>Bảng Fact ứng viên từ Office/Markdown/HTML với cột nguồn (Sheet!ô, Bảng#)</t>
        </is>
      </c>
      <c r="C215" s="2" t="n">
        <v>3</v>
      </c>
      <c r="D215" s="2" t="inlineStr">
        <is>
          <t>ING-07</t>
        </is>
      </c>
      <c r="E215" s="2" t="inlineStr">
        <is>
          <t>Nạp &amp; trích xuất (ING-43)</t>
        </is>
      </c>
      <c r="F215" s="2" t="inlineStr">
        <is>
          <t>Bảng (PDF/Office/MD/HTML) → Fact ứng viên; giá trị đọc bằng mã</t>
        </is>
      </c>
      <c r="G215" s="2" t="inlineStr">
        <is>
          <t>EIDE-ING-43</t>
        </is>
      </c>
      <c r="H215" s="6" t="inlineStr"/>
    </row>
    <row r="216">
      <c r="A216" s="2" t="inlineStr">
        <is>
          <t>A3.6.4</t>
        </is>
      </c>
      <c r="B216" s="2" t="inlineStr">
        <is>
          <t>Bảng Fact ứng viên từ Office/Markdown/HTML với cột nguồn (Sheet!ô, Bảng#)</t>
        </is>
      </c>
      <c r="C216" s="2" t="n">
        <v>3</v>
      </c>
      <c r="D216" s="2" t="inlineStr">
        <is>
          <t>ING-08</t>
        </is>
      </c>
      <c r="E216" s="2" t="inlineStr">
        <is>
          <t>Nạp &amp; trích xuất (ING-43)</t>
        </is>
      </c>
      <c r="F216" s="2" t="inlineStr">
        <is>
          <t>Ô gộp, bảng xoay, min/typ/max chung ô, Note → condition</t>
        </is>
      </c>
      <c r="G216" s="2" t="inlineStr">
        <is>
          <t>EIDE-ING-43</t>
        </is>
      </c>
      <c r="H216" s="6" t="inlineStr"/>
    </row>
    <row r="217">
      <c r="A217" s="2" t="inlineStr">
        <is>
          <t>A3.6.4</t>
        </is>
      </c>
      <c r="B217" s="2" t="inlineStr">
        <is>
          <t>Bảng Fact ứng viên từ Office/Markdown/HTML với cột nguồn (Sheet!ô, Bảng#)</t>
        </is>
      </c>
      <c r="C217" s="2" t="n">
        <v>3</v>
      </c>
      <c r="D217" s="2" t="inlineStr">
        <is>
          <t>DS5</t>
        </is>
      </c>
      <c r="E217" s="2" t="inlineStr">
        <is>
          <t>Luồng datasheet</t>
        </is>
      </c>
      <c r="F217" s="2" t="inlineStr">
        <is>
          <t>Rà soát Fact: xác nhận hàng loạt/từng dòng</t>
        </is>
      </c>
      <c r="G217" s="2" t="inlineStr">
        <is>
          <t>MDD-40 C3</t>
        </is>
      </c>
      <c r="H217" s="6" t="inlineStr"/>
    </row>
    <row r="218">
      <c r="A218" s="2" t="inlineStr">
        <is>
          <t>A3.6.5</t>
        </is>
      </c>
      <c r="B218" s="2" t="inlineStr">
        <is>
          <t>Fact CẤU HÌNH (.ioc/.dts/.ld/map) tầng riêng + cảnh báo mâu thuẫn với datasheet</t>
        </is>
      </c>
      <c r="C218" s="2" t="n">
        <v>3</v>
      </c>
      <c r="D218" s="2" t="inlineStr">
        <is>
          <t>ING-10</t>
        </is>
      </c>
      <c r="E218" s="2" t="inlineStr">
        <is>
          <t>Nạp &amp; trích xuất (ING-43)</t>
        </is>
      </c>
      <c r="F218" s="2" t="inlineStr">
        <is>
          <t>Cấu hình vendor (.ioc/sdkconfig/.dts/.ld/map) → Fact tầng CẤU HÌNH</t>
        </is>
      </c>
      <c r="G218" s="2" t="inlineStr">
        <is>
          <t>EIDE-ING-43</t>
        </is>
      </c>
      <c r="H218" s="6" t="inlineStr"/>
    </row>
    <row r="219">
      <c r="A219" s="2" t="inlineStr">
        <is>
          <t>A3.6.5</t>
        </is>
      </c>
      <c r="B219" s="2" t="inlineStr">
        <is>
          <t>Fact CẤU HÌNH (.ioc/.dts/.ld/map) tầng riêng + cảnh báo mâu thuẫn với datasheet</t>
        </is>
      </c>
      <c r="C219" s="2" t="n">
        <v>3</v>
      </c>
      <c r="D219" s="2" t="inlineStr">
        <is>
          <t>ING-11</t>
        </is>
      </c>
      <c r="E219" s="2" t="inlineStr">
        <is>
          <t>Nạp &amp; trích xuất (ING-43)</t>
        </is>
      </c>
      <c r="F219" s="2" t="inlineStr">
        <is>
          <t>CẤU HÌNH không là vế giới hạn vật lý; mâu thuẫn với datasheet → phát hiện</t>
        </is>
      </c>
      <c r="G219" s="2" t="inlineStr">
        <is>
          <t>EIDE-ING-43</t>
        </is>
      </c>
      <c r="H219" s="6" t="inlineStr"/>
    </row>
    <row r="220">
      <c r="A220" s="2" t="inlineStr">
        <is>
          <t>A3.6.6</t>
        </is>
      </c>
      <c r="B220" s="2" t="inlineStr">
        <is>
          <t>Hình trong tài liệu: ảnh + caption + OCR; nút 'Nhờ tác tử đọc hình' (ĐỒNG)</t>
        </is>
      </c>
      <c r="C220" s="2" t="n">
        <v>3</v>
      </c>
      <c r="D220" s="2" t="inlineStr">
        <is>
          <t>ING-12</t>
        </is>
      </c>
      <c r="E220" s="2" t="inlineStr">
        <is>
          <t>Nạp &amp; trích xuất (ING-43)</t>
        </is>
      </c>
      <c r="F220" s="2" t="inlineStr">
        <is>
          <t>Hình → đoạn RAG figure; đọc hình bằng vision là ĐỒNG</t>
        </is>
      </c>
      <c r="G220" s="2" t="inlineStr">
        <is>
          <t>EIDE-ING-43</t>
        </is>
      </c>
      <c r="H220" s="6" t="inlineStr"/>
    </row>
    <row r="221">
      <c r="A221" s="2" t="inlineStr">
        <is>
          <t>A3.6.6</t>
        </is>
      </c>
      <c r="B221" s="2" t="inlineStr">
        <is>
          <t>Hình trong tài liệu: ảnh + caption + OCR; nút 'Nhờ tác tử đọc hình' (ĐỒNG)</t>
        </is>
      </c>
      <c r="C221" s="2" t="n">
        <v>3</v>
      </c>
      <c r="D221" s="2" t="inlineStr">
        <is>
          <t>T-DONG</t>
        </is>
      </c>
      <c r="E221" s="2" t="inlineStr">
        <is>
          <t>Tầng dữ liệu</t>
        </is>
      </c>
      <c r="F221" s="2" t="inlineStr">
        <is>
          <t>Tầng ĐỒNG — nghiêng, 'chưa kiểm chứng'</t>
        </is>
      </c>
      <c r="G221" s="2" t="inlineStr">
        <is>
          <t>MDD-40 C1</t>
        </is>
      </c>
      <c r="H221" s="6" t="inlineStr"/>
    </row>
    <row r="222">
      <c r="A222" s="2" t="inlineStr">
        <is>
          <t>A3.6.6</t>
        </is>
      </c>
      <c r="B222" s="2" t="inlineStr">
        <is>
          <t>Hình trong tài liệu: ảnh + caption + OCR; nút 'Nhờ tác tử đọc hình' (ĐỒNG)</t>
        </is>
      </c>
      <c r="C222" s="2" t="n">
        <v>3</v>
      </c>
      <c r="D222" s="2" t="inlineStr">
        <is>
          <t>HA-say</t>
        </is>
      </c>
      <c r="E222" s="2" t="inlineStr">
        <is>
          <t>HumanAct</t>
        </is>
      </c>
      <c r="F222" s="2" t="inlineStr">
        <is>
          <t>Gõ tự do</t>
        </is>
      </c>
      <c r="G222" s="2" t="inlineStr">
        <is>
          <t>MDD-40 D2</t>
        </is>
      </c>
      <c r="H222" s="6" t="inlineStr"/>
    </row>
    <row r="223">
      <c r="A223" s="2" t="inlineStr">
        <is>
          <t>A3.6.7</t>
        </is>
      </c>
      <c r="B223" s="2" t="inlineStr">
        <is>
          <t>Bảng khác biệt chéo nguồn (v1/v2, datasheet/.ld, BOM/netlist) + chọn bản</t>
        </is>
      </c>
      <c r="C223" s="2" t="n">
        <v>3</v>
      </c>
      <c r="D223" s="2" t="inlineStr">
        <is>
          <t>ING-13</t>
        </is>
      </c>
      <c r="E223" s="2" t="inlineStr">
        <is>
          <t>Nạp &amp; trích xuất (ING-43)</t>
        </is>
      </c>
      <c r="F223" s="2" t="inlineStr">
        <is>
          <t>Đối chiếu chéo nguồn cùng key; quy tắc ưu tiên</t>
        </is>
      </c>
      <c r="G223" s="2" t="inlineStr">
        <is>
          <t>EIDE-ING-43</t>
        </is>
      </c>
      <c r="H223" s="6" t="inlineStr"/>
    </row>
    <row r="224">
      <c r="A224" s="2" t="inlineStr">
        <is>
          <t>A3.6.7</t>
        </is>
      </c>
      <c r="B224" s="2" t="inlineStr">
        <is>
          <t>Bảng khác biệt chéo nguồn (v1/v2, datasheet/.ld, BOM/netlist) + chọn bản</t>
        </is>
      </c>
      <c r="C224" s="2" t="n">
        <v>3</v>
      </c>
      <c r="D224" s="2" t="inlineStr">
        <is>
          <t>ING-09</t>
        </is>
      </c>
      <c r="E224" s="2" t="inlineStr">
        <is>
          <t>Nạp &amp; trích xuất (ING-43)</t>
        </is>
      </c>
      <c r="F224" s="2" t="inlineStr">
        <is>
          <t>EDA: KiCad .net/.kicad_sch; Eagle/EasyEDA chuyển đổi; Altium từ chối đúng lý do; BOM đối chiếu netlist</t>
        </is>
      </c>
      <c r="G224" s="2" t="inlineStr">
        <is>
          <t>EIDE-ING-43</t>
        </is>
      </c>
      <c r="H224" s="6" t="inlineStr"/>
    </row>
    <row r="225">
      <c r="A225" s="2" t="inlineStr">
        <is>
          <t>A3.6.7</t>
        </is>
      </c>
      <c r="B225" s="2" t="inlineStr">
        <is>
          <t>Bảng khác biệt chéo nguồn (v1/v2, datasheet/.ld, BOM/netlist) + chọn bản</t>
        </is>
      </c>
      <c r="C225" s="2" t="n">
        <v>3</v>
      </c>
      <c r="D225" s="2" t="inlineStr">
        <is>
          <t>HA-confirm</t>
        </is>
      </c>
      <c r="E225" s="2" t="inlineStr">
        <is>
          <t>HumanAct</t>
        </is>
      </c>
      <c r="F225" s="2" t="inlineStr">
        <is>
          <t>Xác nhận/từ chối/sửa Fact hoặc nguồn</t>
        </is>
      </c>
      <c r="G225" s="2" t="inlineStr">
        <is>
          <t>MDD-40 D2</t>
        </is>
      </c>
      <c r="H225" s="6" t="inlineStr"/>
    </row>
    <row r="226">
      <c r="A226" s="2" t="inlineStr">
        <is>
          <t>A3.6.8</t>
        </is>
      </c>
      <c r="B226" s="2" t="inlineStr">
        <is>
          <t>Giá trị chuẩn hoá + chuỗi gốc (4R7 → 4,7 Ω)</t>
        </is>
      </c>
      <c r="C226" s="2" t="n">
        <v>3</v>
      </c>
      <c r="D226" s="2" t="inlineStr">
        <is>
          <t>ING-14</t>
        </is>
      </c>
      <c r="E226" s="2" t="inlineStr">
        <is>
          <t>Nạp &amp; trích xuất (ING-43)</t>
        </is>
      </c>
      <c r="F226" s="2" t="inlineStr">
        <is>
          <t>Chuẩn hoá đơn vị/ký hiệu bằng mã; giữ raw; condition có cấu trúc</t>
        </is>
      </c>
      <c r="G226" s="2" t="inlineStr">
        <is>
          <t>EIDE-ING-43</t>
        </is>
      </c>
      <c r="H226" s="6" t="inlineStr"/>
    </row>
    <row r="227">
      <c r="A227" s="2" t="inlineStr">
        <is>
          <t>A3.6.9</t>
        </is>
      </c>
      <c r="B227" s="2" t="inlineStr">
        <is>
          <t>Ngôn ngữ tài liệu + gói OCR; chọn lại</t>
        </is>
      </c>
      <c r="C227" s="2" t="n">
        <v>3</v>
      </c>
      <c r="D227" s="2" t="inlineStr">
        <is>
          <t>ING-15</t>
        </is>
      </c>
      <c r="E227" s="2" t="inlineStr">
        <is>
          <t>Nạp &amp; trích xuất (ING-43)</t>
        </is>
      </c>
      <c r="F227" s="2" t="inlineStr">
        <is>
          <t>Đa ngôn ngữ: nhận diện, OCR đúng gói, key bí danh, embedding đa ngữ</t>
        </is>
      </c>
      <c r="G227" s="2" t="inlineStr">
        <is>
          <t>EIDE-ING-43</t>
        </is>
      </c>
      <c r="H227" s="6" t="inlineStr"/>
    </row>
    <row r="228">
      <c r="A228" s="2" t="inlineStr">
        <is>
          <t>A3.6.9</t>
        </is>
      </c>
      <c r="B228" s="2" t="inlineStr">
        <is>
          <t>Ngôn ngữ tài liệu + gói OCR; chọn lại</t>
        </is>
      </c>
      <c r="C228" s="2" t="n">
        <v>3</v>
      </c>
      <c r="D228" s="2" t="inlineStr">
        <is>
          <t>HA-set</t>
        </is>
      </c>
      <c r="E228" s="2" t="inlineStr">
        <is>
          <t>HumanAct</t>
        </is>
      </c>
      <c r="F228" s="2" t="inlineStr">
        <is>
          <t>Đổi thiết lập</t>
        </is>
      </c>
      <c r="G228" s="2" t="inlineStr">
        <is>
          <t>MDD-40 D2</t>
        </is>
      </c>
      <c r="H228" s="6" t="inlineStr"/>
    </row>
    <row r="229">
      <c r="A229" s="2" t="inlineStr">
        <is>
          <t>A3.6.10</t>
        </is>
      </c>
      <c r="B229" s="2" t="inlineStr">
        <is>
          <t>Lỗi E1001–E1008 với gợi ý định dạng thay thế (Altium → netlist/PDF)</t>
        </is>
      </c>
      <c r="C229" s="2" t="n">
        <v>3</v>
      </c>
      <c r="D229" s="2" t="inlineStr">
        <is>
          <t>ING-16</t>
        </is>
      </c>
      <c r="E229" s="2" t="inlineStr">
        <is>
          <t>Nạp &amp; trích xuất (ING-43)</t>
        </is>
      </c>
      <c r="F229" s="2" t="inlineStr">
        <is>
          <t>Mã lỗi E1001–E1008 có message_vi + hint + alternatives</t>
        </is>
      </c>
      <c r="G229" s="2" t="inlineStr">
        <is>
          <t>EIDE-ING-43</t>
        </is>
      </c>
      <c r="H229" s="6" t="inlineStr"/>
    </row>
    <row r="230">
      <c r="A230" s="2" t="inlineStr">
        <is>
          <t>A3.6.10</t>
        </is>
      </c>
      <c r="B230" s="2" t="inlineStr">
        <is>
          <t>Lỗi E1001–E1008 với gợi ý định dạng thay thế (Altium → netlist/PDF)</t>
        </is>
      </c>
      <c r="C230" s="2" t="n">
        <v>3</v>
      </c>
      <c r="D230" s="2" t="inlineStr">
        <is>
          <t>UC04</t>
        </is>
      </c>
      <c r="E230" s="2" t="inlineStr">
        <is>
          <t>Usecase</t>
        </is>
      </c>
      <c r="F230" s="2" t="inlineStr">
        <is>
          <t>Nhập thiết kế có sẵn → mô phỏng → sửa code</t>
        </is>
      </c>
      <c r="G230" s="2" t="inlineStr">
        <is>
          <t>Excel 76 TC</t>
        </is>
      </c>
      <c r="H230" s="6" t="inlineStr"/>
    </row>
    <row r="231">
      <c r="A231" s="2" t="inlineStr">
        <is>
          <t>A3.6.11</t>
        </is>
      </c>
      <c r="B231" s="2" t="inlineStr">
        <is>
          <t>Tiến trình OCR nền cho tài liệu lớn; giới hạn kích thước/trang</t>
        </is>
      </c>
      <c r="C231" s="2" t="n">
        <v>3</v>
      </c>
      <c r="D231" s="2" t="inlineStr">
        <is>
          <t>ING-17</t>
        </is>
      </c>
      <c r="E231" s="2" t="inlineStr">
        <is>
          <t>Nạp &amp; trích xuất (ING-43)</t>
        </is>
      </c>
      <c r="F231" s="2" t="inlineStr">
        <is>
          <t>Giới hạn kích thước/trang; OCR nền có tiến trình</t>
        </is>
      </c>
      <c r="G231" s="2" t="inlineStr">
        <is>
          <t>EIDE-ING-43</t>
        </is>
      </c>
      <c r="H231" s="6" t="inlineStr"/>
    </row>
    <row r="232">
      <c r="A232" s="2" t="inlineStr">
        <is>
          <t>A3.6.11</t>
        </is>
      </c>
      <c r="B232" s="2" t="inlineStr">
        <is>
          <t>Tiến trình OCR nền cho tài liệu lớn; giới hạn kích thước/trang</t>
        </is>
      </c>
      <c r="C232" s="2" t="n">
        <v>3</v>
      </c>
      <c r="D232" s="2" t="inlineStr">
        <is>
          <t>UI-run.update</t>
        </is>
      </c>
      <c r="E232" s="2" t="inlineStr">
        <is>
          <t>UICommand</t>
        </is>
      </c>
      <c r="F232" s="2" t="inlineStr">
        <is>
          <t>Thẻ Run</t>
        </is>
      </c>
      <c r="G232" s="2" t="inlineStr">
        <is>
          <t>MDD-40 D2</t>
        </is>
      </c>
      <c r="H232" s="6" t="inlineStr"/>
    </row>
    <row r="233">
      <c r="A233" s="2" t="inlineStr">
        <is>
          <t>A3.6.12</t>
        </is>
      </c>
      <c r="B233" s="2" t="inlineStr">
        <is>
          <t>Cảnh báo untrusted/P-INJ; macro bị bỏ qua (E1006)</t>
        </is>
      </c>
      <c r="C233" s="2" t="n">
        <v>3</v>
      </c>
      <c r="D233" s="2" t="inlineStr">
        <is>
          <t>ING-18</t>
        </is>
      </c>
      <c r="E233" s="2" t="inlineStr">
        <is>
          <t>Nạp &amp; trích xuất (ING-43)</t>
        </is>
      </c>
      <c r="F233" s="2" t="inlineStr">
        <is>
          <t>Nội dung tài liệu là dữ liệu: untrusted, quét P-INJ, không chạy macro</t>
        </is>
      </c>
      <c r="G233" s="2" t="inlineStr">
        <is>
          <t>EIDE-ING-43</t>
        </is>
      </c>
      <c r="H233" s="6" t="inlineStr"/>
    </row>
    <row r="234">
      <c r="A234" s="2" t="inlineStr">
        <is>
          <t>A3.6.12</t>
        </is>
      </c>
      <c r="B234" s="2" t="inlineStr">
        <is>
          <t>Cảnh báo untrusted/P-INJ; macro bị bỏ qua (E1006)</t>
        </is>
      </c>
      <c r="C234" s="2" t="n">
        <v>3</v>
      </c>
      <c r="D234" s="2" t="inlineStr">
        <is>
          <t>DS7</t>
        </is>
      </c>
      <c r="E234" s="2" t="inlineStr">
        <is>
          <t>Luồng datasheet</t>
        </is>
      </c>
      <c r="F234" s="2" t="inlineStr">
        <is>
          <t>Phòng thủ: cảnh báo P-INJ; không tìm thấy nói thẳng</t>
        </is>
      </c>
      <c r="G234" s="2" t="inlineStr">
        <is>
          <t>MDD-40 C3</t>
        </is>
      </c>
      <c r="H234" s="6" t="inlineStr"/>
    </row>
    <row r="235">
      <c r="A235" s="2" t="inlineStr">
        <is>
          <t>A3.6.13</t>
        </is>
      </c>
      <c r="B235" s="2" t="inlineStr">
        <is>
          <t>Chuyển .docx → PDF phái sinh (cùng doc_id) để có số trang</t>
        </is>
      </c>
      <c r="C235" s="2" t="n">
        <v>3</v>
      </c>
      <c r="D235" s="2" t="inlineStr">
        <is>
          <t>ING-06</t>
        </is>
      </c>
      <c r="E235" s="2" t="inlineStr">
        <is>
          <t>Nạp &amp; trích xuất (ING-43)</t>
        </is>
      </c>
      <c r="F235" s="2" t="inlineStr">
        <is>
          <t>Trích dẫn theo loại (page/bbox; heading/table/row; sheet!ô; slide); docx → PDF phái sinh</t>
        </is>
      </c>
      <c r="G235" s="2" t="inlineStr">
        <is>
          <t>EIDE-ING-43</t>
        </is>
      </c>
      <c r="H235" s="6" t="inlineStr"/>
    </row>
    <row r="236">
      <c r="A236" s="2" t="inlineStr">
        <is>
          <t>A3.6.13</t>
        </is>
      </c>
      <c r="B236" s="2" t="inlineStr">
        <is>
          <t>Chuyển .docx → PDF phái sinh (cùng doc_id) để có số trang</t>
        </is>
      </c>
      <c r="C236" s="2" t="n">
        <v>3</v>
      </c>
      <c r="D236" s="2" t="inlineStr">
        <is>
          <t>HA-say</t>
        </is>
      </c>
      <c r="E236" s="2" t="inlineStr">
        <is>
          <t>HumanAct</t>
        </is>
      </c>
      <c r="F236" s="2" t="inlineStr">
        <is>
          <t>Gõ tự do</t>
        </is>
      </c>
      <c r="G236" s="2" t="inlineStr">
        <is>
          <t>MDD-40 D2</t>
        </is>
      </c>
      <c r="H236" s="6" t="inlineStr"/>
    </row>
    <row r="237">
      <c r="A237" s="2" t="inlineStr">
        <is>
          <t>A3.6.14</t>
        </is>
      </c>
      <c r="B237" s="2" t="inlineStr">
        <is>
          <t>Tầng theo nguồn: nhãn 'bên thứ ba', 'Office tự viết → NGƯỜI'; hằng số mã → ĐỒNG-mã</t>
        </is>
      </c>
      <c r="C237" s="2" t="n">
        <v>3</v>
      </c>
      <c r="D237" s="2" t="inlineStr">
        <is>
          <t>ING-19</t>
        </is>
      </c>
      <c r="E237" s="2" t="inlineStr">
        <is>
          <t>Nạp &amp; trích xuất (ING-43)</t>
        </is>
      </c>
      <c r="F237" s="2" t="inlineStr">
        <is>
          <t>Gán tầng theo nguồn; Office tự viết → NGƯỜI (chờ chốt)</t>
        </is>
      </c>
      <c r="G237" s="2" t="inlineStr">
        <is>
          <t>EIDE-ING-43</t>
        </is>
      </c>
      <c r="H237" s="6" t="inlineStr"/>
    </row>
    <row r="238">
      <c r="A238" s="2" t="inlineStr">
        <is>
          <t>A3.6.14</t>
        </is>
      </c>
      <c r="B238" s="2" t="inlineStr">
        <is>
          <t>Tầng theo nguồn: nhãn 'bên thứ ba', 'Office tự viết → NGƯỜI'; hằng số mã → ĐỒNG-mã</t>
        </is>
      </c>
      <c r="C238" s="2" t="n">
        <v>3</v>
      </c>
      <c r="D238" s="2" t="inlineStr">
        <is>
          <t>ING-20</t>
        </is>
      </c>
      <c r="E238" s="2" t="inlineStr">
        <is>
          <t>Nạp &amp; trích xuất (ING-43)</t>
        </is>
      </c>
      <c r="F238" s="2" t="inlineStr">
        <is>
          <t>Hằng số trong mã → ĐỒNG-mã, chỉ để so sánh</t>
        </is>
      </c>
      <c r="G238" s="2" t="inlineStr">
        <is>
          <t>EIDE-ING-43</t>
        </is>
      </c>
      <c r="H238" s="6" t="inlineStr"/>
    </row>
    <row r="239">
      <c r="A239" s="2" t="inlineStr">
        <is>
          <t>A3.6.14</t>
        </is>
      </c>
      <c r="B239" s="2" t="inlineStr">
        <is>
          <t>Tầng theo nguồn: nhãn 'bên thứ ba', 'Office tự viết → NGƯỜI'; hằng số mã → ĐỒNG-mã</t>
        </is>
      </c>
      <c r="C239" s="2" t="n">
        <v>3</v>
      </c>
      <c r="D239" s="2" t="inlineStr">
        <is>
          <t>T-NGUOI</t>
        </is>
      </c>
      <c r="E239" s="2" t="inlineStr">
        <is>
          <t>Tầng dữ liệu</t>
        </is>
      </c>
      <c r="F239" s="2" t="inlineStr">
        <is>
          <t>Tầng NGƯỜI — 'anh cho, chưa có tài liệu', nút Tìm tài liệu</t>
        </is>
      </c>
      <c r="G239" s="2" t="inlineStr">
        <is>
          <t>MDD-40 C1</t>
        </is>
      </c>
      <c r="H239" s="6" t="inlineStr"/>
    </row>
    <row r="240">
      <c r="A240" s="2" t="inlineStr">
        <is>
          <t>A3.5</t>
        </is>
      </c>
      <c r="B240" s="2" t="inlineStr">
        <is>
          <t>Hỏi đáp tài liệu</t>
        </is>
      </c>
      <c r="C240" s="2" t="n">
        <v>2</v>
      </c>
      <c r="D240" s="2" t="inlineStr">
        <is>
          <t>UC07</t>
        </is>
      </c>
      <c r="E240" s="2" t="inlineStr">
        <is>
          <t>Usecase</t>
        </is>
      </c>
      <c r="F240" s="2" t="inlineStr">
        <is>
          <t>Hỏi đáp datasheet có trích trang</t>
        </is>
      </c>
      <c r="G240" s="2" t="inlineStr">
        <is>
          <t>Excel 76 TC</t>
        </is>
      </c>
      <c r="H240" s="6" t="inlineStr"/>
    </row>
    <row r="241">
      <c r="A241" s="2" t="inlineStr">
        <is>
          <t>A3.5.1</t>
        </is>
      </c>
      <c r="B241" s="2" t="inlineStr">
        <is>
          <t>Hỏi → trả lời kèm trang/mục/phiên bản; 'không có trong tài liệu' tách rõ tri thức chung</t>
        </is>
      </c>
      <c r="C241" s="2" t="n">
        <v>3</v>
      </c>
      <c r="D241" s="2" t="inlineStr">
        <is>
          <t>UC07</t>
        </is>
      </c>
      <c r="E241" s="2" t="inlineStr">
        <is>
          <t>Usecase</t>
        </is>
      </c>
      <c r="F241" s="2" t="inlineStr">
        <is>
          <t>Hỏi đáp datasheet có trích trang</t>
        </is>
      </c>
      <c r="G241" s="2" t="inlineStr">
        <is>
          <t>Excel 76 TC</t>
        </is>
      </c>
      <c r="H241" s="6" t="inlineStr"/>
    </row>
    <row r="242">
      <c r="A242" s="2" t="inlineStr">
        <is>
          <t>A3.5.1</t>
        </is>
      </c>
      <c r="B242" s="2" t="inlineStr">
        <is>
          <t>Hỏi → trả lời kèm trang/mục/phiên bản; 'không có trong tài liệu' tách rõ tri thức chung</t>
        </is>
      </c>
      <c r="C242" s="2" t="n">
        <v>3</v>
      </c>
      <c r="D242" s="2" t="inlineStr">
        <is>
          <t>N1</t>
        </is>
      </c>
      <c r="E242" s="2" t="inlineStr">
        <is>
          <t>Nguyên tắc</t>
        </is>
      </c>
      <c r="F242" s="2" t="inlineStr">
        <is>
          <t>Datasheet là nguồn sự thật — mọi con số truy vết tới tài liệu/trang</t>
        </is>
      </c>
      <c r="G242" s="2" t="inlineStr">
        <is>
          <t>MDD-40 A3</t>
        </is>
      </c>
      <c r="H242" s="6" t="inlineStr"/>
    </row>
    <row r="243">
      <c r="A243" s="2" t="inlineStr">
        <is>
          <t>A3.5.1</t>
        </is>
      </c>
      <c r="B243" s="2" t="inlineStr">
        <is>
          <t>Hỏi → trả lời kèm trang/mục/phiên bản; 'không có trong tài liệu' tách rõ tri thức chung</t>
        </is>
      </c>
      <c r="C243" s="2" t="n">
        <v>3</v>
      </c>
      <c r="D243" s="2" t="inlineStr">
        <is>
          <t>T-DONG</t>
        </is>
      </c>
      <c r="E243" s="2" t="inlineStr">
        <is>
          <t>Tầng dữ liệu</t>
        </is>
      </c>
      <c r="F243" s="2" t="inlineStr">
        <is>
          <t>Tầng ĐỒNG — nghiêng, 'chưa kiểm chứng'</t>
        </is>
      </c>
      <c r="G243" s="2" t="inlineStr">
        <is>
          <t>MDD-40 C1</t>
        </is>
      </c>
      <c r="H243" s="6" t="inlineStr"/>
    </row>
    <row r="244">
      <c r="A244" s="2" t="inlineStr">
        <is>
          <t>A3.5.1</t>
        </is>
      </c>
      <c r="B244" s="2" t="inlineStr">
        <is>
          <t>Hỏi → trả lời kèm trang/mục/phiên bản; 'không có trong tài liệu' tách rõ tri thức chung</t>
        </is>
      </c>
      <c r="C244" s="2" t="n">
        <v>3</v>
      </c>
      <c r="D244" s="2" t="inlineStr">
        <is>
          <t>PR5</t>
        </is>
      </c>
      <c r="E244" s="2" t="inlineStr">
        <is>
          <t>Quy tắc trình bày</t>
        </is>
      </c>
      <c r="F244" s="2" t="inlineStr">
        <is>
          <t>Không giấu thất bại — khối riêng</t>
        </is>
      </c>
      <c r="G244" s="2" t="inlineStr">
        <is>
          <t>MDD-40 E3.2</t>
        </is>
      </c>
      <c r="H244" s="6" t="inlineStr"/>
    </row>
    <row r="245">
      <c r="A245" s="2" t="inlineStr">
        <is>
          <t>A4.1</t>
        </is>
      </c>
      <c r="B245" s="2" t="inlineStr">
        <is>
          <t>Hộ chiếu chip</t>
        </is>
      </c>
      <c r="C245" s="2" t="n">
        <v>2</v>
      </c>
      <c r="D245" s="2" t="inlineStr">
        <is>
          <t>AR05</t>
        </is>
      </c>
      <c r="E245" s="2" t="inlineStr">
        <is>
          <t>Hiện vật (E2)</t>
        </is>
      </c>
      <c r="F245" s="2" t="inlineStr">
        <is>
          <t>Hộ chiếu chip</t>
        </is>
      </c>
      <c r="G245" s="2" t="inlineStr">
        <is>
          <t>MDD-40 E2</t>
        </is>
      </c>
      <c r="H245" s="6" t="inlineStr"/>
    </row>
    <row r="246">
      <c r="A246" s="2" t="inlineStr">
        <is>
          <t>A4.1</t>
        </is>
      </c>
      <c r="B246" s="2" t="inlineStr">
        <is>
          <t>Hộ chiếu chip</t>
        </is>
      </c>
      <c r="C246" s="2" t="n">
        <v>2</v>
      </c>
      <c r="D246" s="2" t="inlineStr">
        <is>
          <t>DS6</t>
        </is>
      </c>
      <c r="E246" s="2" t="inlineStr">
        <is>
          <t>Luồng datasheet</t>
        </is>
      </c>
      <c r="F246" s="2" t="inlineStr">
        <is>
          <t>Ghim hộ chiếu; đối chiếu ISA</t>
        </is>
      </c>
      <c r="G246" s="2" t="inlineStr">
        <is>
          <t>MDD-40 C3</t>
        </is>
      </c>
      <c r="H246" s="6" t="inlineStr"/>
    </row>
    <row r="247">
      <c r="A247" s="2" t="inlineStr">
        <is>
          <t>A4.1.1</t>
        </is>
      </c>
      <c r="B247" s="2" t="inlineStr">
        <is>
          <t>kv: họ, ISA, Flash/RAM, VDD, gói, tài liệu (phiên bản), số Fact theo tầng; ISA có toolchain chưa</t>
        </is>
      </c>
      <c r="C247" s="2" t="n">
        <v>3</v>
      </c>
      <c r="D247" s="2" t="inlineStr">
        <is>
          <t>AR05</t>
        </is>
      </c>
      <c r="E247" s="2" t="inlineStr">
        <is>
          <t>Hiện vật (E2)</t>
        </is>
      </c>
      <c r="F247" s="2" t="inlineStr">
        <is>
          <t>Hộ chiếu chip</t>
        </is>
      </c>
      <c r="G247" s="2" t="inlineStr">
        <is>
          <t>MDD-40 E2</t>
        </is>
      </c>
      <c r="H247" s="6" t="inlineStr"/>
    </row>
    <row r="248">
      <c r="A248" s="2" t="inlineStr">
        <is>
          <t>A4.1.1</t>
        </is>
      </c>
      <c r="B248" s="2" t="inlineStr">
        <is>
          <t>kv: họ, ISA, Flash/RAM, VDD, gói, tài liệu (phiên bản), số Fact theo tầng; ISA có toolchain chưa</t>
        </is>
      </c>
      <c r="C248" s="2" t="n">
        <v>3</v>
      </c>
      <c r="D248" s="2" t="inlineStr">
        <is>
          <t>TL-inventory</t>
        </is>
      </c>
      <c r="E248" s="2" t="inlineStr">
        <is>
          <t>Năng lực chuyên môn</t>
        </is>
      </c>
      <c r="F248" s="2" t="inlineStr">
        <is>
          <t>Kiểm kê toolchain/ISA/simulator/probe</t>
        </is>
      </c>
      <c r="G248" s="2" t="inlineStr">
        <is>
          <t>MDD-40 B3/UC</t>
        </is>
      </c>
      <c r="H248" s="6" t="inlineStr"/>
    </row>
    <row r="249">
      <c r="A249" s="2" t="inlineStr">
        <is>
          <t>A4.1.1</t>
        </is>
      </c>
      <c r="B249" s="2" t="inlineStr">
        <is>
          <t>kv: họ, ISA, Flash/RAM, VDD, gói, tài liệu (phiên bản), số Fact theo tầng; ISA có toolchain chưa</t>
        </is>
      </c>
      <c r="C249" s="2" t="n">
        <v>3</v>
      </c>
      <c r="D249" s="2" t="inlineStr">
        <is>
          <t>EX-sources</t>
        </is>
      </c>
      <c r="E249" s="2" t="inlineStr">
        <is>
          <t>Lớp giải thích</t>
        </is>
      </c>
      <c r="F249" s="2" t="inlineStr">
        <is>
          <t>Nguồn bấm được + tầng</t>
        </is>
      </c>
      <c r="G249" s="2" t="inlineStr">
        <is>
          <t>MDD-40 E3.1</t>
        </is>
      </c>
      <c r="H249" s="6" t="inlineStr"/>
    </row>
    <row r="250">
      <c r="A250" s="2" t="inlineStr">
        <is>
          <t>A4.1.2</t>
        </is>
      </c>
      <c r="B250" s="2" t="inlineStr">
        <is>
          <t>Đổi phiên bản tài liệu dùng; thêm bí danh</t>
        </is>
      </c>
      <c r="C250" s="2" t="n">
        <v>3</v>
      </c>
      <c r="D250" s="2" t="inlineStr">
        <is>
          <t>HA-edit</t>
        </is>
      </c>
      <c r="E250" s="2" t="inlineStr">
        <is>
          <t>HumanAct</t>
        </is>
      </c>
      <c r="F250" s="2" t="inlineStr">
        <is>
          <t>Sửa hiện vật rồi lưu</t>
        </is>
      </c>
      <c r="G250" s="2" t="inlineStr">
        <is>
          <t>MDD-40 D2</t>
        </is>
      </c>
      <c r="H250" s="6" t="inlineStr"/>
    </row>
    <row r="251">
      <c r="A251" s="2" t="inlineStr">
        <is>
          <t>A4.1.2</t>
        </is>
      </c>
      <c r="B251" s="2" t="inlineStr">
        <is>
          <t>Đổi phiên bản tài liệu dùng; thêm bí danh</t>
        </is>
      </c>
      <c r="C251" s="2" t="n">
        <v>3</v>
      </c>
      <c r="D251" s="2" t="inlineStr">
        <is>
          <t>AR05</t>
        </is>
      </c>
      <c r="E251" s="2" t="inlineStr">
        <is>
          <t>Hiện vật (E2)</t>
        </is>
      </c>
      <c r="F251" s="2" t="inlineStr">
        <is>
          <t>Hộ chiếu chip</t>
        </is>
      </c>
      <c r="G251" s="2" t="inlineStr">
        <is>
          <t>MDD-40 E2</t>
        </is>
      </c>
      <c r="H251" s="6" t="inlineStr"/>
    </row>
    <row r="252">
      <c r="A252" s="2" t="inlineStr">
        <is>
          <t>A4.1.3</t>
        </is>
      </c>
      <c r="B252" s="2" t="inlineStr">
        <is>
          <t>Thẻ đề nghị khi chưa có datasheet: Tìm mạng / Nạp tệp / Tri thức chung</t>
        </is>
      </c>
      <c r="C252" s="2" t="n">
        <v>3</v>
      </c>
      <c r="D252" s="2" t="inlineStr">
        <is>
          <t>DS1</t>
        </is>
      </c>
      <c r="E252" s="2" t="inlineStr">
        <is>
          <t>Luồng datasheet</t>
        </is>
      </c>
      <c r="F252" s="2" t="inlineStr">
        <is>
          <t>Kích hoạt: nạp tệp hoặc thẻ đề nghị 3 lựa chọn</t>
        </is>
      </c>
      <c r="G252" s="2" t="inlineStr">
        <is>
          <t>MDD-40 C3</t>
        </is>
      </c>
      <c r="H252" s="6" t="inlineStr"/>
    </row>
    <row r="253">
      <c r="A253" s="2" t="inlineStr">
        <is>
          <t>A4.1.3</t>
        </is>
      </c>
      <c r="B253" s="2" t="inlineStr">
        <is>
          <t>Thẻ đề nghị khi chưa có datasheet: Tìm mạng / Nạp tệp / Tri thức chung</t>
        </is>
      </c>
      <c r="C253" s="2" t="n">
        <v>3</v>
      </c>
      <c r="D253" s="2" t="inlineStr">
        <is>
          <t>HA-choose</t>
        </is>
      </c>
      <c r="E253" s="2" t="inlineStr">
        <is>
          <t>HumanAct</t>
        </is>
      </c>
      <c r="F253" s="2" t="inlineStr">
        <is>
          <t>Chọn mục trong thẻ</t>
        </is>
      </c>
      <c r="G253" s="2" t="inlineStr">
        <is>
          <t>MDD-40 D2</t>
        </is>
      </c>
      <c r="H253" s="6" t="inlineStr"/>
    </row>
    <row r="254">
      <c r="A254" s="2" t="inlineStr">
        <is>
          <t>A4.2</t>
        </is>
      </c>
      <c r="B254" s="2" t="inlineStr">
        <is>
          <t>Bảng Fact</t>
        </is>
      </c>
      <c r="C254" s="2" t="n">
        <v>2</v>
      </c>
      <c r="D254" s="2" t="inlineStr">
        <is>
          <t>AR04</t>
        </is>
      </c>
      <c r="E254" s="2" t="inlineStr">
        <is>
          <t>Hiện vật (E2)</t>
        </is>
      </c>
      <c r="F254" s="2" t="inlineStr">
        <is>
          <t>Fact</t>
        </is>
      </c>
      <c r="G254" s="2" t="inlineStr">
        <is>
          <t>MDD-40 E2</t>
        </is>
      </c>
      <c r="H254" s="6" t="inlineStr"/>
    </row>
    <row r="255">
      <c r="A255" s="2" t="inlineStr">
        <is>
          <t>A4.2</t>
        </is>
      </c>
      <c r="B255" s="2" t="inlineStr">
        <is>
          <t>Bảng Fact</t>
        </is>
      </c>
      <c r="C255" s="2" t="n">
        <v>2</v>
      </c>
      <c r="D255" s="2" t="inlineStr">
        <is>
          <t>N1</t>
        </is>
      </c>
      <c r="E255" s="2" t="inlineStr">
        <is>
          <t>Nguyên tắc</t>
        </is>
      </c>
      <c r="F255" s="2" t="inlineStr">
        <is>
          <t>Datasheet là nguồn sự thật — mọi con số truy vết tới tài liệu/trang</t>
        </is>
      </c>
      <c r="G255" s="2" t="inlineStr">
        <is>
          <t>MDD-40 A3</t>
        </is>
      </c>
      <c r="H255" s="6" t="inlineStr"/>
    </row>
    <row r="256">
      <c r="A256" s="2" t="inlineStr">
        <is>
          <t>A4.2</t>
        </is>
      </c>
      <c r="B256" s="2" t="inlineStr">
        <is>
          <t>Bảng Fact</t>
        </is>
      </c>
      <c r="C256" s="2" t="n">
        <v>2</v>
      </c>
      <c r="D256" s="2" t="inlineStr">
        <is>
          <t>N2</t>
        </is>
      </c>
      <c r="E256" s="2" t="inlineStr">
        <is>
          <t>Nguyên tắc</t>
        </is>
      </c>
      <c r="F256" s="2" t="inlineStr">
        <is>
          <t>Bốn tầng tin cậy VÀNG/BẠC/NGƯỜI/ĐỒNG; ĐỒNG không là vế so sánh</t>
        </is>
      </c>
      <c r="G256" s="2" t="inlineStr">
        <is>
          <t>MDD-40 A3</t>
        </is>
      </c>
      <c r="H256" s="6" t="inlineStr"/>
    </row>
    <row r="257">
      <c r="A257" s="2" t="inlineStr">
        <is>
          <t>A4.2.1</t>
        </is>
      </c>
      <c r="B257" s="2" t="inlineStr">
        <is>
          <t>Cột: khoá, giá trị, đơn vị, điều kiện, Tầng (màu), Nguồn (mở trang PDF đúng bbox)</t>
        </is>
      </c>
      <c r="C257" s="2" t="n">
        <v>3</v>
      </c>
      <c r="D257" s="2" t="inlineStr">
        <is>
          <t>AR04</t>
        </is>
      </c>
      <c r="E257" s="2" t="inlineStr">
        <is>
          <t>Hiện vật (E2)</t>
        </is>
      </c>
      <c r="F257" s="2" t="inlineStr">
        <is>
          <t>Fact</t>
        </is>
      </c>
      <c r="G257" s="2" t="inlineStr">
        <is>
          <t>MDD-40 E2</t>
        </is>
      </c>
      <c r="H257" s="6" t="inlineStr"/>
    </row>
    <row r="258">
      <c r="A258" s="2" t="inlineStr">
        <is>
          <t>A4.2.1</t>
        </is>
      </c>
      <c r="B258" s="2" t="inlineStr">
        <is>
          <t>Cột: khoá, giá trị, đơn vị, điều kiện, Tầng (màu), Nguồn (mở trang PDF đúng bbox)</t>
        </is>
      </c>
      <c r="C258" s="2" t="n">
        <v>3</v>
      </c>
      <c r="D258" s="2" t="inlineStr">
        <is>
          <t>T-VANG</t>
        </is>
      </c>
      <c r="E258" s="2" t="inlineStr">
        <is>
          <t>Tầng dữ liệu</t>
        </is>
      </c>
      <c r="F258" s="2" t="inlineStr">
        <is>
          <t>Tầng VÀNG — nền vàng, khoá, mở trang nguồn</t>
        </is>
      </c>
      <c r="G258" s="2" t="inlineStr">
        <is>
          <t>MDD-40 C1</t>
        </is>
      </c>
      <c r="H258" s="6" t="inlineStr"/>
    </row>
    <row r="259">
      <c r="A259" s="2" t="inlineStr">
        <is>
          <t>A4.2.1</t>
        </is>
      </c>
      <c r="B259" s="2" t="inlineStr">
        <is>
          <t>Cột: khoá, giá trị, đơn vị, điều kiện, Tầng (màu), Nguồn (mở trang PDF đúng bbox)</t>
        </is>
      </c>
      <c r="C259" s="2" t="n">
        <v>3</v>
      </c>
      <c r="D259" s="2" t="inlineStr">
        <is>
          <t>T-BAC</t>
        </is>
      </c>
      <c r="E259" s="2" t="inlineStr">
        <is>
          <t>Tầng dữ liệu</t>
        </is>
      </c>
      <c r="F259" s="2" t="inlineStr">
        <is>
          <t>Tầng BẠC — nền xám, nút Xác nhận</t>
        </is>
      </c>
      <c r="G259" s="2" t="inlineStr">
        <is>
          <t>MDD-40 C1</t>
        </is>
      </c>
      <c r="H259" s="6" t="inlineStr"/>
    </row>
    <row r="260">
      <c r="A260" s="2" t="inlineStr">
        <is>
          <t>A4.2.1</t>
        </is>
      </c>
      <c r="B260" s="2" t="inlineStr">
        <is>
          <t>Cột: khoá, giá trị, đơn vị, điều kiện, Tầng (màu), Nguồn (mở trang PDF đúng bbox)</t>
        </is>
      </c>
      <c r="C260" s="2" t="n">
        <v>3</v>
      </c>
      <c r="D260" s="2" t="inlineStr">
        <is>
          <t>T-NGUOI</t>
        </is>
      </c>
      <c r="E260" s="2" t="inlineStr">
        <is>
          <t>Tầng dữ liệu</t>
        </is>
      </c>
      <c r="F260" s="2" t="inlineStr">
        <is>
          <t>Tầng NGƯỜI — 'anh cho, chưa có tài liệu', nút Tìm tài liệu</t>
        </is>
      </c>
      <c r="G260" s="2" t="inlineStr">
        <is>
          <t>MDD-40 C1</t>
        </is>
      </c>
      <c r="H260" s="6" t="inlineStr"/>
    </row>
    <row r="261">
      <c r="A261" s="2" t="inlineStr">
        <is>
          <t>A4.2.1</t>
        </is>
      </c>
      <c r="B261" s="2" t="inlineStr">
        <is>
          <t>Cột: khoá, giá trị, đơn vị, điều kiện, Tầng (màu), Nguồn (mở trang PDF đúng bbox)</t>
        </is>
      </c>
      <c r="C261" s="2" t="n">
        <v>3</v>
      </c>
      <c r="D261" s="2" t="inlineStr">
        <is>
          <t>T-DONG</t>
        </is>
      </c>
      <c r="E261" s="2" t="inlineStr">
        <is>
          <t>Tầng dữ liệu</t>
        </is>
      </c>
      <c r="F261" s="2" t="inlineStr">
        <is>
          <t>Tầng ĐỒNG — nghiêng, 'chưa kiểm chứng'</t>
        </is>
      </c>
      <c r="G261" s="2" t="inlineStr">
        <is>
          <t>MDD-40 C1</t>
        </is>
      </c>
      <c r="H261" s="6" t="inlineStr"/>
    </row>
    <row r="262">
      <c r="A262" s="2" t="inlineStr">
        <is>
          <t>A4.2.1</t>
        </is>
      </c>
      <c r="B262" s="2" t="inlineStr">
        <is>
          <t>Cột: khoá, giá trị, đơn vị, điều kiện, Tầng (màu), Nguồn (mở trang PDF đúng bbox)</t>
        </is>
      </c>
      <c r="C262" s="2" t="n">
        <v>3</v>
      </c>
      <c r="D262" s="2" t="inlineStr">
        <is>
          <t>PR2</t>
        </is>
      </c>
      <c r="E262" s="2" t="inlineStr">
        <is>
          <t>Quy tắc trình bày</t>
        </is>
      </c>
      <c r="F262" s="2" t="inlineStr">
        <is>
          <t>Mọi con số là liên kết ra nguồn</t>
        </is>
      </c>
      <c r="G262" s="2" t="inlineStr">
        <is>
          <t>MDD-40 E3.2</t>
        </is>
      </c>
      <c r="H262" s="6" t="inlineStr"/>
    </row>
    <row r="263">
      <c r="A263" s="2" t="inlineStr">
        <is>
          <t>A4.2.2</t>
        </is>
      </c>
      <c r="B263" s="2" t="inlineStr">
        <is>
          <t>Xác nhận (BẠC→VÀNG) hàng loạt / từng dòng</t>
        </is>
      </c>
      <c r="C263" s="2" t="n">
        <v>3</v>
      </c>
      <c r="D263" s="2" t="inlineStr">
        <is>
          <t>HA-confirm</t>
        </is>
      </c>
      <c r="E263" s="2" t="inlineStr">
        <is>
          <t>HumanAct</t>
        </is>
      </c>
      <c r="F263" s="2" t="inlineStr">
        <is>
          <t>Xác nhận/từ chối/sửa Fact hoặc nguồn</t>
        </is>
      </c>
      <c r="G263" s="2" t="inlineStr">
        <is>
          <t>MDD-40 D2</t>
        </is>
      </c>
      <c r="H263" s="6" t="inlineStr"/>
    </row>
    <row r="264">
      <c r="A264" s="2" t="inlineStr">
        <is>
          <t>A4.2.2</t>
        </is>
      </c>
      <c r="B264" s="2" t="inlineStr">
        <is>
          <t>Xác nhận (BẠC→VÀNG) hàng loạt / từng dòng</t>
        </is>
      </c>
      <c r="C264" s="2" t="n">
        <v>3</v>
      </c>
      <c r="D264" s="2" t="inlineStr">
        <is>
          <t>DS5</t>
        </is>
      </c>
      <c r="E264" s="2" t="inlineStr">
        <is>
          <t>Luồng datasheet</t>
        </is>
      </c>
      <c r="F264" s="2" t="inlineStr">
        <is>
          <t>Rà soát Fact: xác nhận hàng loạt/từng dòng</t>
        </is>
      </c>
      <c r="G264" s="2" t="inlineStr">
        <is>
          <t>MDD-40 C3</t>
        </is>
      </c>
      <c r="H264" s="6" t="inlineStr"/>
    </row>
    <row r="265">
      <c r="A265" s="2" t="inlineStr">
        <is>
          <t>A4.2.2</t>
        </is>
      </c>
      <c r="B265" s="2" t="inlineStr">
        <is>
          <t>Xác nhận (BẠC→VÀNG) hàng loạt / từng dòng</t>
        </is>
      </c>
      <c r="C265" s="2" t="n">
        <v>3</v>
      </c>
      <c r="D265" s="2" t="inlineStr">
        <is>
          <t>T-BAC</t>
        </is>
      </c>
      <c r="E265" s="2" t="inlineStr">
        <is>
          <t>Tầng dữ liệu</t>
        </is>
      </c>
      <c r="F265" s="2" t="inlineStr">
        <is>
          <t>Tầng BẠC — nền xám, nút Xác nhận</t>
        </is>
      </c>
      <c r="G265" s="2" t="inlineStr">
        <is>
          <t>MDD-40 C1</t>
        </is>
      </c>
      <c r="H265" s="6" t="inlineStr"/>
    </row>
    <row r="266">
      <c r="A266" s="2" t="inlineStr">
        <is>
          <t>A4.2.3</t>
        </is>
      </c>
      <c r="B266" s="2" t="inlineStr">
        <is>
          <t>Từ chối / sửa giá trị (→ NGƯỜI nếu không kèm tài liệu)</t>
        </is>
      </c>
      <c r="C266" s="2" t="n">
        <v>3</v>
      </c>
      <c r="D266" s="2" t="inlineStr">
        <is>
          <t>HA-confirm</t>
        </is>
      </c>
      <c r="E266" s="2" t="inlineStr">
        <is>
          <t>HumanAct</t>
        </is>
      </c>
      <c r="F266" s="2" t="inlineStr">
        <is>
          <t>Xác nhận/từ chối/sửa Fact hoặc nguồn</t>
        </is>
      </c>
      <c r="G266" s="2" t="inlineStr">
        <is>
          <t>MDD-40 D2</t>
        </is>
      </c>
      <c r="H266" s="6" t="inlineStr"/>
    </row>
    <row r="267">
      <c r="A267" s="2" t="inlineStr">
        <is>
          <t>A4.2.3</t>
        </is>
      </c>
      <c r="B267" s="2" t="inlineStr">
        <is>
          <t>Từ chối / sửa giá trị (→ NGƯỜI nếu không kèm tài liệu)</t>
        </is>
      </c>
      <c r="C267" s="2" t="n">
        <v>3</v>
      </c>
      <c r="D267" s="2" t="inlineStr">
        <is>
          <t>T-NGUOI</t>
        </is>
      </c>
      <c r="E267" s="2" t="inlineStr">
        <is>
          <t>Tầng dữ liệu</t>
        </is>
      </c>
      <c r="F267" s="2" t="inlineStr">
        <is>
          <t>Tầng NGƯỜI — 'anh cho, chưa có tài liệu', nút Tìm tài liệu</t>
        </is>
      </c>
      <c r="G267" s="2" t="inlineStr">
        <is>
          <t>MDD-40 C1</t>
        </is>
      </c>
      <c r="H267" s="6" t="inlineStr"/>
    </row>
    <row r="268">
      <c r="A268" s="2" t="inlineStr">
        <is>
          <t>A4.2.3</t>
        </is>
      </c>
      <c r="B268" s="2" t="inlineStr">
        <is>
          <t>Từ chối / sửa giá trị (→ NGƯỜI nếu không kèm tài liệu)</t>
        </is>
      </c>
      <c r="C268" s="2" t="n">
        <v>3</v>
      </c>
      <c r="D268" s="2" t="inlineStr">
        <is>
          <t>ED3</t>
        </is>
      </c>
      <c r="E268" s="2" t="inlineStr">
        <is>
          <t>Đồng bộ khi người sửa</t>
        </is>
      </c>
      <c r="F268" s="2" t="inlineStr">
        <is>
          <t>Kiểm lược đồ + 3-way merge; xung đột → thẻ hai bản</t>
        </is>
      </c>
      <c r="G268" s="2" t="inlineStr">
        <is>
          <t>MDD-40 E4</t>
        </is>
      </c>
      <c r="H268" s="6" t="inlineStr"/>
    </row>
    <row r="269">
      <c r="A269" s="2" t="inlineStr">
        <is>
          <t>A4.2.4</t>
        </is>
      </c>
      <c r="B269" s="2" t="inlineStr">
        <is>
          <t>Nút 'Tìm tài liệu chứng thực' trên Fact NGƯỜI</t>
        </is>
      </c>
      <c r="C269" s="2" t="n">
        <v>3</v>
      </c>
      <c r="D269" s="2" t="inlineStr">
        <is>
          <t>T-NGUOI</t>
        </is>
      </c>
      <c r="E269" s="2" t="inlineStr">
        <is>
          <t>Tầng dữ liệu</t>
        </is>
      </c>
      <c r="F269" s="2" t="inlineStr">
        <is>
          <t>Tầng NGƯỜI — 'anh cho, chưa có tài liệu', nút Tìm tài liệu</t>
        </is>
      </c>
      <c r="G269" s="2" t="inlineStr">
        <is>
          <t>MDD-40 C1</t>
        </is>
      </c>
      <c r="H269" s="6" t="inlineStr"/>
    </row>
    <row r="270">
      <c r="A270" s="2" t="inlineStr">
        <is>
          <t>A4.2.4</t>
        </is>
      </c>
      <c r="B270" s="2" t="inlineStr">
        <is>
          <t>Nút 'Tìm tài liệu chứng thực' trên Fact NGƯỜI</t>
        </is>
      </c>
      <c r="C270" s="2" t="n">
        <v>3</v>
      </c>
      <c r="D270" s="2" t="inlineStr">
        <is>
          <t>DS2</t>
        </is>
      </c>
      <c r="E270" s="2" t="inlineStr">
        <is>
          <t>Luồng datasheet</t>
        </is>
      </c>
      <c r="F270" s="2" t="inlineStr">
        <is>
          <t>Tìm: ứng viên có nguồn/phiên bản/hash</t>
        </is>
      </c>
      <c r="G270" s="2" t="inlineStr">
        <is>
          <t>MDD-40 C3</t>
        </is>
      </c>
      <c r="H270" s="6" t="inlineStr"/>
    </row>
    <row r="271">
      <c r="A271" s="2" t="inlineStr">
        <is>
          <t>A4.2.5</t>
        </is>
      </c>
      <c r="B271" s="2" t="inlineStr">
        <is>
          <t>Hàng đợi rà soát Fact ứng viên + trích đoạn gốc bên cạnh</t>
        </is>
      </c>
      <c r="C271" s="2" t="n">
        <v>3</v>
      </c>
      <c r="D271" s="2" t="inlineStr">
        <is>
          <t>DS5</t>
        </is>
      </c>
      <c r="E271" s="2" t="inlineStr">
        <is>
          <t>Luồng datasheet</t>
        </is>
      </c>
      <c r="F271" s="2" t="inlineStr">
        <is>
          <t>Rà soát Fact: xác nhận hàng loạt/từng dòng</t>
        </is>
      </c>
      <c r="G271" s="2" t="inlineStr">
        <is>
          <t>MDD-40 C3</t>
        </is>
      </c>
      <c r="H271" s="6" t="inlineStr"/>
    </row>
    <row r="272">
      <c r="A272" s="2" t="inlineStr">
        <is>
          <t>A4.2.5</t>
        </is>
      </c>
      <c r="B272" s="2" t="inlineStr">
        <is>
          <t>Hàng đợi rà soát Fact ứng viên + trích đoạn gốc bên cạnh</t>
        </is>
      </c>
      <c r="C272" s="2" t="n">
        <v>3</v>
      </c>
      <c r="D272" s="2" t="inlineStr">
        <is>
          <t>EX-sources</t>
        </is>
      </c>
      <c r="E272" s="2" t="inlineStr">
        <is>
          <t>Lớp giải thích</t>
        </is>
      </c>
      <c r="F272" s="2" t="inlineStr">
        <is>
          <t>Nguồn bấm được + tầng</t>
        </is>
      </c>
      <c r="G272" s="2" t="inlineStr">
        <is>
          <t>MDD-40 E3.1</t>
        </is>
      </c>
      <c r="H272" s="6" t="inlineStr"/>
    </row>
    <row r="273">
      <c r="A273" s="2" t="inlineStr">
        <is>
          <t>A4.3</t>
        </is>
      </c>
      <c r="B273" s="2" t="inlineStr">
        <is>
          <t>Đồ thị tri thức mạch</t>
        </is>
      </c>
      <c r="C273" s="2" t="n">
        <v>2</v>
      </c>
      <c r="D273" s="2" t="inlineStr">
        <is>
          <t>AR06</t>
        </is>
      </c>
      <c r="E273" s="2" t="inlineStr">
        <is>
          <t>Hiện vật (E2)</t>
        </is>
      </c>
      <c r="F273" s="2" t="inlineStr">
        <is>
          <t>Bản đồ tri thức mạch (KG)</t>
        </is>
      </c>
      <c r="G273" s="2" t="inlineStr">
        <is>
          <t>MDD-40 E2</t>
        </is>
      </c>
      <c r="H273" s="6" t="inlineStr"/>
    </row>
    <row r="274">
      <c r="A274" s="2" t="inlineStr">
        <is>
          <t>A4.3</t>
        </is>
      </c>
      <c r="B274" s="2" t="inlineStr">
        <is>
          <t>Đồ thị tri thức mạch</t>
        </is>
      </c>
      <c r="C274" s="2" t="n">
        <v>2</v>
      </c>
      <c r="D274" s="2" t="inlineStr">
        <is>
          <t>C2</t>
        </is>
      </c>
      <c r="E274" s="2" t="inlineStr">
        <is>
          <t>Chặng</t>
        </is>
      </c>
      <c r="F274" s="2" t="inlineStr">
        <is>
          <t>Tài liệu &amp; Bản đồ tri thức mạch</t>
        </is>
      </c>
      <c r="G274" s="2" t="inlineStr">
        <is>
          <t>MDD-40 A4</t>
        </is>
      </c>
      <c r="H274" s="6" t="inlineStr"/>
    </row>
    <row r="275">
      <c r="A275" s="2" t="inlineStr">
        <is>
          <t>A4.3.1</t>
        </is>
      </c>
      <c r="B275" s="2" t="inlineStr">
        <is>
          <t>Đồ thị tương tác: chip, chân, net, bus, nguồn; chọn nút → panel Fact + nguồn</t>
        </is>
      </c>
      <c r="C275" s="2" t="n">
        <v>3</v>
      </c>
      <c r="D275" s="2" t="inlineStr">
        <is>
          <t>AR06</t>
        </is>
      </c>
      <c r="E275" s="2" t="inlineStr">
        <is>
          <t>Hiện vật (E2)</t>
        </is>
      </c>
      <c r="F275" s="2" t="inlineStr">
        <is>
          <t>Bản đồ tri thức mạch (KG)</t>
        </is>
      </c>
      <c r="G275" s="2" t="inlineStr">
        <is>
          <t>MDD-40 E2</t>
        </is>
      </c>
      <c r="H275" s="6" t="inlineStr"/>
    </row>
    <row r="276">
      <c r="A276" s="2" t="inlineStr">
        <is>
          <t>A4.3.1</t>
        </is>
      </c>
      <c r="B276" s="2" t="inlineStr">
        <is>
          <t>Đồ thị tương tác: chip, chân, net, bus, nguồn; chọn nút → panel Fact + nguồn</t>
        </is>
      </c>
      <c r="C276" s="2" t="n">
        <v>3</v>
      </c>
      <c r="D276" s="2" t="inlineStr">
        <is>
          <t>HA-attend</t>
        </is>
      </c>
      <c r="E276" s="2" t="inlineStr">
        <is>
          <t>HumanAct</t>
        </is>
      </c>
      <c r="F276" s="2" t="inlineStr">
        <is>
          <t>Chuyển tab/chọn hiện vật</t>
        </is>
      </c>
      <c r="G276" s="2" t="inlineStr">
        <is>
          <t>MDD-40 D2</t>
        </is>
      </c>
      <c r="H276" s="6" t="inlineStr"/>
    </row>
    <row r="277">
      <c r="A277" s="2" t="inlineStr">
        <is>
          <t>A4.3.1</t>
        </is>
      </c>
      <c r="B277" s="2" t="inlineStr">
        <is>
          <t>Đồ thị tương tác: chip, chân, net, bus, nguồn; chọn nút → panel Fact + nguồn</t>
        </is>
      </c>
      <c r="C277" s="2" t="n">
        <v>3</v>
      </c>
      <c r="D277" s="2" t="inlineStr">
        <is>
          <t>UI-surface.focus</t>
        </is>
      </c>
      <c r="E277" s="2" t="inlineStr">
        <is>
          <t>UICommand</t>
        </is>
      </c>
      <c r="F277" s="2" t="inlineStr">
        <is>
          <t>Đưa mắt tới vị trí</t>
        </is>
      </c>
      <c r="G277" s="2" t="inlineStr">
        <is>
          <t>MDD-40 D2</t>
        </is>
      </c>
      <c r="H277" s="6" t="inlineStr"/>
    </row>
    <row r="278">
      <c r="A278" s="2" t="inlineStr">
        <is>
          <t>A4.3.2</t>
        </is>
      </c>
      <c r="B278" s="2" t="inlineStr">
        <is>
          <t>Lọc theo bus/nguồn; chỗ 'đứt' (chưa có Fact) tô đỏ</t>
        </is>
      </c>
      <c r="C278" s="2" t="n">
        <v>3</v>
      </c>
      <c r="D278" s="2" t="inlineStr">
        <is>
          <t>AR06</t>
        </is>
      </c>
      <c r="E278" s="2" t="inlineStr">
        <is>
          <t>Hiện vật (E2)</t>
        </is>
      </c>
      <c r="F278" s="2" t="inlineStr">
        <is>
          <t>Bản đồ tri thức mạch (KG)</t>
        </is>
      </c>
      <c r="G278" s="2" t="inlineStr">
        <is>
          <t>MDD-40 E2</t>
        </is>
      </c>
      <c r="H278" s="6" t="inlineStr"/>
    </row>
    <row r="279">
      <c r="A279" s="2" t="inlineStr">
        <is>
          <t>A4.3.2</t>
        </is>
      </c>
      <c r="B279" s="2" t="inlineStr">
        <is>
          <t>Lọc theo bus/nguồn; chỗ 'đứt' (chưa có Fact) tô đỏ</t>
        </is>
      </c>
      <c r="C279" s="2" t="n">
        <v>3</v>
      </c>
      <c r="D279" s="2" t="inlineStr">
        <is>
          <t>PR5</t>
        </is>
      </c>
      <c r="E279" s="2" t="inlineStr">
        <is>
          <t>Quy tắc trình bày</t>
        </is>
      </c>
      <c r="F279" s="2" t="inlineStr">
        <is>
          <t>Không giấu thất bại — khối riêng</t>
        </is>
      </c>
      <c r="G279" s="2" t="inlineStr">
        <is>
          <t>MDD-40 E3.2</t>
        </is>
      </c>
      <c r="H279" s="6" t="inlineStr"/>
    </row>
    <row r="280">
      <c r="A280" s="2" t="inlineStr">
        <is>
          <t>A4.3.3</t>
        </is>
      </c>
      <c r="B280" s="2" t="inlineStr">
        <is>
          <t>Kéo nối net–chân → sinh đề xuất sửa netlist (không sửa KG trực tiếp)</t>
        </is>
      </c>
      <c r="C280" s="2" t="n">
        <v>3</v>
      </c>
      <c r="D280" s="2" t="inlineStr">
        <is>
          <t>HA-edit</t>
        </is>
      </c>
      <c r="E280" s="2" t="inlineStr">
        <is>
          <t>HumanAct</t>
        </is>
      </c>
      <c r="F280" s="2" t="inlineStr">
        <is>
          <t>Sửa hiện vật rồi lưu</t>
        </is>
      </c>
      <c r="G280" s="2" t="inlineStr">
        <is>
          <t>MDD-40 D2</t>
        </is>
      </c>
      <c r="H280" s="6" t="inlineStr"/>
    </row>
    <row r="281">
      <c r="A281" s="2" t="inlineStr">
        <is>
          <t>A4.3.3</t>
        </is>
      </c>
      <c r="B281" s="2" t="inlineStr">
        <is>
          <t>Kéo nối net–chân → sinh đề xuất sửa netlist (không sửa KG trực tiếp)</t>
        </is>
      </c>
      <c r="C281" s="2" t="n">
        <v>3</v>
      </c>
      <c r="D281" s="2" t="inlineStr">
        <is>
          <t>AR09</t>
        </is>
      </c>
      <c r="E281" s="2" t="inlineStr">
        <is>
          <t>Hiện vật (E2)</t>
        </is>
      </c>
      <c r="F281" s="2" t="inlineStr">
        <is>
          <t>Schematic/netlist</t>
        </is>
      </c>
      <c r="G281" s="2" t="inlineStr">
        <is>
          <t>MDD-40 E2</t>
        </is>
      </c>
      <c r="H281" s="6" t="inlineStr"/>
    </row>
    <row r="282">
      <c r="A282" s="2" t="inlineStr">
        <is>
          <t>A4.4</t>
        </is>
      </c>
      <c r="B282" s="2" t="inlineStr">
        <is>
          <t>Kết quả so sánh (fact.compare)</t>
        </is>
      </c>
      <c r="C282" s="2" t="n">
        <v>2</v>
      </c>
      <c r="D282" s="2" t="inlineStr">
        <is>
          <t>N2</t>
        </is>
      </c>
      <c r="E282" s="2" t="inlineStr">
        <is>
          <t>Nguyên tắc</t>
        </is>
      </c>
      <c r="F282" s="2" t="inlineStr">
        <is>
          <t>Bốn tầng tin cậy VÀNG/BẠC/NGƯỜI/ĐỒNG; ĐỒNG không là vế so sánh</t>
        </is>
      </c>
      <c r="G282" s="2" t="inlineStr">
        <is>
          <t>MDD-40 A3</t>
        </is>
      </c>
      <c r="H282" s="6" t="inlineStr"/>
    </row>
    <row r="283">
      <c r="A283" s="2" t="inlineStr">
        <is>
          <t>A4.4</t>
        </is>
      </c>
      <c r="B283" s="2" t="inlineStr">
        <is>
          <t>Kết quả so sánh (fact.compare)</t>
        </is>
      </c>
      <c r="C283" s="2" t="n">
        <v>2</v>
      </c>
      <c r="D283" s="2" t="inlineStr">
        <is>
          <t>UC06</t>
        </is>
      </c>
      <c r="E283" s="2" t="inlineStr">
        <is>
          <t>Usecase</t>
        </is>
      </c>
      <c r="F283" s="2" t="inlineStr">
        <is>
          <t>Rà soát thiết kế</t>
        </is>
      </c>
      <c r="G283" s="2" t="inlineStr">
        <is>
          <t>Excel 76 TC</t>
        </is>
      </c>
      <c r="H283" s="6" t="inlineStr"/>
    </row>
    <row r="284">
      <c r="A284" s="2" t="inlineStr">
        <is>
          <t>A4.4.1</t>
        </is>
      </c>
      <c r="B284" s="2" t="inlineStr">
        <is>
          <t>Bảng: luật, vế A, vế B, kết luận, mức, hai trích dẫn; nhãn CHƯA KIỂM CHỨNG nếu có vế ĐỒNG</t>
        </is>
      </c>
      <c r="C284" s="2" t="n">
        <v>3</v>
      </c>
      <c r="D284" s="2" t="inlineStr">
        <is>
          <t>N2</t>
        </is>
      </c>
      <c r="E284" s="2" t="inlineStr">
        <is>
          <t>Nguyên tắc</t>
        </is>
      </c>
      <c r="F284" s="2" t="inlineStr">
        <is>
          <t>Bốn tầng tin cậy VÀNG/BẠC/NGƯỜI/ĐỒNG; ĐỒNG không là vế so sánh</t>
        </is>
      </c>
      <c r="G284" s="2" t="inlineStr">
        <is>
          <t>MDD-40 A3</t>
        </is>
      </c>
      <c r="H284" s="6" t="inlineStr"/>
    </row>
    <row r="285">
      <c r="A285" s="2" t="inlineStr">
        <is>
          <t>A4.4.1</t>
        </is>
      </c>
      <c r="B285" s="2" t="inlineStr">
        <is>
          <t>Bảng: luật, vế A, vế B, kết luận, mức, hai trích dẫn; nhãn CHƯA KIỂM CHỨNG nếu có vế ĐỒNG</t>
        </is>
      </c>
      <c r="C285" s="2" t="n">
        <v>3</v>
      </c>
      <c r="D285" s="2" t="inlineStr">
        <is>
          <t>T-DONG</t>
        </is>
      </c>
      <c r="E285" s="2" t="inlineStr">
        <is>
          <t>Tầng dữ liệu</t>
        </is>
      </c>
      <c r="F285" s="2" t="inlineStr">
        <is>
          <t>Tầng ĐỒNG — nghiêng, 'chưa kiểm chứng'</t>
        </is>
      </c>
      <c r="G285" s="2" t="inlineStr">
        <is>
          <t>MDD-40 C1</t>
        </is>
      </c>
      <c r="H285" s="6" t="inlineStr"/>
    </row>
    <row r="286">
      <c r="A286" s="2" t="inlineStr">
        <is>
          <t>A4.4.1</t>
        </is>
      </c>
      <c r="B286" s="2" t="inlineStr">
        <is>
          <t>Bảng: luật, vế A, vế B, kết luận, mức, hai trích dẫn; nhãn CHƯA KIỂM CHỨNG nếu có vế ĐỒNG</t>
        </is>
      </c>
      <c r="C286" s="2" t="n">
        <v>3</v>
      </c>
      <c r="D286" s="2" t="inlineStr">
        <is>
          <t>EX-sources</t>
        </is>
      </c>
      <c r="E286" s="2" t="inlineStr">
        <is>
          <t>Lớp giải thích</t>
        </is>
      </c>
      <c r="F286" s="2" t="inlineStr">
        <is>
          <t>Nguồn bấm được + tầng</t>
        </is>
      </c>
      <c r="G286" s="2" t="inlineStr">
        <is>
          <t>MDD-40 E3.1</t>
        </is>
      </c>
      <c r="H286" s="6" t="inlineStr"/>
    </row>
    <row r="287">
      <c r="A287" s="2" t="inlineStr">
        <is>
          <t>A4.5</t>
        </is>
      </c>
      <c r="B287" s="2" t="inlineStr">
        <is>
          <t>Thay thế linh kiện</t>
        </is>
      </c>
      <c r="C287" s="2" t="n">
        <v>2</v>
      </c>
      <c r="D287" s="2" t="inlineStr">
        <is>
          <t>UC08</t>
        </is>
      </c>
      <c r="E287" s="2" t="inlineStr">
        <is>
          <t>Usecase</t>
        </is>
      </c>
      <c r="F287" s="2" t="inlineStr">
        <is>
          <t>Thay thế linh kiện</t>
        </is>
      </c>
      <c r="G287" s="2" t="inlineStr">
        <is>
          <t>Excel 76 TC</t>
        </is>
      </c>
      <c r="H287" s="6" t="inlineStr"/>
    </row>
    <row r="288">
      <c r="A288" s="2" t="inlineStr">
        <is>
          <t>A4.5</t>
        </is>
      </c>
      <c r="B288" s="2" t="inlineStr">
        <is>
          <t>Thay thế linh kiện</t>
        </is>
      </c>
      <c r="C288" s="2" t="n">
        <v>2</v>
      </c>
      <c r="D288" s="2" t="inlineStr">
        <is>
          <t>TL-replace</t>
        </is>
      </c>
      <c r="E288" s="2" t="inlineStr">
        <is>
          <t>Năng lực chuyên môn</t>
        </is>
      </c>
      <c r="F288" s="2" t="inlineStr">
        <is>
          <t>Thay thế linh kiện có phân tích ảnh hưởng</t>
        </is>
      </c>
      <c r="G288" s="2" t="inlineStr">
        <is>
          <t>MDD-40 B3/UC</t>
        </is>
      </c>
      <c r="H288" s="6" t="inlineStr"/>
    </row>
    <row r="289">
      <c r="A289" s="2" t="inlineStr">
        <is>
          <t>A4.5.1</t>
        </is>
      </c>
      <c r="B289" s="2" t="inlineStr">
        <is>
          <t>Danh sách thay thế xếp hạng: pin-to-pin/cần sửa mạch, khác biệt thông số, vòng đời (nếu có nguồn), ảnh hưởng</t>
        </is>
      </c>
      <c r="C289" s="2" t="n">
        <v>3</v>
      </c>
      <c r="D289" s="2" t="inlineStr">
        <is>
          <t>TL-replace</t>
        </is>
      </c>
      <c r="E289" s="2" t="inlineStr">
        <is>
          <t>Năng lực chuyên môn</t>
        </is>
      </c>
      <c r="F289" s="2" t="inlineStr">
        <is>
          <t>Thay thế linh kiện có phân tích ảnh hưởng</t>
        </is>
      </c>
      <c r="G289" s="2" t="inlineStr">
        <is>
          <t>MDD-40 B3/UC</t>
        </is>
      </c>
      <c r="H289" s="6" t="inlineStr"/>
    </row>
    <row r="290">
      <c r="A290" s="2" t="inlineStr">
        <is>
          <t>A4.5.1</t>
        </is>
      </c>
      <c r="B290" s="2" t="inlineStr">
        <is>
          <t>Danh sách thay thế xếp hạng: pin-to-pin/cần sửa mạch, khác biệt thông số, vòng đời (nếu có nguồn), ảnh hưởng</t>
        </is>
      </c>
      <c r="C290" s="2" t="n">
        <v>3</v>
      </c>
      <c r="D290" s="2" t="inlineStr">
        <is>
          <t>UC08</t>
        </is>
      </c>
      <c r="E290" s="2" t="inlineStr">
        <is>
          <t>Usecase</t>
        </is>
      </c>
      <c r="F290" s="2" t="inlineStr">
        <is>
          <t>Thay thế linh kiện</t>
        </is>
      </c>
      <c r="G290" s="2" t="inlineStr">
        <is>
          <t>Excel 76 TC</t>
        </is>
      </c>
      <c r="H290" s="6" t="inlineStr"/>
    </row>
    <row r="291">
      <c r="A291" s="2" t="inlineStr">
        <is>
          <t>A4.5.1</t>
        </is>
      </c>
      <c r="B291" s="2" t="inlineStr">
        <is>
          <t>Danh sách thay thế xếp hạng: pin-to-pin/cần sửa mạch, khác biệt thông số, vòng đời (nếu có nguồn), ảnh hưởng</t>
        </is>
      </c>
      <c r="C291" s="2" t="n">
        <v>3</v>
      </c>
      <c r="D291" s="2" t="inlineStr">
        <is>
          <t>PR5</t>
        </is>
      </c>
      <c r="E291" s="2" t="inlineStr">
        <is>
          <t>Quy tắc trình bày</t>
        </is>
      </c>
      <c r="F291" s="2" t="inlineStr">
        <is>
          <t>Không giấu thất bại — khối riêng</t>
        </is>
      </c>
      <c r="G291" s="2" t="inlineStr">
        <is>
          <t>MDD-40 E3.2</t>
        </is>
      </c>
      <c r="H291" s="6" t="inlineStr"/>
    </row>
    <row r="292">
      <c r="A292" s="2" t="inlineStr">
        <is>
          <t>A5.1</t>
        </is>
      </c>
      <c r="B292" s="2" t="inlineStr">
        <is>
          <t>Sơ đồ khối</t>
        </is>
      </c>
      <c r="C292" s="2" t="n">
        <v>2</v>
      </c>
      <c r="D292" s="2" t="inlineStr">
        <is>
          <t>AR08</t>
        </is>
      </c>
      <c r="E292" s="2" t="inlineStr">
        <is>
          <t>Hiện vật (E2)</t>
        </is>
      </c>
      <c r="F292" s="2" t="inlineStr">
        <is>
          <t>Sơ đồ khối</t>
        </is>
      </c>
      <c r="G292" s="2" t="inlineStr">
        <is>
          <t>MDD-40 E2</t>
        </is>
      </c>
      <c r="H292" s="6" t="inlineStr"/>
    </row>
    <row r="293">
      <c r="A293" s="2" t="inlineStr">
        <is>
          <t>A5.1</t>
        </is>
      </c>
      <c r="B293" s="2" t="inlineStr">
        <is>
          <t>Sơ đồ khối</t>
        </is>
      </c>
      <c r="C293" s="2" t="n">
        <v>2</v>
      </c>
      <c r="D293" s="2" t="inlineStr">
        <is>
          <t>UC02</t>
        </is>
      </c>
      <c r="E293" s="2" t="inlineStr">
        <is>
          <t>Usecase</t>
        </is>
      </c>
      <c r="F293" s="2" t="inlineStr">
        <is>
          <t>Từ phương án đến thiết kế mạch</t>
        </is>
      </c>
      <c r="G293" s="2" t="inlineStr">
        <is>
          <t>Excel 76 TC</t>
        </is>
      </c>
      <c r="H293" s="6" t="inlineStr"/>
    </row>
    <row r="294">
      <c r="A294" s="2" t="inlineStr">
        <is>
          <t>A5.1.1</t>
        </is>
      </c>
      <c r="B294" s="2" t="inlineStr">
        <is>
          <t>Hình + danh sách khối ↔ REQ</t>
        </is>
      </c>
      <c r="C294" s="2" t="n">
        <v>3</v>
      </c>
      <c r="D294" s="2" t="inlineStr">
        <is>
          <t>AR08</t>
        </is>
      </c>
      <c r="E294" s="2" t="inlineStr">
        <is>
          <t>Hiện vật (E2)</t>
        </is>
      </c>
      <c r="F294" s="2" t="inlineStr">
        <is>
          <t>Sơ đồ khối</t>
        </is>
      </c>
      <c r="G294" s="2" t="inlineStr">
        <is>
          <t>MDD-40 E2</t>
        </is>
      </c>
      <c r="H294" s="6" t="inlineStr"/>
    </row>
    <row r="295">
      <c r="A295" s="2" t="inlineStr">
        <is>
          <t>A5.1.1</t>
        </is>
      </c>
      <c r="B295" s="2" t="inlineStr">
        <is>
          <t>Hình + danh sách khối ↔ REQ</t>
        </is>
      </c>
      <c r="C295" s="2" t="n">
        <v>3</v>
      </c>
      <c r="D295" s="2" t="inlineStr">
        <is>
          <t>EX-why</t>
        </is>
      </c>
      <c r="E295" s="2" t="inlineStr">
        <is>
          <t>Lớp giải thích</t>
        </is>
      </c>
      <c r="F295" s="2" t="inlineStr">
        <is>
          <t>Vì sao</t>
        </is>
      </c>
      <c r="G295" s="2" t="inlineStr">
        <is>
          <t>MDD-40 E3.1</t>
        </is>
      </c>
      <c r="H295" s="6" t="inlineStr"/>
    </row>
    <row r="296">
      <c r="A296" s="2" t="inlineStr">
        <is>
          <t>A5.1.2</t>
        </is>
      </c>
      <c r="B296" s="2" t="inlineStr">
        <is>
          <t>Đổi tên/ghép/tách khối (form module_graph); đổi tên = sửa trình bày, không STALE</t>
        </is>
      </c>
      <c r="C296" s="2" t="n">
        <v>3</v>
      </c>
      <c r="D296" s="2" t="inlineStr">
        <is>
          <t>HA-edit</t>
        </is>
      </c>
      <c r="E296" s="2" t="inlineStr">
        <is>
          <t>HumanAct</t>
        </is>
      </c>
      <c r="F296" s="2" t="inlineStr">
        <is>
          <t>Sửa hiện vật rồi lưu</t>
        </is>
      </c>
      <c r="G296" s="2" t="inlineStr">
        <is>
          <t>MDD-40 D2</t>
        </is>
      </c>
      <c r="H296" s="6" t="inlineStr"/>
    </row>
    <row r="297">
      <c r="A297" s="2" t="inlineStr">
        <is>
          <t>A5.1.2</t>
        </is>
      </c>
      <c r="B297" s="2" t="inlineStr">
        <is>
          <t>Đổi tên/ghép/tách khối (form module_graph); đổi tên = sửa trình bày, không STALE</t>
        </is>
      </c>
      <c r="C297" s="2" t="n">
        <v>3</v>
      </c>
      <c r="D297" s="2" t="inlineStr">
        <is>
          <t>EDK-content</t>
        </is>
      </c>
      <c r="E297" s="2" t="inlineStr">
        <is>
          <t>Loại sửa của người</t>
        </is>
      </c>
      <c r="F297" s="2" t="inlineStr">
        <is>
          <t>Sửa nội dung → STALE + đề nghị</t>
        </is>
      </c>
      <c r="G297" s="2" t="inlineStr">
        <is>
          <t>MDD-40 E4.1</t>
        </is>
      </c>
      <c r="H297" s="6" t="inlineStr"/>
    </row>
    <row r="298">
      <c r="A298" s="2" t="inlineStr">
        <is>
          <t>A5.1.2</t>
        </is>
      </c>
      <c r="B298" s="2" t="inlineStr">
        <is>
          <t>Đổi tên/ghép/tách khối (form module_graph); đổi tên = sửa trình bày, không STALE</t>
        </is>
      </c>
      <c r="C298" s="2" t="n">
        <v>3</v>
      </c>
      <c r="D298" s="2" t="inlineStr">
        <is>
          <t>EDK-presentation</t>
        </is>
      </c>
      <c r="E298" s="2" t="inlineStr">
        <is>
          <t>Loại sửa của người</t>
        </is>
      </c>
      <c r="F298" s="2" t="inlineStr">
        <is>
          <t>Sửa trình bày → không STALE</t>
        </is>
      </c>
      <c r="G298" s="2" t="inlineStr">
        <is>
          <t>MDD-40 E4.1</t>
        </is>
      </c>
      <c r="H298" s="6" t="inlineStr"/>
    </row>
    <row r="299">
      <c r="A299" s="2" t="inlineStr">
        <is>
          <t>A5.2</t>
        </is>
      </c>
      <c r="B299" s="2" t="inlineStr">
        <is>
          <t>Pinout</t>
        </is>
      </c>
      <c r="C299" s="2" t="n">
        <v>2</v>
      </c>
      <c r="D299" s="2" t="inlineStr">
        <is>
          <t>AR07</t>
        </is>
      </c>
      <c r="E299" s="2" t="inlineStr">
        <is>
          <t>Hiện vật (E2)</t>
        </is>
      </c>
      <c r="F299" s="2" t="inlineStr">
        <is>
          <t>Pinout</t>
        </is>
      </c>
      <c r="G299" s="2" t="inlineStr">
        <is>
          <t>MDD-40 E2</t>
        </is>
      </c>
      <c r="H299" s="6" t="inlineStr"/>
    </row>
    <row r="300">
      <c r="A300" s="2" t="inlineStr">
        <is>
          <t>A5.2.1</t>
        </is>
      </c>
      <c r="B300" s="2" t="inlineStr">
        <is>
          <t>Bảng chân: chức năng, AF, net, xung đột; hình chip</t>
        </is>
      </c>
      <c r="C300" s="2" t="n">
        <v>3</v>
      </c>
      <c r="D300" s="2" t="inlineStr">
        <is>
          <t>AR07</t>
        </is>
      </c>
      <c r="E300" s="2" t="inlineStr">
        <is>
          <t>Hiện vật (E2)</t>
        </is>
      </c>
      <c r="F300" s="2" t="inlineStr">
        <is>
          <t>Pinout</t>
        </is>
      </c>
      <c r="G300" s="2" t="inlineStr">
        <is>
          <t>MDD-40 E2</t>
        </is>
      </c>
      <c r="H300" s="6" t="inlineStr"/>
    </row>
    <row r="301">
      <c r="A301" s="2" t="inlineStr">
        <is>
          <t>A5.2.1</t>
        </is>
      </c>
      <c r="B301" s="2" t="inlineStr">
        <is>
          <t>Bảng chân: chức năng, AF, net, xung đột; hình chip</t>
        </is>
      </c>
      <c r="C301" s="2" t="n">
        <v>3</v>
      </c>
      <c r="D301" s="2" t="inlineStr">
        <is>
          <t>PR2</t>
        </is>
      </c>
      <c r="E301" s="2" t="inlineStr">
        <is>
          <t>Quy tắc trình bày</t>
        </is>
      </c>
      <c r="F301" s="2" t="inlineStr">
        <is>
          <t>Mọi con số là liên kết ra nguồn</t>
        </is>
      </c>
      <c r="G301" s="2" t="inlineStr">
        <is>
          <t>MDD-40 E3.2</t>
        </is>
      </c>
      <c r="H301" s="6" t="inlineStr"/>
    </row>
    <row r="302">
      <c r="A302" s="2" t="inlineStr">
        <is>
          <t>A5.2.2</t>
        </is>
      </c>
      <c r="B302" s="2" t="inlineStr">
        <is>
          <t>Đổi chức năng chân — dropdown chỉ AF có trong Fact</t>
        </is>
      </c>
      <c r="C302" s="2" t="n">
        <v>3</v>
      </c>
      <c r="D302" s="2" t="inlineStr">
        <is>
          <t>HA-edit</t>
        </is>
      </c>
      <c r="E302" s="2" t="inlineStr">
        <is>
          <t>HumanAct</t>
        </is>
      </c>
      <c r="F302" s="2" t="inlineStr">
        <is>
          <t>Sửa hiện vật rồi lưu</t>
        </is>
      </c>
      <c r="G302" s="2" t="inlineStr">
        <is>
          <t>MDD-40 D2</t>
        </is>
      </c>
      <c r="H302" s="6" t="inlineStr"/>
    </row>
    <row r="303">
      <c r="A303" s="2" t="inlineStr">
        <is>
          <t>A5.2.2</t>
        </is>
      </c>
      <c r="B303" s="2" t="inlineStr">
        <is>
          <t>Đổi chức năng chân — dropdown chỉ AF có trong Fact</t>
        </is>
      </c>
      <c r="C303" s="2" t="n">
        <v>3</v>
      </c>
      <c r="D303" s="2" t="inlineStr">
        <is>
          <t>N1</t>
        </is>
      </c>
      <c r="E303" s="2" t="inlineStr">
        <is>
          <t>Nguyên tắc</t>
        </is>
      </c>
      <c r="F303" s="2" t="inlineStr">
        <is>
          <t>Datasheet là nguồn sự thật — mọi con số truy vết tới tài liệu/trang</t>
        </is>
      </c>
      <c r="G303" s="2" t="inlineStr">
        <is>
          <t>MDD-40 A3</t>
        </is>
      </c>
      <c r="H303" s="6" t="inlineStr"/>
    </row>
    <row r="304">
      <c r="A304" s="2" t="inlineStr">
        <is>
          <t>A5.2.2</t>
        </is>
      </c>
      <c r="B304" s="2" t="inlineStr">
        <is>
          <t>Đổi chức năng chân — dropdown chỉ AF có trong Fact</t>
        </is>
      </c>
      <c r="C304" s="2" t="n">
        <v>3</v>
      </c>
      <c r="D304" s="2" t="inlineStr">
        <is>
          <t>ED1</t>
        </is>
      </c>
      <c r="E304" s="2" t="inlineStr">
        <is>
          <t>Đồng bộ khi người sửa</t>
        </is>
      </c>
      <c r="F304" s="2" t="inlineStr">
        <is>
          <t>Sửa trên Surface bằng widget đúng loại; cảnh báo soft-lock</t>
        </is>
      </c>
      <c r="G304" s="2" t="inlineStr">
        <is>
          <t>MDD-40 E4</t>
        </is>
      </c>
      <c r="H304" s="6" t="inlineStr"/>
    </row>
    <row r="305">
      <c r="A305" s="2" t="inlineStr">
        <is>
          <t>A5.3</t>
        </is>
      </c>
      <c r="B305" s="2" t="inlineStr">
        <is>
          <t>Schematic / netlist</t>
        </is>
      </c>
      <c r="C305" s="2" t="n">
        <v>2</v>
      </c>
      <c r="D305" s="2" t="inlineStr">
        <is>
          <t>AR09</t>
        </is>
      </c>
      <c r="E305" s="2" t="inlineStr">
        <is>
          <t>Hiện vật (E2)</t>
        </is>
      </c>
      <c r="F305" s="2" t="inlineStr">
        <is>
          <t>Schematic/netlist</t>
        </is>
      </c>
      <c r="G305" s="2" t="inlineStr">
        <is>
          <t>MDD-40 E2</t>
        </is>
      </c>
      <c r="H305" s="6" t="inlineStr"/>
    </row>
    <row r="306">
      <c r="A306" s="2" t="inlineStr">
        <is>
          <t>A5.3</t>
        </is>
      </c>
      <c r="B306" s="2" t="inlineStr">
        <is>
          <t>Schematic / netlist</t>
        </is>
      </c>
      <c r="C306" s="2" t="n">
        <v>2</v>
      </c>
      <c r="D306" s="2" t="inlineStr">
        <is>
          <t>UC04</t>
        </is>
      </c>
      <c r="E306" s="2" t="inlineStr">
        <is>
          <t>Usecase</t>
        </is>
      </c>
      <c r="F306" s="2" t="inlineStr">
        <is>
          <t>Nhập thiết kế có sẵn → mô phỏng → sửa code</t>
        </is>
      </c>
      <c r="G306" s="2" t="inlineStr">
        <is>
          <t>Excel 76 TC</t>
        </is>
      </c>
      <c r="H306" s="6" t="inlineStr"/>
    </row>
    <row r="307">
      <c r="A307" s="2" t="inlineStr">
        <is>
          <t>A5.3.1</t>
        </is>
      </c>
      <c r="B307" s="2" t="inlineStr">
        <is>
          <t>Netlist viewer + bảng net + hình (nếu có)</t>
        </is>
      </c>
      <c r="C307" s="2" t="n">
        <v>3</v>
      </c>
      <c r="D307" s="2" t="inlineStr">
        <is>
          <t>AR09</t>
        </is>
      </c>
      <c r="E307" s="2" t="inlineStr">
        <is>
          <t>Hiện vật (E2)</t>
        </is>
      </c>
      <c r="F307" s="2" t="inlineStr">
        <is>
          <t>Schematic/netlist</t>
        </is>
      </c>
      <c r="G307" s="2" t="inlineStr">
        <is>
          <t>MDD-40 E2</t>
        </is>
      </c>
      <c r="H307" s="6" t="inlineStr"/>
    </row>
    <row r="308">
      <c r="A308" s="2" t="inlineStr">
        <is>
          <t>A5.3.2</t>
        </is>
      </c>
      <c r="B308" s="2" t="inlineStr">
        <is>
          <t>Sửa netlist trong editor có kiểm lược đồ / nạp tệp mới</t>
        </is>
      </c>
      <c r="C308" s="2" t="n">
        <v>3</v>
      </c>
      <c r="D308" s="2" t="inlineStr">
        <is>
          <t>HA-edit</t>
        </is>
      </c>
      <c r="E308" s="2" t="inlineStr">
        <is>
          <t>HumanAct</t>
        </is>
      </c>
      <c r="F308" s="2" t="inlineStr">
        <is>
          <t>Sửa hiện vật rồi lưu</t>
        </is>
      </c>
      <c r="G308" s="2" t="inlineStr">
        <is>
          <t>MDD-40 D2</t>
        </is>
      </c>
      <c r="H308" s="6" t="inlineStr"/>
    </row>
    <row r="309">
      <c r="A309" s="2" t="inlineStr">
        <is>
          <t>A5.3.2</t>
        </is>
      </c>
      <c r="B309" s="2" t="inlineStr">
        <is>
          <t>Sửa netlist trong editor có kiểm lược đồ / nạp tệp mới</t>
        </is>
      </c>
      <c r="C309" s="2" t="n">
        <v>3</v>
      </c>
      <c r="D309" s="2" t="inlineStr">
        <is>
          <t>HA-upload</t>
        </is>
      </c>
      <c r="E309" s="2" t="inlineStr">
        <is>
          <t>HumanAct</t>
        </is>
      </c>
      <c r="F309" s="2" t="inlineStr">
        <is>
          <t>Kéo thả/chọn tệp</t>
        </is>
      </c>
      <c r="G309" s="2" t="inlineStr">
        <is>
          <t>MDD-40 D2</t>
        </is>
      </c>
      <c r="H309" s="6" t="inlineStr"/>
    </row>
    <row r="310">
      <c r="A310" s="2" t="inlineStr">
        <is>
          <t>A5.3.3</t>
        </is>
      </c>
      <c r="B310" s="2" t="inlineStr">
        <is>
          <t>Mã ≠ schematic: chỉ ra từng điểm, hỏi đâu là nguồn đúng</t>
        </is>
      </c>
      <c r="C310" s="2" t="n">
        <v>3</v>
      </c>
      <c r="D310" s="2" t="inlineStr">
        <is>
          <t>UC04</t>
        </is>
      </c>
      <c r="E310" s="2" t="inlineStr">
        <is>
          <t>Usecase</t>
        </is>
      </c>
      <c r="F310" s="2" t="inlineStr">
        <is>
          <t>Nhập thiết kế có sẵn → mô phỏng → sửa code</t>
        </is>
      </c>
      <c r="G310" s="2" t="inlineStr">
        <is>
          <t>Excel 76 TC</t>
        </is>
      </c>
      <c r="H310" s="6" t="inlineStr"/>
    </row>
    <row r="311">
      <c r="A311" s="2" t="inlineStr">
        <is>
          <t>A5.3.3</t>
        </is>
      </c>
      <c r="B311" s="2" t="inlineStr">
        <is>
          <t>Mã ≠ schematic: chỉ ra từng điểm, hỏi đâu là nguồn đúng</t>
        </is>
      </c>
      <c r="C311" s="2" t="n">
        <v>3</v>
      </c>
      <c r="D311" s="2" t="inlineStr">
        <is>
          <t>HA-confirm</t>
        </is>
      </c>
      <c r="E311" s="2" t="inlineStr">
        <is>
          <t>HumanAct</t>
        </is>
      </c>
      <c r="F311" s="2" t="inlineStr">
        <is>
          <t>Xác nhận/từ chối/sửa Fact hoặc nguồn</t>
        </is>
      </c>
      <c r="G311" s="2" t="inlineStr">
        <is>
          <t>MDD-40 D2</t>
        </is>
      </c>
      <c r="H311" s="6" t="inlineStr"/>
    </row>
    <row r="312">
      <c r="A312" s="2" t="inlineStr">
        <is>
          <t>A5.3.3</t>
        </is>
      </c>
      <c r="B312" s="2" t="inlineStr">
        <is>
          <t>Mã ≠ schematic: chỉ ra từng điểm, hỏi đâu là nguồn đúng</t>
        </is>
      </c>
      <c r="C312" s="2" t="n">
        <v>3</v>
      </c>
      <c r="D312" s="2" t="inlineStr">
        <is>
          <t>G-DESIGN</t>
        </is>
      </c>
      <c r="E312" s="2" t="inlineStr">
        <is>
          <t>Cổng</t>
        </is>
      </c>
      <c r="F312" s="2" t="inlineStr">
        <is>
          <t>Chốt phương án/thiết kế</t>
        </is>
      </c>
      <c r="G312" s="2" t="inlineStr">
        <is>
          <t>MDD-40 B4/E7</t>
        </is>
      </c>
      <c r="H312" s="6" t="inlineStr"/>
    </row>
    <row r="313">
      <c r="A313" s="2" t="inlineStr">
        <is>
          <t>A5.4</t>
        </is>
      </c>
      <c r="B313" s="2" t="inlineStr">
        <is>
          <t>BOM</t>
        </is>
      </c>
      <c r="C313" s="2" t="n">
        <v>2</v>
      </c>
      <c r="D313" s="2" t="inlineStr">
        <is>
          <t>AR10</t>
        </is>
      </c>
      <c r="E313" s="2" t="inlineStr">
        <is>
          <t>Hiện vật (E2)</t>
        </is>
      </c>
      <c r="F313" s="2" t="inlineStr">
        <is>
          <t>BOM</t>
        </is>
      </c>
      <c r="G313" s="2" t="inlineStr">
        <is>
          <t>MDD-40 E2</t>
        </is>
      </c>
      <c r="H313" s="6" t="inlineStr"/>
    </row>
    <row r="314">
      <c r="A314" s="2" t="inlineStr">
        <is>
          <t>A5.4.1</t>
        </is>
      </c>
      <c r="B314" s="2" t="inlineStr">
        <is>
          <t>Bảng: linh kiện, số lượng, datasheet (nút), lý do chọn, tình trạng</t>
        </is>
      </c>
      <c r="C314" s="2" t="n">
        <v>3</v>
      </c>
      <c r="D314" s="2" t="inlineStr">
        <is>
          <t>AR10</t>
        </is>
      </c>
      <c r="E314" s="2" t="inlineStr">
        <is>
          <t>Hiện vật (E2)</t>
        </is>
      </c>
      <c r="F314" s="2" t="inlineStr">
        <is>
          <t>BOM</t>
        </is>
      </c>
      <c r="G314" s="2" t="inlineStr">
        <is>
          <t>MDD-40 E2</t>
        </is>
      </c>
      <c r="H314" s="6" t="inlineStr"/>
    </row>
    <row r="315">
      <c r="A315" s="2" t="inlineStr">
        <is>
          <t>A5.4.1</t>
        </is>
      </c>
      <c r="B315" s="2" t="inlineStr">
        <is>
          <t>Bảng: linh kiện, số lượng, datasheet (nút), lý do chọn, tình trạng</t>
        </is>
      </c>
      <c r="C315" s="2" t="n">
        <v>3</v>
      </c>
      <c r="D315" s="2" t="inlineStr">
        <is>
          <t>PR2</t>
        </is>
      </c>
      <c r="E315" s="2" t="inlineStr">
        <is>
          <t>Quy tắc trình bày</t>
        </is>
      </c>
      <c r="F315" s="2" t="inlineStr">
        <is>
          <t>Mọi con số là liên kết ra nguồn</t>
        </is>
      </c>
      <c r="G315" s="2" t="inlineStr">
        <is>
          <t>MDD-40 E3.2</t>
        </is>
      </c>
      <c r="H315" s="6" t="inlineStr"/>
    </row>
    <row r="316">
      <c r="A316" s="2" t="inlineStr">
        <is>
          <t>A5.4.2</t>
        </is>
      </c>
      <c r="B316" s="2" t="inlineStr">
        <is>
          <t>Thay linh kiện / sửa số lượng</t>
        </is>
      </c>
      <c r="C316" s="2" t="n">
        <v>3</v>
      </c>
      <c r="D316" s="2" t="inlineStr">
        <is>
          <t>HA-edit</t>
        </is>
      </c>
      <c r="E316" s="2" t="inlineStr">
        <is>
          <t>HumanAct</t>
        </is>
      </c>
      <c r="F316" s="2" t="inlineStr">
        <is>
          <t>Sửa hiện vật rồi lưu</t>
        </is>
      </c>
      <c r="G316" s="2" t="inlineStr">
        <is>
          <t>MDD-40 D2</t>
        </is>
      </c>
      <c r="H316" s="6" t="inlineStr"/>
    </row>
    <row r="317">
      <c r="A317" s="2" t="inlineStr">
        <is>
          <t>A5.4.2</t>
        </is>
      </c>
      <c r="B317" s="2" t="inlineStr">
        <is>
          <t>Thay linh kiện / sửa số lượng</t>
        </is>
      </c>
      <c r="C317" s="2" t="n">
        <v>3</v>
      </c>
      <c r="D317" s="2" t="inlineStr">
        <is>
          <t>TL-replace</t>
        </is>
      </c>
      <c r="E317" s="2" t="inlineStr">
        <is>
          <t>Năng lực chuyên môn</t>
        </is>
      </c>
      <c r="F317" s="2" t="inlineStr">
        <is>
          <t>Thay thế linh kiện có phân tích ảnh hưởng</t>
        </is>
      </c>
      <c r="G317" s="2" t="inlineStr">
        <is>
          <t>MDD-40 B3/UC</t>
        </is>
      </c>
      <c r="H317" s="6" t="inlineStr"/>
    </row>
    <row r="318">
      <c r="A318" s="2" t="inlineStr">
        <is>
          <t>A5.5</t>
        </is>
      </c>
      <c r="B318" s="2" t="inlineStr">
        <is>
          <t>Phát hiện ERC / rà soát</t>
        </is>
      </c>
      <c r="C318" s="2" t="n">
        <v>2</v>
      </c>
      <c r="D318" s="2" t="inlineStr">
        <is>
          <t>AR11</t>
        </is>
      </c>
      <c r="E318" s="2" t="inlineStr">
        <is>
          <t>Hiện vật (E2)</t>
        </is>
      </c>
      <c r="F318" s="2" t="inlineStr">
        <is>
          <t>Phát hiện ERC/rà soát</t>
        </is>
      </c>
      <c r="G318" s="2" t="inlineStr">
        <is>
          <t>MDD-40 E2</t>
        </is>
      </c>
      <c r="H318" s="6" t="inlineStr"/>
    </row>
    <row r="319">
      <c r="A319" s="2" t="inlineStr">
        <is>
          <t>A5.5</t>
        </is>
      </c>
      <c r="B319" s="2" t="inlineStr">
        <is>
          <t>Phát hiện ERC / rà soát</t>
        </is>
      </c>
      <c r="C319" s="2" t="n">
        <v>2</v>
      </c>
      <c r="D319" s="2" t="inlineStr">
        <is>
          <t>UC06</t>
        </is>
      </c>
      <c r="E319" s="2" t="inlineStr">
        <is>
          <t>Usecase</t>
        </is>
      </c>
      <c r="F319" s="2" t="inlineStr">
        <is>
          <t>Rà soát thiết kế</t>
        </is>
      </c>
      <c r="G319" s="2" t="inlineStr">
        <is>
          <t>Excel 76 TC</t>
        </is>
      </c>
      <c r="H319" s="6" t="inlineStr"/>
    </row>
    <row r="320">
      <c r="A320" s="2" t="inlineStr">
        <is>
          <t>A5.5.1</t>
        </is>
      </c>
      <c r="B320" s="2" t="inlineStr">
        <is>
          <t>Bảng theo mức: bằng chứng (số + nguồn), hậu quả, cách sửa; bấm → tô sáng net/dòng</t>
        </is>
      </c>
      <c r="C320" s="2" t="n">
        <v>3</v>
      </c>
      <c r="D320" s="2" t="inlineStr">
        <is>
          <t>AR11</t>
        </is>
      </c>
      <c r="E320" s="2" t="inlineStr">
        <is>
          <t>Hiện vật (E2)</t>
        </is>
      </c>
      <c r="F320" s="2" t="inlineStr">
        <is>
          <t>Phát hiện ERC/rà soát</t>
        </is>
      </c>
      <c r="G320" s="2" t="inlineStr">
        <is>
          <t>MDD-40 E2</t>
        </is>
      </c>
      <c r="H320" s="6" t="inlineStr"/>
    </row>
    <row r="321">
      <c r="A321" s="2" t="inlineStr">
        <is>
          <t>A5.5.1</t>
        </is>
      </c>
      <c r="B321" s="2" t="inlineStr">
        <is>
          <t>Bảng theo mức: bằng chứng (số + nguồn), hậu quả, cách sửa; bấm → tô sáng net/dòng</t>
        </is>
      </c>
      <c r="C321" s="2" t="n">
        <v>3</v>
      </c>
      <c r="D321" s="2" t="inlineStr">
        <is>
          <t>UI-surface.highlight</t>
        </is>
      </c>
      <c r="E321" s="2" t="inlineStr">
        <is>
          <t>UICommand</t>
        </is>
      </c>
      <c r="F321" s="2" t="inlineStr">
        <is>
          <t>Tô sáng</t>
        </is>
      </c>
      <c r="G321" s="2" t="inlineStr">
        <is>
          <t>MDD-40 D2</t>
        </is>
      </c>
      <c r="H321" s="6" t="inlineStr"/>
    </row>
    <row r="322">
      <c r="A322" s="2" t="inlineStr">
        <is>
          <t>A5.5.1</t>
        </is>
      </c>
      <c r="B322" s="2" t="inlineStr">
        <is>
          <t>Bảng theo mức: bằng chứng (số + nguồn), hậu quả, cách sửa; bấm → tô sáng net/dòng</t>
        </is>
      </c>
      <c r="C322" s="2" t="n">
        <v>3</v>
      </c>
      <c r="D322" s="2" t="inlineStr">
        <is>
          <t>PR2</t>
        </is>
      </c>
      <c r="E322" s="2" t="inlineStr">
        <is>
          <t>Quy tắc trình bày</t>
        </is>
      </c>
      <c r="F322" s="2" t="inlineStr">
        <is>
          <t>Mọi con số là liên kết ra nguồn</t>
        </is>
      </c>
      <c r="G322" s="2" t="inlineStr">
        <is>
          <t>MDD-40 E3.2</t>
        </is>
      </c>
      <c r="H322" s="6" t="inlineStr"/>
    </row>
    <row r="323">
      <c r="A323" s="2" t="inlineStr">
        <is>
          <t>A5.5.2</t>
        </is>
      </c>
      <c r="B323" s="2" t="inlineStr">
        <is>
          <t>'0 phát hiện' nêu checklist đã rà</t>
        </is>
      </c>
      <c r="C323" s="2" t="n">
        <v>3</v>
      </c>
      <c r="D323" s="2" t="inlineStr">
        <is>
          <t>PR5</t>
        </is>
      </c>
      <c r="E323" s="2" t="inlineStr">
        <is>
          <t>Quy tắc trình bày</t>
        </is>
      </c>
      <c r="F323" s="2" t="inlineStr">
        <is>
          <t>Không giấu thất bại — khối riêng</t>
        </is>
      </c>
      <c r="G323" s="2" t="inlineStr">
        <is>
          <t>MDD-40 E3.2</t>
        </is>
      </c>
      <c r="H323" s="6" t="inlineStr"/>
    </row>
    <row r="324">
      <c r="A324" s="2" t="inlineStr">
        <is>
          <t>A5.5.2</t>
        </is>
      </c>
      <c r="B324" s="2" t="inlineStr">
        <is>
          <t>'0 phát hiện' nêu checklist đã rà</t>
        </is>
      </c>
      <c r="C324" s="2" t="n">
        <v>3</v>
      </c>
      <c r="D324" s="2" t="inlineStr">
        <is>
          <t>N6</t>
        </is>
      </c>
      <c r="E324" s="2" t="inlineStr">
        <is>
          <t>Nguyên tắc</t>
        </is>
      </c>
      <c r="F324" s="2" t="inlineStr">
        <is>
          <t>Không đạt giả — tiêu chí của người; log rỗng ≠ đạt; phần chưa mô phỏng nói rõ</t>
        </is>
      </c>
      <c r="G324" s="2" t="inlineStr">
        <is>
          <t>MDD-40 A3</t>
        </is>
      </c>
      <c r="H324" s="6" t="inlineStr"/>
    </row>
    <row r="325">
      <c r="A325" s="2" t="inlineStr">
        <is>
          <t>A5.5.3</t>
        </is>
      </c>
      <c r="B325" s="2" t="inlineStr">
        <is>
          <t>Chấp nhận rủi ro có lý do / 'không phải lỗi'</t>
        </is>
      </c>
      <c r="C325" s="2" t="n">
        <v>3</v>
      </c>
      <c r="D325" s="2" t="inlineStr">
        <is>
          <t>EDK-reject</t>
        </is>
      </c>
      <c r="E325" s="2" t="inlineStr">
        <is>
          <t>Loại sửa của người</t>
        </is>
      </c>
      <c r="F325" s="2" t="inlineStr">
        <is>
          <t>Bác bỏ → EIDE.md §Đừng</t>
        </is>
      </c>
      <c r="G325" s="2" t="inlineStr">
        <is>
          <t>MDD-40 E4.1</t>
        </is>
      </c>
      <c r="H325" s="6" t="inlineStr"/>
    </row>
    <row r="326">
      <c r="A326" s="2" t="inlineStr">
        <is>
          <t>A5.5.3</t>
        </is>
      </c>
      <c r="B326" s="2" t="inlineStr">
        <is>
          <t>Chấp nhận rủi ro có lý do / 'không phải lỗi'</t>
        </is>
      </c>
      <c r="C326" s="2" t="n">
        <v>3</v>
      </c>
      <c r="D326" s="2" t="inlineStr">
        <is>
          <t>HA-confirm</t>
        </is>
      </c>
      <c r="E326" s="2" t="inlineStr">
        <is>
          <t>HumanAct</t>
        </is>
      </c>
      <c r="F326" s="2" t="inlineStr">
        <is>
          <t>Xác nhận/từ chối/sửa Fact hoặc nguồn</t>
        </is>
      </c>
      <c r="G326" s="2" t="inlineStr">
        <is>
          <t>MDD-40 D2</t>
        </is>
      </c>
      <c r="H326" s="6" t="inlineStr"/>
    </row>
    <row r="327">
      <c r="A327" s="2" t="inlineStr">
        <is>
          <t>A5.5.4</t>
        </is>
      </c>
      <c r="B327" s="2" t="inlineStr">
        <is>
          <t>Chốt thiết kế (→ thẻ G-DESIGN)</t>
        </is>
      </c>
      <c r="C327" s="2" t="n">
        <v>3</v>
      </c>
      <c r="D327" s="2" t="inlineStr">
        <is>
          <t>G-DESIGN</t>
        </is>
      </c>
      <c r="E327" s="2" t="inlineStr">
        <is>
          <t>Cổng</t>
        </is>
      </c>
      <c r="F327" s="2" t="inlineStr">
        <is>
          <t>Chốt phương án/thiết kế</t>
        </is>
      </c>
      <c r="G327" s="2" t="inlineStr">
        <is>
          <t>MDD-40 B4/E7</t>
        </is>
      </c>
      <c r="H327" s="6" t="inlineStr"/>
    </row>
    <row r="328">
      <c r="A328" s="2" t="inlineStr">
        <is>
          <t>A5.5.4</t>
        </is>
      </c>
      <c r="B328" s="2" t="inlineStr">
        <is>
          <t>Chốt thiết kế (→ thẻ G-DESIGN)</t>
        </is>
      </c>
      <c r="C328" s="2" t="n">
        <v>3</v>
      </c>
      <c r="D328" s="2" t="inlineStr">
        <is>
          <t>HA-decide</t>
        </is>
      </c>
      <c r="E328" s="2" t="inlineStr">
        <is>
          <t>HumanAct</t>
        </is>
      </c>
      <c r="F328" s="2" t="inlineStr">
        <is>
          <t>Quyết định cổng</t>
        </is>
      </c>
      <c r="G328" s="2" t="inlineStr">
        <is>
          <t>MDD-40 D2</t>
        </is>
      </c>
      <c r="H328" s="6" t="inlineStr"/>
    </row>
    <row r="329">
      <c r="A329" s="2" t="inlineStr">
        <is>
          <t>A5.8</t>
        </is>
      </c>
      <c r="B329" s="2" t="inlineStr">
        <is>
          <t>Sơ đồ nguyên lý KiCad (SCH-44, cờ features.schematic)</t>
        </is>
      </c>
      <c r="C329" s="2" t="n">
        <v>2</v>
      </c>
      <c r="D329" s="2" t="inlineStr">
        <is>
          <t>SCH-17</t>
        </is>
      </c>
      <c r="E329" s="2" t="inlineStr">
        <is>
          <t>Sơ đồ KiCad (SCH-44)</t>
        </is>
      </c>
      <c r="F329" s="2" t="inlineStr">
        <is>
          <t>Cờ features.schematic mặc định tắt; tắt = không có nhánh mã sch nào chạy</t>
        </is>
      </c>
      <c r="G329" s="2" t="inlineStr">
        <is>
          <t>EIDE-SCH-44</t>
        </is>
      </c>
      <c r="H329" s="6" t="inlineStr"/>
    </row>
    <row r="330">
      <c r="A330" s="2" t="inlineStr">
        <is>
          <t>A5.8</t>
        </is>
      </c>
      <c r="B330" s="2" t="inlineStr">
        <is>
          <t>Sơ đồ nguyên lý KiCad (SCH-44, cờ features.schematic)</t>
        </is>
      </c>
      <c r="C330" s="2" t="n">
        <v>2</v>
      </c>
      <c r="D330" s="2" t="inlineStr">
        <is>
          <t>SCH-18</t>
        </is>
      </c>
      <c r="E330" s="2" t="inlineStr">
        <is>
          <t>Sơ đồ KiCad (SCH-44)</t>
        </is>
      </c>
      <c r="F330" s="2" t="inlineStr">
        <is>
          <t>Không đổi hợp đồng tool cũ; lược đồ chỉ cộng thêm; migration có down()</t>
        </is>
      </c>
      <c r="G330" s="2" t="inlineStr">
        <is>
          <t>EIDE-SCH-44</t>
        </is>
      </c>
      <c r="H330" s="6" t="inlineStr"/>
    </row>
    <row r="331">
      <c r="A331" s="2" t="inlineStr">
        <is>
          <t>A5.8</t>
        </is>
      </c>
      <c r="B331" s="2" t="inlineStr">
        <is>
          <t>Sơ đồ nguyên lý KiCad (SCH-44, cờ features.schematic)</t>
        </is>
      </c>
      <c r="C331" s="2" t="n">
        <v>2</v>
      </c>
      <c r="D331" s="2" t="inlineStr">
        <is>
          <t>SCH-22</t>
        </is>
      </c>
      <c r="E331" s="2" t="inlineStr">
        <is>
          <t>Sơ đồ KiCad (SCH-44)</t>
        </is>
      </c>
      <c r="F331" s="2" t="inlineStr">
        <is>
          <t>PCB/Gerber vẫn ngoài phạm vi</t>
        </is>
      </c>
      <c r="G331" s="2" t="inlineStr">
        <is>
          <t>EIDE-SCH-44</t>
        </is>
      </c>
      <c r="H331" s="6" t="inlineStr"/>
    </row>
    <row r="332">
      <c r="A332" s="2" t="inlineStr">
        <is>
          <t>A5.8.1</t>
        </is>
      </c>
      <c r="B332" s="2" t="inlineStr">
        <is>
          <t>Nút 'Sinh sơ đồ KiCad' (flat/hierarchical, chọn module)</t>
        </is>
      </c>
      <c r="C332" s="2" t="n">
        <v>3</v>
      </c>
      <c r="D332" s="2" t="inlineStr">
        <is>
          <t>SCH-01</t>
        </is>
      </c>
      <c r="E332" s="2" t="inlineStr">
        <is>
          <t>Sơ đồ KiCad (SCH-44)</t>
        </is>
      </c>
      <c r="F332" s="2" t="inlineStr">
        <is>
          <t>Sinh sơ đồ từ CKM qua SKiDL; mô hình viết SKiDL, mã kiểm</t>
        </is>
      </c>
      <c r="G332" s="2" t="inlineStr">
        <is>
          <t>EIDE-SCH-44</t>
        </is>
      </c>
      <c r="H332" s="6" t="inlineStr"/>
    </row>
    <row r="333">
      <c r="A333" s="2" t="inlineStr">
        <is>
          <t>A5.8.1</t>
        </is>
      </c>
      <c r="B333" s="2" t="inlineStr">
        <is>
          <t>Nút 'Sinh sơ đồ KiCad' (flat/hierarchical, chọn module)</t>
        </is>
      </c>
      <c r="C333" s="2" t="n">
        <v>3</v>
      </c>
      <c r="D333" s="2" t="inlineStr">
        <is>
          <t>SCH-04</t>
        </is>
      </c>
      <c r="E333" s="2" t="inlineStr">
        <is>
          <t>Sơ đồ KiCad (SCH-44)</t>
        </is>
      </c>
      <c r="F333" s="2" t="inlineStr">
        <is>
          <t>Style flat/hierarchical; chọn module</t>
        </is>
      </c>
      <c r="G333" s="2" t="inlineStr">
        <is>
          <t>EIDE-SCH-44</t>
        </is>
      </c>
      <c r="H333" s="6" t="inlineStr"/>
    </row>
    <row r="334">
      <c r="A334" s="2" t="inlineStr">
        <is>
          <t>A5.8.1</t>
        </is>
      </c>
      <c r="B334" s="2" t="inlineStr">
        <is>
          <t>Nút 'Sinh sơ đồ KiCad' (flat/hierarchical, chọn module)</t>
        </is>
      </c>
      <c r="C334" s="2" t="n">
        <v>3</v>
      </c>
      <c r="D334" s="2" t="inlineStr">
        <is>
          <t>HA-say</t>
        </is>
      </c>
      <c r="E334" s="2" t="inlineStr">
        <is>
          <t>HumanAct</t>
        </is>
      </c>
      <c r="F334" s="2" t="inlineStr">
        <is>
          <t>Gõ tự do</t>
        </is>
      </c>
      <c r="G334" s="2" t="inlineStr">
        <is>
          <t>MDD-40 D2</t>
        </is>
      </c>
      <c r="H334" s="6" t="inlineStr"/>
    </row>
    <row r="335">
      <c r="A335" s="2" t="inlineStr">
        <is>
          <t>A5.8.2</t>
        </is>
      </c>
      <c r="B335" s="2" t="inlineStr">
        <is>
          <t>SVG tương tác (renderer nội bộ): bấm ký hiệu → Fact/nguồn/BOM; bấm net → tô sáng + ERC; hover chân → AF</t>
        </is>
      </c>
      <c r="C335" s="2" t="n">
        <v>3</v>
      </c>
      <c r="D335" s="2" t="inlineStr">
        <is>
          <t>SCH-06</t>
        </is>
      </c>
      <c r="E335" s="2" t="inlineStr">
        <is>
          <t>Sơ đồ KiCad (SCH-44)</t>
        </is>
      </c>
      <c r="F335" s="2" t="inlineStr">
        <is>
          <t>Render SVG có id theo ref/net</t>
        </is>
      </c>
      <c r="G335" s="2" t="inlineStr">
        <is>
          <t>EIDE-SCH-44</t>
        </is>
      </c>
      <c r="H335" s="6" t="inlineStr"/>
    </row>
    <row r="336">
      <c r="A336" s="2" t="inlineStr">
        <is>
          <t>A5.8.2</t>
        </is>
      </c>
      <c r="B336" s="2" t="inlineStr">
        <is>
          <t>SVG tương tác (renderer nội bộ): bấm ký hiệu → Fact/nguồn/BOM; bấm net → tô sáng + ERC; hover chân → AF</t>
        </is>
      </c>
      <c r="C336" s="2" t="n">
        <v>3</v>
      </c>
      <c r="D336" s="2" t="inlineStr">
        <is>
          <t>SCH-07</t>
        </is>
      </c>
      <c r="E336" s="2" t="inlineStr">
        <is>
          <t>Sơ đồ KiCad (SCH-44)</t>
        </is>
      </c>
      <c r="F336" s="2" t="inlineStr">
        <is>
          <t>Tương tác: ký hiệu → Fact/nguồn; net → tô sáng + ERC</t>
        </is>
      </c>
      <c r="G336" s="2" t="inlineStr">
        <is>
          <t>EIDE-SCH-44</t>
        </is>
      </c>
      <c r="H336" s="6" t="inlineStr"/>
    </row>
    <row r="337">
      <c r="A337" s="2" t="inlineStr">
        <is>
          <t>A5.8.2</t>
        </is>
      </c>
      <c r="B337" s="2" t="inlineStr">
        <is>
          <t>SVG tương tác (renderer nội bộ): bấm ký hiệu → Fact/nguồn/BOM; bấm net → tô sáng + ERC; hover chân → AF</t>
        </is>
      </c>
      <c r="C337" s="2" t="n">
        <v>3</v>
      </c>
      <c r="D337" s="2" t="inlineStr">
        <is>
          <t>SCH-08</t>
        </is>
      </c>
      <c r="E337" s="2" t="inlineStr">
        <is>
          <t>Sơ đồ KiCad (SCH-44)</t>
        </is>
      </c>
      <c r="F337" s="2" t="inlineStr">
        <is>
          <t>Renderer nội bộ là đường chính; suy giảm về sơ đồ khối</t>
        </is>
      </c>
      <c r="G337" s="2" t="inlineStr">
        <is>
          <t>EIDE-SCH-44</t>
        </is>
      </c>
      <c r="H337" s="6" t="inlineStr"/>
    </row>
    <row r="338">
      <c r="A338" s="2" t="inlineStr">
        <is>
          <t>A5.8.3</t>
        </is>
      </c>
      <c r="B338" s="2" t="inlineStr">
        <is>
          <t>Băng chất lượng bố cục (0 chồng / 0 cắt / % nhãn) + nút 'Bố cục lại'</t>
        </is>
      </c>
      <c r="C338" s="2" t="n">
        <v>3</v>
      </c>
      <c r="D338" s="2" t="inlineStr">
        <is>
          <t>SCH-05</t>
        </is>
      </c>
      <c r="E338" s="2" t="inlineStr">
        <is>
          <t>Sơ đồ KiCad (SCH-44)</t>
        </is>
      </c>
      <c r="F338" s="2" t="inlineStr">
        <is>
          <t>Bố cục theo module với tiêu chí số; xác định, lặp lại được</t>
        </is>
      </c>
      <c r="G338" s="2" t="inlineStr">
        <is>
          <t>EIDE-SCH-44</t>
        </is>
      </c>
      <c r="H338" s="6" t="inlineStr"/>
    </row>
    <row r="339">
      <c r="A339" s="2" t="inlineStr">
        <is>
          <t>A5.8.3</t>
        </is>
      </c>
      <c r="B339" s="2" t="inlineStr">
        <is>
          <t>Băng chất lượng bố cục (0 chồng / 0 cắt / % nhãn) + nút 'Bố cục lại'</t>
        </is>
      </c>
      <c r="C339" s="2" t="n">
        <v>3</v>
      </c>
      <c r="D339" s="2" t="inlineStr">
        <is>
          <t>HA-say</t>
        </is>
      </c>
      <c r="E339" s="2" t="inlineStr">
        <is>
          <t>HumanAct</t>
        </is>
      </c>
      <c r="F339" s="2" t="inlineStr">
        <is>
          <t>Gõ tự do</t>
        </is>
      </c>
      <c r="G339" s="2" t="inlineStr">
        <is>
          <t>MDD-40 D2</t>
        </is>
      </c>
      <c r="H339" s="6" t="inlineStr"/>
    </row>
    <row r="340">
      <c r="A340" s="2" t="inlineStr">
        <is>
          <t>A5.8.4</t>
        </is>
      </c>
      <c r="B340" s="2" t="inlineStr">
        <is>
          <t>Mức render đang dùng (nội bộ / sơ đồ khối); không bao giờ đề nghị cài KiCad</t>
        </is>
      </c>
      <c r="C340" s="2" t="n">
        <v>3</v>
      </c>
      <c r="D340" s="2" t="inlineStr">
        <is>
          <t>SCH-08</t>
        </is>
      </c>
      <c r="E340" s="2" t="inlineStr">
        <is>
          <t>Sơ đồ KiCad (SCH-44)</t>
        </is>
      </c>
      <c r="F340" s="2" t="inlineStr">
        <is>
          <t>Renderer nội bộ là đường chính; suy giảm về sơ đồ khối</t>
        </is>
      </c>
      <c r="G340" s="2" t="inlineStr">
        <is>
          <t>EIDE-SCH-44</t>
        </is>
      </c>
      <c r="H340" s="6" t="inlineStr"/>
    </row>
    <row r="341">
      <c r="A341" s="2" t="inlineStr">
        <is>
          <t>A5.8.4</t>
        </is>
      </c>
      <c r="B341" s="2" t="inlineStr">
        <is>
          <t>Mức render đang dùng (nội bộ / sơ đồ khối); không bao giờ đề nghị cài KiCad</t>
        </is>
      </c>
      <c r="C341" s="2" t="n">
        <v>3</v>
      </c>
      <c r="D341" s="2" t="inlineStr">
        <is>
          <t>SCH-09</t>
        </is>
      </c>
      <c r="E341" s="2" t="inlineStr">
        <is>
          <t>Sơ đồ KiCad (SCH-44)</t>
        </is>
      </c>
      <c r="F341" s="2" t="inlineStr">
        <is>
          <t>Không cài/không gọi/không đề nghị cài KiCad trên máy; thư viện ký hiệu chỉ là dữ liệu qua G-DATA</t>
        </is>
      </c>
      <c r="G341" s="2" t="inlineStr">
        <is>
          <t>EIDE-SCH-44</t>
        </is>
      </c>
      <c r="H341" s="6" t="inlineStr"/>
    </row>
    <row r="342">
      <c r="A342" s="2" t="inlineStr">
        <is>
          <t>A5.8.5</t>
        </is>
      </c>
      <c r="B342" s="2" t="inlineStr">
        <is>
          <t>Diff sơ đồ v(n-1)→v(n) bằng lời + tô</t>
        </is>
      </c>
      <c r="C342" s="2" t="n">
        <v>3</v>
      </c>
      <c r="D342" s="2" t="inlineStr">
        <is>
          <t>SCH-10</t>
        </is>
      </c>
      <c r="E342" s="2" t="inlineStr">
        <is>
          <t>Sơ đồ KiCad (SCH-44)</t>
        </is>
      </c>
      <c r="F342" s="2" t="inlineStr">
        <is>
          <t>Diff sơ đồ bằng lời (E3)</t>
        </is>
      </c>
      <c r="G342" s="2" t="inlineStr">
        <is>
          <t>EIDE-SCH-44</t>
        </is>
      </c>
      <c r="H342" s="6" t="inlineStr"/>
    </row>
    <row r="343">
      <c r="A343" s="2" t="inlineStr">
        <is>
          <t>A5.8.5</t>
        </is>
      </c>
      <c r="B343" s="2" t="inlineStr">
        <is>
          <t>Diff sơ đồ v(n-1)→v(n) bằng lời + tô</t>
        </is>
      </c>
      <c r="C343" s="2" t="n">
        <v>3</v>
      </c>
      <c r="D343" s="2" t="inlineStr">
        <is>
          <t>EX-diff_prev</t>
        </is>
      </c>
      <c r="E343" s="2" t="inlineStr">
        <is>
          <t>Lớp giải thích</t>
        </is>
      </c>
      <c r="F343" s="2" t="inlineStr">
        <is>
          <t>Khác bản trước</t>
        </is>
      </c>
      <c r="G343" s="2" t="inlineStr">
        <is>
          <t>MDD-40 E3.1</t>
        </is>
      </c>
      <c r="H343" s="6" t="inlineStr"/>
    </row>
    <row r="344">
      <c r="A344" s="2" t="inlineStr">
        <is>
          <t>A5.8.6</t>
        </is>
      </c>
      <c r="B344" s="2" t="inlineStr">
        <is>
          <t>Xuất gói (mở ở máy có KiCad) · Nạp lại · thẻ hỏi khi CKM ≠ sơ đồ</t>
        </is>
      </c>
      <c r="C344" s="2" t="n">
        <v>3</v>
      </c>
      <c r="D344" s="2" t="inlineStr">
        <is>
          <t>SCH-11</t>
        </is>
      </c>
      <c r="E344" s="2" t="inlineStr">
        <is>
          <t>Sơ đồ KiCad (SCH-44)</t>
        </is>
      </c>
      <c r="F344" s="2" t="inlineStr">
        <is>
          <t>Xuất gói để mở ở máy khác; theo dõi mtime; Nạp lại</t>
        </is>
      </c>
      <c r="G344" s="2" t="inlineStr">
        <is>
          <t>EIDE-SCH-44</t>
        </is>
      </c>
      <c r="H344" s="6" t="inlineStr"/>
    </row>
    <row r="345">
      <c r="A345" s="2" t="inlineStr">
        <is>
          <t>A5.8.6</t>
        </is>
      </c>
      <c r="B345" s="2" t="inlineStr">
        <is>
          <t>Xuất gói (mở ở máy có KiCad) · Nạp lại · thẻ hỏi khi CKM ≠ sơ đồ</t>
        </is>
      </c>
      <c r="C345" s="2" t="n">
        <v>3</v>
      </c>
      <c r="D345" s="2" t="inlineStr">
        <is>
          <t>SCH-12</t>
        </is>
      </c>
      <c r="E345" s="2" t="inlineStr">
        <is>
          <t>Sơ đồ KiCad (SCH-44)</t>
        </is>
      </c>
      <c r="F345" s="2" t="inlineStr">
        <is>
          <t>Round-trip phân loại thay đổi: bố cục / giá trị / cấu trúc</t>
        </is>
      </c>
      <c r="G345" s="2" t="inlineStr">
        <is>
          <t>EIDE-SCH-44</t>
        </is>
      </c>
      <c r="H345" s="6" t="inlineStr"/>
    </row>
    <row r="346">
      <c r="A346" s="2" t="inlineStr">
        <is>
          <t>A5.8.6</t>
        </is>
      </c>
      <c r="B346" s="2" t="inlineStr">
        <is>
          <t>Xuất gói (mở ở máy có KiCad) · Nạp lại · thẻ hỏi khi CKM ≠ sơ đồ</t>
        </is>
      </c>
      <c r="C346" s="2" t="n">
        <v>3</v>
      </c>
      <c r="D346" s="2" t="inlineStr">
        <is>
          <t>SCH-13</t>
        </is>
      </c>
      <c r="E346" s="2" t="inlineStr">
        <is>
          <t>Sơ đồ KiCad (SCH-44)</t>
        </is>
      </c>
      <c r="F346" s="2" t="inlineStr">
        <is>
          <t>Thay đổi cấu trúc từ KiCad → thẻ hỏi, không ghi đè CKM im lặng</t>
        </is>
      </c>
      <c r="G346" s="2" t="inlineStr">
        <is>
          <t>EIDE-SCH-44</t>
        </is>
      </c>
      <c r="H346" s="6" t="inlineStr"/>
    </row>
    <row r="347">
      <c r="A347" s="2" t="inlineStr">
        <is>
          <t>A5.8.6</t>
        </is>
      </c>
      <c r="B347" s="2" t="inlineStr">
        <is>
          <t>Xuất gói (mở ở máy có KiCad) · Nạp lại · thẻ hỏi khi CKM ≠ sơ đồ</t>
        </is>
      </c>
      <c r="C347" s="2" t="n">
        <v>3</v>
      </c>
      <c r="D347" s="2" t="inlineStr">
        <is>
          <t>HA-upload</t>
        </is>
      </c>
      <c r="E347" s="2" t="inlineStr">
        <is>
          <t>HumanAct</t>
        </is>
      </c>
      <c r="F347" s="2" t="inlineStr">
        <is>
          <t>Kéo thả/chọn tệp</t>
        </is>
      </c>
      <c r="G347" s="2" t="inlineStr">
        <is>
          <t>MDD-40 D2</t>
        </is>
      </c>
      <c r="H347" s="6" t="inlineStr"/>
    </row>
    <row r="348">
      <c r="A348" s="2" t="inlineStr">
        <is>
          <t>A5.8.7</t>
        </is>
      </c>
      <c r="B348" s="2" t="inlineStr">
        <is>
          <t>Symbol sinh từ Fact: xem, xác nhận, sửa kiểu chân; symbol lib đối chiếu Fact</t>
        </is>
      </c>
      <c r="C348" s="2" t="n">
        <v>3</v>
      </c>
      <c r="D348" s="2" t="inlineStr">
        <is>
          <t>SCH-14</t>
        </is>
      </c>
      <c r="E348" s="2" t="inlineStr">
        <is>
          <t>Sơ đồ KiCad (SCH-44)</t>
        </is>
      </c>
      <c r="F348" s="2" t="inlineStr">
        <is>
          <t>Symbol lib chính thức đối chiếu Fact ≥ 95 %</t>
        </is>
      </c>
      <c r="G348" s="2" t="inlineStr">
        <is>
          <t>EIDE-SCH-44</t>
        </is>
      </c>
      <c r="H348" s="6" t="inlineStr"/>
    </row>
    <row r="349">
      <c r="A349" s="2" t="inlineStr">
        <is>
          <t>A5.8.7</t>
        </is>
      </c>
      <c r="B349" s="2" t="inlineStr">
        <is>
          <t>Symbol sinh từ Fact: xem, xác nhận, sửa kiểu chân; symbol lib đối chiếu Fact</t>
        </is>
      </c>
      <c r="C349" s="2" t="n">
        <v>3</v>
      </c>
      <c r="D349" s="2" t="inlineStr">
        <is>
          <t>SCH-15</t>
        </is>
      </c>
      <c r="E349" s="2" t="inlineStr">
        <is>
          <t>Sơ đồ KiCad (SCH-44)</t>
        </is>
      </c>
      <c r="F349" s="2" t="inlineStr">
        <is>
          <t>Symbol sinh từ Fact có ghi nguồn</t>
        </is>
      </c>
      <c r="G349" s="2" t="inlineStr">
        <is>
          <t>EIDE-SCH-44</t>
        </is>
      </c>
      <c r="H349" s="6" t="inlineStr"/>
    </row>
    <row r="350">
      <c r="A350" s="2" t="inlineStr">
        <is>
          <t>A5.8.7</t>
        </is>
      </c>
      <c r="B350" s="2" t="inlineStr">
        <is>
          <t>Symbol sinh từ Fact: xem, xác nhận, sửa kiểu chân; symbol lib đối chiếu Fact</t>
        </is>
      </c>
      <c r="C350" s="2" t="n">
        <v>3</v>
      </c>
      <c r="D350" s="2" t="inlineStr">
        <is>
          <t>HA-confirm</t>
        </is>
      </c>
      <c r="E350" s="2" t="inlineStr">
        <is>
          <t>HumanAct</t>
        </is>
      </c>
      <c r="F350" s="2" t="inlineStr">
        <is>
          <t>Xác nhận/từ chối/sửa Fact hoặc nguồn</t>
        </is>
      </c>
      <c r="G350" s="2" t="inlineStr">
        <is>
          <t>MDD-40 D2</t>
        </is>
      </c>
      <c r="H350" s="6" t="inlineStr"/>
    </row>
    <row r="351">
      <c r="A351" s="2" t="inlineStr">
        <is>
          <t>A5.8.8</t>
        </is>
      </c>
      <c r="B351" s="2" t="inlineStr">
        <is>
          <t>Cảnh báo pinout chưa duyệt (E7002) / netlist lệch CKM (E7001) với nút nạp datasheet</t>
        </is>
      </c>
      <c r="C351" s="2" t="n">
        <v>3</v>
      </c>
      <c r="D351" s="2" t="inlineStr">
        <is>
          <t>SCH-02</t>
        </is>
      </c>
      <c r="E351" s="2" t="inlineStr">
        <is>
          <t>Sơ đồ KiCad (SCH-44)</t>
        </is>
      </c>
      <c r="F351" s="2" t="inlineStr">
        <is>
          <t>Netlist sinh ra đẳng cấu với CKM; lệch → E7001, dừng</t>
        </is>
      </c>
      <c r="G351" s="2" t="inlineStr">
        <is>
          <t>EIDE-SCH-44</t>
        </is>
      </c>
      <c r="H351" s="6" t="inlineStr"/>
    </row>
    <row r="352">
      <c r="A352" s="2" t="inlineStr">
        <is>
          <t>A5.8.8</t>
        </is>
      </c>
      <c r="B352" s="2" t="inlineStr">
        <is>
          <t>Cảnh báo pinout chưa duyệt (E7002) / netlist lệch CKM (E7001) với nút nạp datasheet</t>
        </is>
      </c>
      <c r="C352" s="2" t="n">
        <v>3</v>
      </c>
      <c r="D352" s="2" t="inlineStr">
        <is>
          <t>SCH-03</t>
        </is>
      </c>
      <c r="E352" s="2" t="inlineStr">
        <is>
          <t>Sơ đồ KiCad (SCH-44)</t>
        </is>
      </c>
      <c r="F352" s="2" t="inlineStr">
        <is>
          <t>Không bịa chân: pinout phải ≥ NGƯỜI; thiếu → E7002</t>
        </is>
      </c>
      <c r="G352" s="2" t="inlineStr">
        <is>
          <t>EIDE-SCH-44</t>
        </is>
      </c>
      <c r="H352" s="6" t="inlineStr"/>
    </row>
    <row r="353">
      <c r="A353" s="2" t="inlineStr">
        <is>
          <t>A5.8.8</t>
        </is>
      </c>
      <c r="B353" s="2" t="inlineStr">
        <is>
          <t>Cảnh báo pinout chưa duyệt (E7002) / netlist lệch CKM (E7001) với nút nạp datasheet</t>
        </is>
      </c>
      <c r="C353" s="2" t="n">
        <v>3</v>
      </c>
      <c r="D353" s="2" t="inlineStr">
        <is>
          <t>DS1</t>
        </is>
      </c>
      <c r="E353" s="2" t="inlineStr">
        <is>
          <t>Luồng datasheet</t>
        </is>
      </c>
      <c r="F353" s="2" t="inlineStr">
        <is>
          <t>Kích hoạt: nạp tệp hoặc thẻ đề nghị 3 lựa chọn</t>
        </is>
      </c>
      <c r="G353" s="2" t="inlineStr">
        <is>
          <t>MDD-40 C3</t>
        </is>
      </c>
      <c r="H353" s="6" t="inlineStr"/>
    </row>
    <row r="354">
      <c r="A354" s="2" t="inlineStr">
        <is>
          <t>A5.8.9</t>
        </is>
      </c>
      <c r="B354" s="2" t="inlineStr">
        <is>
          <t>Xuất gói sch (.kicad_sch + .kicad_sym + .net + SVG) vào snapshot</t>
        </is>
      </c>
      <c r="C354" s="2" t="n">
        <v>3</v>
      </c>
      <c r="D354" s="2" t="inlineStr">
        <is>
          <t>SCH-16</t>
        </is>
      </c>
      <c r="E354" s="2" t="inlineStr">
        <is>
          <t>Sơ đồ KiCad (SCH-44)</t>
        </is>
      </c>
      <c r="F354" s="2" t="inlineStr">
        <is>
          <t>Gói sch vào snapshot/release</t>
        </is>
      </c>
      <c r="G354" s="2" t="inlineStr">
        <is>
          <t>EIDE-SCH-44</t>
        </is>
      </c>
      <c r="H354" s="6" t="inlineStr"/>
    </row>
    <row r="355">
      <c r="A355" s="2" t="inlineStr">
        <is>
          <t>A5.8.9</t>
        </is>
      </c>
      <c r="B355" s="2" t="inlineStr">
        <is>
          <t>Xuất gói sch (.kicad_sch + .kicad_sym + .net + SVG) vào snapshot</t>
        </is>
      </c>
      <c r="C355" s="2" t="n">
        <v>3</v>
      </c>
      <c r="D355" s="2" t="inlineStr">
        <is>
          <t>SN-human</t>
        </is>
      </c>
      <c r="E355" s="2" t="inlineStr">
        <is>
          <t>Snapshot</t>
        </is>
      </c>
      <c r="F355" s="2" t="inlineStr">
        <is>
          <t>Người ghi bản ưng ý bất cứ lúc nào</t>
        </is>
      </c>
      <c r="G355" s="2" t="inlineStr">
        <is>
          <t>MDD-40 E6</t>
        </is>
      </c>
      <c r="H355" s="6" t="inlineStr"/>
    </row>
    <row r="356">
      <c r="A356" s="2" t="inlineStr">
        <is>
          <t>A5.8.10</t>
        </is>
      </c>
      <c r="B356" s="2" t="inlineStr">
        <is>
          <t>Giữ bố cục người đã sửa khi sinh lại (uuid theo ref); ghi đè tệp người sửa → G-FILE</t>
        </is>
      </c>
      <c r="C356" s="2" t="n">
        <v>3</v>
      </c>
      <c r="D356" s="2" t="inlineStr">
        <is>
          <t>SCH-20</t>
        </is>
      </c>
      <c r="E356" s="2" t="inlineStr">
        <is>
          <t>Sơ đồ KiCad (SCH-44)</t>
        </is>
      </c>
      <c r="F356" s="2" t="inlineStr">
        <is>
          <t>uuid ổn định theo ref; giữ bố cục người đã sửa khi sinh lại</t>
        </is>
      </c>
      <c r="G356" s="2" t="inlineStr">
        <is>
          <t>EIDE-SCH-44</t>
        </is>
      </c>
      <c r="H356" s="6" t="inlineStr"/>
    </row>
    <row r="357">
      <c r="A357" s="2" t="inlineStr">
        <is>
          <t>A5.8.10</t>
        </is>
      </c>
      <c r="B357" s="2" t="inlineStr">
        <is>
          <t>Giữ bố cục người đã sửa khi sinh lại (uuid theo ref); ghi đè tệp người sửa → G-FILE</t>
        </is>
      </c>
      <c r="C357" s="2" t="n">
        <v>3</v>
      </c>
      <c r="D357" s="2" t="inlineStr">
        <is>
          <t>SCH-21</t>
        </is>
      </c>
      <c r="E357" s="2" t="inlineStr">
        <is>
          <t>Sơ đồ KiCad (SCH-44)</t>
        </is>
      </c>
      <c r="F357" s="2" t="inlineStr">
        <is>
          <t>Mọi tệp sch là changeset hoàn tác được; G-FILE khi ghi đè tệp người sửa</t>
        </is>
      </c>
      <c r="G357" s="2" t="inlineStr">
        <is>
          <t>EIDE-SCH-44</t>
        </is>
      </c>
      <c r="H357" s="6" t="inlineStr"/>
    </row>
    <row r="358">
      <c r="A358" s="2" t="inlineStr">
        <is>
          <t>A5.8.10</t>
        </is>
      </c>
      <c r="B358" s="2" t="inlineStr">
        <is>
          <t>Giữ bố cục người đã sửa khi sinh lại (uuid theo ref); ghi đè tệp người sửa → G-FILE</t>
        </is>
      </c>
      <c r="C358" s="2" t="n">
        <v>3</v>
      </c>
      <c r="D358" s="2" t="inlineStr">
        <is>
          <t>G-FILE</t>
        </is>
      </c>
      <c r="E358" s="2" t="inlineStr">
        <is>
          <t>Cổng</t>
        </is>
      </c>
      <c r="F358" s="2" t="inlineStr">
        <is>
          <t>Ghi đè tệp người đã sửa</t>
        </is>
      </c>
      <c r="G358" s="2" t="inlineStr">
        <is>
          <t>MDD-40 B4/E7</t>
        </is>
      </c>
      <c r="H358" s="6" t="inlineStr"/>
    </row>
    <row r="359">
      <c r="A359" s="2" t="inlineStr">
        <is>
          <t>A5.8.11</t>
        </is>
      </c>
      <c r="B359" s="2" t="inlineStr">
        <is>
          <t>Kết quả hồi quy hai chế độ (cờ tắt/bật) trước khi bật tính năng</t>
        </is>
      </c>
      <c r="C359" s="2" t="n">
        <v>3</v>
      </c>
      <c r="D359" s="2" t="inlineStr">
        <is>
          <t>SCH-19</t>
        </is>
      </c>
      <c r="E359" s="2" t="inlineStr">
        <is>
          <t>Sơ đồ KiCad (SCH-44)</t>
        </is>
      </c>
      <c r="F359" s="2" t="inlineStr">
        <is>
          <t>Hồi quy hai chế độ giống 100 % trước khi merge</t>
        </is>
      </c>
      <c r="G359" s="2" t="inlineStr">
        <is>
          <t>EIDE-SCH-44</t>
        </is>
      </c>
      <c r="H359" s="6" t="inlineStr"/>
    </row>
    <row r="360">
      <c r="A360" s="2" t="inlineStr">
        <is>
          <t>A5.8.11</t>
        </is>
      </c>
      <c r="B360" s="2" t="inlineStr">
        <is>
          <t>Kết quả hồi quy hai chế độ (cờ tắt/bật) trước khi bật tính năng</t>
        </is>
      </c>
      <c r="C360" s="2" t="n">
        <v>3</v>
      </c>
      <c r="D360" s="2" t="inlineStr">
        <is>
          <t>SCH-17</t>
        </is>
      </c>
      <c r="E360" s="2" t="inlineStr">
        <is>
          <t>Sơ đồ KiCad (SCH-44)</t>
        </is>
      </c>
      <c r="F360" s="2" t="inlineStr">
        <is>
          <t>Cờ features.schematic mặc định tắt; tắt = không có nhánh mã sch nào chạy</t>
        </is>
      </c>
      <c r="G360" s="2" t="inlineStr">
        <is>
          <t>EIDE-SCH-44</t>
        </is>
      </c>
      <c r="H360" s="6" t="inlineStr"/>
    </row>
    <row r="361">
      <c r="A361" s="2" t="inlineStr">
        <is>
          <t>A5.9</t>
        </is>
      </c>
      <c r="B361" s="2" t="inlineStr">
        <is>
          <t>Cây khối phân cấp (HIER-45)</t>
        </is>
      </c>
      <c r="C361" s="2" t="n">
        <v>2</v>
      </c>
      <c r="D361" s="2" t="inlineStr">
        <is>
          <t>HIER-01</t>
        </is>
      </c>
      <c r="E361" s="2" t="inlineStr">
        <is>
          <t>Cây khối phân cấp (HIER-45)</t>
        </is>
      </c>
      <c r="F361" s="2" t="inlineStr">
        <is>
          <t>Module là nút cây có parent/kind/path; linh kiện là lá; độ sâu đệ quy; &gt; 4 cảnh báo</t>
        </is>
      </c>
      <c r="G361" s="2" t="inlineStr">
        <is>
          <t>EIDE-HIER-45</t>
        </is>
      </c>
      <c r="H361" s="6" t="inlineStr"/>
    </row>
    <row r="362">
      <c r="A362" s="2" t="inlineStr">
        <is>
          <t>A5.9</t>
        </is>
      </c>
      <c r="B362" s="2" t="inlineStr">
        <is>
          <t>Cây khối phân cấp (HIER-45)</t>
        </is>
      </c>
      <c r="C362" s="2" t="n">
        <v>2</v>
      </c>
      <c r="D362" s="2" t="inlineStr">
        <is>
          <t>HIER-13</t>
        </is>
      </c>
      <c r="E362" s="2" t="inlineStr">
        <is>
          <t>Cây khối phân cấp (HIER-45)</t>
        </is>
      </c>
      <c r="F362" s="2" t="inlineStr">
        <is>
          <t>UI cây gập/mở, breadcrumb, sơ đồ khối con, bảng Port, ERC theo khối, kéo thả = changeset</t>
        </is>
      </c>
      <c r="G362" s="2" t="inlineStr">
        <is>
          <t>EIDE-HIER-45</t>
        </is>
      </c>
      <c r="H362" s="6" t="inlineStr"/>
    </row>
    <row r="363">
      <c r="A363" s="2" t="inlineStr">
        <is>
          <t>A5.9.1</t>
        </is>
      </c>
      <c r="B363" s="2" t="inlineStr">
        <is>
          <t>Cây gập/mở: mạch → khối → khối con → linh kiện (lá); breadcrumb path; cảnh báo depth &gt; 4</t>
        </is>
      </c>
      <c r="C363" s="2" t="n">
        <v>3</v>
      </c>
      <c r="D363" s="2" t="inlineStr">
        <is>
          <t>HIER-01</t>
        </is>
      </c>
      <c r="E363" s="2" t="inlineStr">
        <is>
          <t>Cây khối phân cấp (HIER-45)</t>
        </is>
      </c>
      <c r="F363" s="2" t="inlineStr">
        <is>
          <t>Module là nút cây có parent/kind/path; linh kiện là lá; độ sâu đệ quy; &gt; 4 cảnh báo</t>
        </is>
      </c>
      <c r="G363" s="2" t="inlineStr">
        <is>
          <t>EIDE-HIER-45</t>
        </is>
      </c>
      <c r="H363" s="6" t="inlineStr"/>
    </row>
    <row r="364">
      <c r="A364" s="2" t="inlineStr">
        <is>
          <t>A5.9.1</t>
        </is>
      </c>
      <c r="B364" s="2" t="inlineStr">
        <is>
          <t>Cây gập/mở: mạch → khối → khối con → linh kiện (lá); breadcrumb path; cảnh báo depth &gt; 4</t>
        </is>
      </c>
      <c r="C364" s="2" t="n">
        <v>3</v>
      </c>
      <c r="D364" s="2" t="inlineStr">
        <is>
          <t>HIER-13</t>
        </is>
      </c>
      <c r="E364" s="2" t="inlineStr">
        <is>
          <t>Cây khối phân cấp (HIER-45)</t>
        </is>
      </c>
      <c r="F364" s="2" t="inlineStr">
        <is>
          <t>UI cây gập/mở, breadcrumb, sơ đồ khối con, bảng Port, ERC theo khối, kéo thả = changeset</t>
        </is>
      </c>
      <c r="G364" s="2" t="inlineStr">
        <is>
          <t>EIDE-HIER-45</t>
        </is>
      </c>
      <c r="H364" s="6" t="inlineStr"/>
    </row>
    <row r="365">
      <c r="A365" s="2" t="inlineStr">
        <is>
          <t>A5.9.2</t>
        </is>
      </c>
      <c r="B365" s="2" t="inlineStr">
        <is>
          <t>Bấm khối → sơ đồ khối con + bảng Port (tên, hướng, kiểu, ràng buộc) + net cục bộ + ERC của khối + BOM con</t>
        </is>
      </c>
      <c r="C365" s="2" t="n">
        <v>3</v>
      </c>
      <c r="D365" s="2" t="inlineStr">
        <is>
          <t>HIER-02</t>
        </is>
      </c>
      <c r="E365" s="2" t="inlineStr">
        <is>
          <t>Cây khối phân cấp (HIER-45)</t>
        </is>
      </c>
      <c r="F365" s="2" t="inlineStr">
        <is>
          <t>Port ở biên khối: tên, hướng, kiểu, ràng buộc; lá có Port = pin từ Fact</t>
        </is>
      </c>
      <c r="G365" s="2" t="inlineStr">
        <is>
          <t>EIDE-HIER-45</t>
        </is>
      </c>
      <c r="H365" s="6" t="inlineStr"/>
    </row>
    <row r="366">
      <c r="A366" s="2" t="inlineStr">
        <is>
          <t>A5.9.2</t>
        </is>
      </c>
      <c r="B366" s="2" t="inlineStr">
        <is>
          <t>Bấm khối → sơ đồ khối con + bảng Port (tên, hướng, kiểu, ràng buộc) + net cục bộ + ERC của khối + BOM con</t>
        </is>
      </c>
      <c r="C366" s="2" t="n">
        <v>3</v>
      </c>
      <c r="D366" s="2" t="inlineStr">
        <is>
          <t>HIER-03</t>
        </is>
      </c>
      <c r="E366" s="2" t="inlineStr">
        <is>
          <t>Cây khối phân cấp (HIER-45)</t>
        </is>
      </c>
      <c r="F366" s="2" t="inlineStr">
        <is>
          <t>Net theo phạm vi khối; nối chỉ Port của con trực tiếp hoặc Port lên cha</t>
        </is>
      </c>
      <c r="G366" s="2" t="inlineStr">
        <is>
          <t>EIDE-HIER-45</t>
        </is>
      </c>
      <c r="H366" s="6" t="inlineStr"/>
    </row>
    <row r="367">
      <c r="A367" s="2" t="inlineStr">
        <is>
          <t>A5.9.2</t>
        </is>
      </c>
      <c r="B367" s="2" t="inlineStr">
        <is>
          <t>Bấm khối → sơ đồ khối con + bảng Port (tên, hướng, kiểu, ràng buộc) + net cục bộ + ERC của khối + BOM con</t>
        </is>
      </c>
      <c r="C367" s="2" t="n">
        <v>3</v>
      </c>
      <c r="D367" s="2" t="inlineStr">
        <is>
          <t>HIER-17</t>
        </is>
      </c>
      <c r="E367" s="2" t="inlineStr">
        <is>
          <t>Cây khối phân cấp (HIER-45)</t>
        </is>
      </c>
      <c r="F367" s="2" t="inlineStr">
        <is>
          <t>ERC/BOM/truy vết báo theo path khối</t>
        </is>
      </c>
      <c r="G367" s="2" t="inlineStr">
        <is>
          <t>EIDE-HIER-45</t>
        </is>
      </c>
      <c r="H367" s="6" t="inlineStr"/>
    </row>
    <row r="368">
      <c r="A368" s="2" t="inlineStr">
        <is>
          <t>A5.9.3</t>
        </is>
      </c>
      <c r="B368" s="2" t="inlineStr">
        <is>
          <t>Bấm lá → Fact pinout/BOM; Port của lá = pin (từ Fact, không bịa)</t>
        </is>
      </c>
      <c r="C368" s="2" t="n">
        <v>3</v>
      </c>
      <c r="D368" s="2" t="inlineStr">
        <is>
          <t>HIER-02</t>
        </is>
      </c>
      <c r="E368" s="2" t="inlineStr">
        <is>
          <t>Cây khối phân cấp (HIER-45)</t>
        </is>
      </c>
      <c r="F368" s="2" t="inlineStr">
        <is>
          <t>Port ở biên khối: tên, hướng, kiểu, ràng buộc; lá có Port = pin từ Fact</t>
        </is>
      </c>
      <c r="G368" s="2" t="inlineStr">
        <is>
          <t>EIDE-HIER-45</t>
        </is>
      </c>
      <c r="H368" s="6" t="inlineStr"/>
    </row>
    <row r="369">
      <c r="A369" s="2" t="inlineStr">
        <is>
          <t>A5.9.3</t>
        </is>
      </c>
      <c r="B369" s="2" t="inlineStr">
        <is>
          <t>Bấm lá → Fact pinout/BOM; Port của lá = pin (từ Fact, không bịa)</t>
        </is>
      </c>
      <c r="C369" s="2" t="n">
        <v>3</v>
      </c>
      <c r="D369" s="2" t="inlineStr">
        <is>
          <t>N1</t>
        </is>
      </c>
      <c r="E369" s="2" t="inlineStr">
        <is>
          <t>Nguyên tắc</t>
        </is>
      </c>
      <c r="F369" s="2" t="inlineStr">
        <is>
          <t>Datasheet là nguồn sự thật — mọi con số truy vết tới tài liệu/trang</t>
        </is>
      </c>
      <c r="G369" s="2" t="inlineStr">
        <is>
          <t>MDD-40 A3</t>
        </is>
      </c>
      <c r="H369" s="6" t="inlineStr"/>
    </row>
    <row r="370">
      <c r="A370" s="2" t="inlineStr">
        <is>
          <t>A5.9.4</t>
        </is>
      </c>
      <c r="B370" s="2" t="inlineStr">
        <is>
          <t>Kéo thả lá/khối giữa cha; thêm/bớt/nối Port (= thay đổi cấu trúc → changeset)</t>
        </is>
      </c>
      <c r="C370" s="2" t="n">
        <v>3</v>
      </c>
      <c r="D370" s="2" t="inlineStr">
        <is>
          <t>HIER-13</t>
        </is>
      </c>
      <c r="E370" s="2" t="inlineStr">
        <is>
          <t>Cây khối phân cấp (HIER-45)</t>
        </is>
      </c>
      <c r="F370" s="2" t="inlineStr">
        <is>
          <t>UI cây gập/mở, breadcrumb, sơ đồ khối con, bảng Port, ERC theo khối, kéo thả = changeset</t>
        </is>
      </c>
      <c r="G370" s="2" t="inlineStr">
        <is>
          <t>EIDE-HIER-45</t>
        </is>
      </c>
      <c r="H370" s="6" t="inlineStr"/>
    </row>
    <row r="371">
      <c r="A371" s="2" t="inlineStr">
        <is>
          <t>A5.9.4</t>
        </is>
      </c>
      <c r="B371" s="2" t="inlineStr">
        <is>
          <t>Kéo thả lá/khối giữa cha; thêm/bớt/nối Port (= thay đổi cấu trúc → changeset)</t>
        </is>
      </c>
      <c r="C371" s="2" t="n">
        <v>3</v>
      </c>
      <c r="D371" s="2" t="inlineStr">
        <is>
          <t>HIER-05</t>
        </is>
      </c>
      <c r="E371" s="2" t="inlineStr">
        <is>
          <t>Cây khối phân cấp (HIER-45)</t>
        </is>
      </c>
      <c r="F371" s="2" t="inlineStr">
        <is>
          <t>Bất biến E8001–E8006 kiểm sau mỗi thay đổi</t>
        </is>
      </c>
      <c r="G371" s="2" t="inlineStr">
        <is>
          <t>EIDE-HIER-45</t>
        </is>
      </c>
      <c r="H371" s="6" t="inlineStr"/>
    </row>
    <row r="372">
      <c r="A372" s="2" t="inlineStr">
        <is>
          <t>A5.9.4</t>
        </is>
      </c>
      <c r="B372" s="2" t="inlineStr">
        <is>
          <t>Kéo thả lá/khối giữa cha; thêm/bớt/nối Port (= thay đổi cấu trúc → changeset)</t>
        </is>
      </c>
      <c r="C372" s="2" t="n">
        <v>3</v>
      </c>
      <c r="D372" s="2" t="inlineStr">
        <is>
          <t>HA-edit</t>
        </is>
      </c>
      <c r="E372" s="2" t="inlineStr">
        <is>
          <t>HumanAct</t>
        </is>
      </c>
      <c r="F372" s="2" t="inlineStr">
        <is>
          <t>Sửa hiện vật rồi lưu</t>
        </is>
      </c>
      <c r="G372" s="2" t="inlineStr">
        <is>
          <t>MDD-40 D2</t>
        </is>
      </c>
      <c r="H372" s="6" t="inlineStr"/>
    </row>
    <row r="373">
      <c r="A373" s="2" t="inlineStr">
        <is>
          <t>A5.9.5</t>
        </is>
      </c>
      <c r="B373" s="2" t="inlineStr">
        <is>
          <t>Lỗi bất biến E8001–E8006 với gợi ý (ví dụ 'khai Port')</t>
        </is>
      </c>
      <c r="C373" s="2" t="n">
        <v>3</v>
      </c>
      <c r="D373" s="2" t="inlineStr">
        <is>
          <t>HIER-05</t>
        </is>
      </c>
      <c r="E373" s="2" t="inlineStr">
        <is>
          <t>Cây khối phân cấp (HIER-45)</t>
        </is>
      </c>
      <c r="F373" s="2" t="inlineStr">
        <is>
          <t>Bất biến E8001–E8006 kiểm sau mỗi thay đổi</t>
        </is>
      </c>
      <c r="G373" s="2" t="inlineStr">
        <is>
          <t>EIDE-HIER-45</t>
        </is>
      </c>
      <c r="H373" s="6" t="inlineStr"/>
    </row>
    <row r="374">
      <c r="A374" s="2" t="inlineStr">
        <is>
          <t>A5.9.5</t>
        </is>
      </c>
      <c r="B374" s="2" t="inlineStr">
        <is>
          <t>Lỗi bất biến E8001–E8006 với gợi ý (ví dụ 'khai Port')</t>
        </is>
      </c>
      <c r="C374" s="2" t="n">
        <v>3</v>
      </c>
      <c r="D374" s="2" t="inlineStr">
        <is>
          <t>HIER-03</t>
        </is>
      </c>
      <c r="E374" s="2" t="inlineStr">
        <is>
          <t>Cây khối phân cấp (HIER-45)</t>
        </is>
      </c>
      <c r="F374" s="2" t="inlineStr">
        <is>
          <t>Net theo phạm vi khối; nối chỉ Port của con trực tiếp hoặc Port lên cha</t>
        </is>
      </c>
      <c r="G374" s="2" t="inlineStr">
        <is>
          <t>EIDE-HIER-45</t>
        </is>
      </c>
      <c r="H374" s="6" t="inlineStr"/>
    </row>
    <row r="375">
      <c r="A375" s="2" t="inlineStr">
        <is>
          <t>A5.9.6</t>
        </is>
      </c>
      <c r="B375" s="2" t="inlineStr">
        <is>
          <t>Tô STALE theo nút cây + lý do (changeset); Chấp nhận STALE cho nút/nhánh</t>
        </is>
      </c>
      <c r="C375" s="2" t="n">
        <v>3</v>
      </c>
      <c r="D375" s="2" t="inlineStr">
        <is>
          <t>HIER-07</t>
        </is>
      </c>
      <c r="E375" s="2" t="inlineStr">
        <is>
          <t>Cây khối phân cấp (HIER-45)</t>
        </is>
      </c>
      <c r="F375" s="2" t="inlineStr">
        <is>
          <t>STALE theo cây: nội bộ không lan; Port lan tới cha và anh em nối</t>
        </is>
      </c>
      <c r="G375" s="2" t="inlineStr">
        <is>
          <t>EIDE-HIER-45</t>
        </is>
      </c>
      <c r="H375" s="6" t="inlineStr"/>
    </row>
    <row r="376">
      <c r="A376" s="2" t="inlineStr">
        <is>
          <t>A5.9.6</t>
        </is>
      </c>
      <c r="B376" s="2" t="inlineStr">
        <is>
          <t>Tô STALE theo nút cây + lý do (changeset); Chấp nhận STALE cho nút/nhánh</t>
        </is>
      </c>
      <c r="C376" s="2" t="n">
        <v>3</v>
      </c>
      <c r="D376" s="2" t="inlineStr">
        <is>
          <t>CS-stale</t>
        </is>
      </c>
      <c r="E376" s="2" t="inlineStr">
        <is>
          <t>Changeset &amp; rollback</t>
        </is>
      </c>
      <c r="F376" s="2" t="inlineStr">
        <is>
          <t>Đồ thị phụ thuộc + STALE + chấp nhận STALE</t>
        </is>
      </c>
      <c r="G376" s="2" t="inlineStr">
        <is>
          <t>MDD-40 E5</t>
        </is>
      </c>
      <c r="H376" s="6" t="inlineStr"/>
    </row>
    <row r="377">
      <c r="A377" s="2" t="inlineStr">
        <is>
          <t>A5.9.7</t>
        </is>
      </c>
      <c r="B377" s="2" t="inlineStr">
        <is>
          <t>Ràng buộc theo cây: Iout ≥ Σ I, mức logic, trùng địa chỉ bus, pull-up theo bus — kết quả + 'chưa đủ dữ kiện'</t>
        </is>
      </c>
      <c r="C377" s="2" t="n">
        <v>3</v>
      </c>
      <c r="D377" s="2" t="inlineStr">
        <is>
          <t>HIER-06</t>
        </is>
      </c>
      <c r="E377" s="2" t="inlineStr">
        <is>
          <t>Cây khối phân cấp (HIER-45)</t>
        </is>
      </c>
      <c r="F377" s="2" t="inlineStr">
        <is>
          <t>Fact/REQ gắn được ở mọi cấp; ràng buộc theo cây kiểm bằng mã</t>
        </is>
      </c>
      <c r="G377" s="2" t="inlineStr">
        <is>
          <t>EIDE-HIER-45</t>
        </is>
      </c>
      <c r="H377" s="6" t="inlineStr"/>
    </row>
    <row r="378">
      <c r="A378" s="2" t="inlineStr">
        <is>
          <t>A5.9.7</t>
        </is>
      </c>
      <c r="B378" s="2" t="inlineStr">
        <is>
          <t>Ràng buộc theo cây: Iout ≥ Σ I, mức logic, trùng địa chỉ bus, pull-up theo bus — kết quả + 'chưa đủ dữ kiện'</t>
        </is>
      </c>
      <c r="C378" s="2" t="n">
        <v>3</v>
      </c>
      <c r="D378" s="2" t="inlineStr">
        <is>
          <t>N2</t>
        </is>
      </c>
      <c r="E378" s="2" t="inlineStr">
        <is>
          <t>Nguyên tắc</t>
        </is>
      </c>
      <c r="F378" s="2" t="inlineStr">
        <is>
          <t>Bốn tầng tin cậy VÀNG/BẠC/NGƯỜI/ĐỒNG; ĐỒNG không là vế so sánh</t>
        </is>
      </c>
      <c r="G378" s="2" t="inlineStr">
        <is>
          <t>MDD-40 A3</t>
        </is>
      </c>
      <c r="H378" s="6" t="inlineStr"/>
    </row>
    <row r="379">
      <c r="A379" s="2" t="inlineStr">
        <is>
          <t>A5.9.7</t>
        </is>
      </c>
      <c r="B379" s="2" t="inlineStr">
        <is>
          <t>Ràng buộc theo cây: Iout ≥ Σ I, mức logic, trùng địa chỉ bus, pull-up theo bus — kết quả + 'chưa đủ dữ kiện'</t>
        </is>
      </c>
      <c r="C379" s="2" t="n">
        <v>3</v>
      </c>
      <c r="D379" s="2" t="inlineStr">
        <is>
          <t>PR5</t>
        </is>
      </c>
      <c r="E379" s="2" t="inlineStr">
        <is>
          <t>Quy tắc trình bày</t>
        </is>
      </c>
      <c r="F379" s="2" t="inlineStr">
        <is>
          <t>Không giấu thất bại — khối riêng</t>
        </is>
      </c>
      <c r="G379" s="2" t="inlineStr">
        <is>
          <t>MDD-40 E3.2</t>
        </is>
      </c>
      <c r="H379" s="6" t="inlineStr"/>
    </row>
    <row r="380">
      <c r="A380" s="2" t="inlineStr">
        <is>
          <t>A5.9.8</t>
        </is>
      </c>
      <c r="B380" s="2" t="inlineStr">
        <is>
          <t>Thêm khối từ thư viện (block@semver, params) → thẻ G-DESIGN; 'Lưu làm khối thư viện' có kiểm khép kín</t>
        </is>
      </c>
      <c r="C380" s="2" t="n">
        <v>3</v>
      </c>
      <c r="D380" s="2" t="inlineStr">
        <is>
          <t>HIER-08</t>
        </is>
      </c>
      <c r="E380" s="2" t="inlineStr">
        <is>
          <t>Cây khối phân cấp (HIER-45)</t>
        </is>
      </c>
      <c r="F380" s="2" t="inlineStr">
        <is>
          <t>Thư viện khối block@semver: manifest, params, instantiate có nguồn, 3 tầng lưu</t>
        </is>
      </c>
      <c r="G380" s="2" t="inlineStr">
        <is>
          <t>EIDE-HIER-45</t>
        </is>
      </c>
      <c r="H380" s="6" t="inlineStr"/>
    </row>
    <row r="381">
      <c r="A381" s="2" t="inlineStr">
        <is>
          <t>A5.9.8</t>
        </is>
      </c>
      <c r="B381" s="2" t="inlineStr">
        <is>
          <t>Thêm khối từ thư viện (block@semver, params) → thẻ G-DESIGN; 'Lưu làm khối thư viện' có kiểm khép kín</t>
        </is>
      </c>
      <c r="C381" s="2" t="n">
        <v>3</v>
      </c>
      <c r="D381" s="2" t="inlineStr">
        <is>
          <t>HIER-09</t>
        </is>
      </c>
      <c r="E381" s="2" t="inlineStr">
        <is>
          <t>Cây khối phân cấp (HIER-45)</t>
        </is>
      </c>
      <c r="F381" s="2" t="inlineStr">
        <is>
          <t>Trích khối từ mạch thành thư viện có kiểm khép kín</t>
        </is>
      </c>
      <c r="G381" s="2" t="inlineStr">
        <is>
          <t>EIDE-HIER-45</t>
        </is>
      </c>
      <c r="H381" s="6" t="inlineStr"/>
    </row>
    <row r="382">
      <c r="A382" s="2" t="inlineStr">
        <is>
          <t>A5.9.8</t>
        </is>
      </c>
      <c r="B382" s="2" t="inlineStr">
        <is>
          <t>Thêm khối từ thư viện (block@semver, params) → thẻ G-DESIGN; 'Lưu làm khối thư viện' có kiểm khép kín</t>
        </is>
      </c>
      <c r="C382" s="2" t="n">
        <v>3</v>
      </c>
      <c r="D382" s="2" t="inlineStr">
        <is>
          <t>G-DESIGN</t>
        </is>
      </c>
      <c r="E382" s="2" t="inlineStr">
        <is>
          <t>Cổng</t>
        </is>
      </c>
      <c r="F382" s="2" t="inlineStr">
        <is>
          <t>Chốt phương án/thiết kế</t>
        </is>
      </c>
      <c r="G382" s="2" t="inlineStr">
        <is>
          <t>MDD-40 B4/E7</t>
        </is>
      </c>
      <c r="H382" s="6" t="inlineStr"/>
    </row>
    <row r="383">
      <c r="A383" s="2" t="inlineStr">
        <is>
          <t>A5.9.9</t>
        </is>
      </c>
      <c r="B383" s="2" t="inlineStr">
        <is>
          <t>Lớp giải thích khối: làm gì / giao tiếp gì / gồm gì / dựa vào đâu / khác bản trước / tiếp theo / tin được đến đâu</t>
        </is>
      </c>
      <c r="C383" s="2" t="n">
        <v>3</v>
      </c>
      <c r="D383" s="2" t="inlineStr">
        <is>
          <t>HIER-14</t>
        </is>
      </c>
      <c r="E383" s="2" t="inlineStr">
        <is>
          <t>Cây khối phân cấp (HIER-45)</t>
        </is>
      </c>
      <c r="F383" s="2" t="inlineStr">
        <is>
          <t>Lớp giải thích cho khối (7 câu)</t>
        </is>
      </c>
      <c r="G383" s="2" t="inlineStr">
        <is>
          <t>EIDE-HIER-45</t>
        </is>
      </c>
      <c r="H383" s="6" t="inlineStr"/>
    </row>
    <row r="384">
      <c r="A384" s="2" t="inlineStr">
        <is>
          <t>A5.9.9</t>
        </is>
      </c>
      <c r="B384" s="2" t="inlineStr">
        <is>
          <t>Lớp giải thích khối: làm gì / giao tiếp gì / gồm gì / dựa vào đâu / khác bản trước / tiếp theo / tin được đến đâu</t>
        </is>
      </c>
      <c r="C384" s="2" t="n">
        <v>3</v>
      </c>
      <c r="D384" s="2" t="inlineStr">
        <is>
          <t>N8</t>
        </is>
      </c>
      <c r="E384" s="2" t="inlineStr">
        <is>
          <t>Nguyên tắc</t>
        </is>
      </c>
      <c r="F384" s="2" t="inlineStr">
        <is>
          <t>Mọi thứ tác tử làm ra có dạng người hiểu được (lớp giải thích 6 trường)</t>
        </is>
      </c>
      <c r="G384" s="2" t="inlineStr">
        <is>
          <t>MDD-40 A3</t>
        </is>
      </c>
      <c r="H384" s="6" t="inlineStr"/>
    </row>
    <row r="385">
      <c r="A385" s="2" t="inlineStr">
        <is>
          <t>A5.9.10</t>
        </is>
      </c>
      <c r="B385" s="2" t="inlineStr">
        <is>
          <t>Chế độ xem: cây · phẳng (flatten) · sheet KiCad phân cấp; đối chiếu netlist SKiDL = flatten</t>
        </is>
      </c>
      <c r="C385" s="2" t="n">
        <v>3</v>
      </c>
      <c r="D385" s="2" t="inlineStr">
        <is>
          <t>HIER-04</t>
        </is>
      </c>
      <c r="E385" s="2" t="inlineStr">
        <is>
          <t>Cây khối phân cấp (HIER-45)</t>
        </is>
      </c>
      <c r="F385" s="2" t="inlineStr">
        <is>
          <t>flatten(cây) bằng mã là nguồn cho mọi tool phẳng; tool cũ không đổi</t>
        </is>
      </c>
      <c r="G385" s="2" t="inlineStr">
        <is>
          <t>EIDE-HIER-45</t>
        </is>
      </c>
      <c r="H385" s="6" t="inlineStr"/>
    </row>
    <row r="386">
      <c r="A386" s="2" t="inlineStr">
        <is>
          <t>A5.9.10</t>
        </is>
      </c>
      <c r="B386" s="2" t="inlineStr">
        <is>
          <t>Chế độ xem: cây · phẳng (flatten) · sheet KiCad phân cấp; đối chiếu netlist SKiDL = flatten</t>
        </is>
      </c>
      <c r="C386" s="2" t="n">
        <v>3</v>
      </c>
      <c r="D386" s="2" t="inlineStr">
        <is>
          <t>HIER-10</t>
        </is>
      </c>
      <c r="E386" s="2" t="inlineStr">
        <is>
          <t>Cây khối phân cấp (HIER-45)</t>
        </is>
      </c>
      <c r="F386" s="2" t="inlineStr">
        <is>
          <t>SKiDL 1-1 với cây; netlist SKiDL = flatten</t>
        </is>
      </c>
      <c r="G386" s="2" t="inlineStr">
        <is>
          <t>EIDE-HIER-45</t>
        </is>
      </c>
      <c r="H386" s="6" t="inlineStr"/>
    </row>
    <row r="387">
      <c r="A387" s="2" t="inlineStr">
        <is>
          <t>A5.9.10</t>
        </is>
      </c>
      <c r="B387" s="2" t="inlineStr">
        <is>
          <t>Chế độ xem: cây · phẳng (flatten) · sheet KiCad phân cấp; đối chiếu netlist SKiDL = flatten</t>
        </is>
      </c>
      <c r="C387" s="2" t="n">
        <v>3</v>
      </c>
      <c r="D387" s="2" t="inlineStr">
        <is>
          <t>HIER-11</t>
        </is>
      </c>
      <c r="E387" s="2" t="inlineStr">
        <is>
          <t>Cây khối phân cấp (HIER-45)</t>
        </is>
      </c>
      <c r="F387" s="2" t="inlineStr">
        <is>
          <t>KiCad hierarchical: sheet = khối, sheet pin = Port; flat = vùng + global label</t>
        </is>
      </c>
      <c r="G387" s="2" t="inlineStr">
        <is>
          <t>EIDE-HIER-45</t>
        </is>
      </c>
      <c r="H387" s="6" t="inlineStr"/>
    </row>
    <row r="388">
      <c r="A388" s="2" t="inlineStr">
        <is>
          <t>A5.9.11</t>
        </is>
      </c>
      <c r="B388" s="2" t="inlineStr">
        <is>
          <t>Nạp lại .kicad_sch phân cấp → cây; cấu trúc lệch → thẻ hỏi</t>
        </is>
      </c>
      <c r="C388" s="2" t="n">
        <v>3</v>
      </c>
      <c r="D388" s="2" t="inlineStr">
        <is>
          <t>HIER-12</t>
        </is>
      </c>
      <c r="E388" s="2" t="inlineStr">
        <is>
          <t>Cây khối phân cấp (HIER-45)</t>
        </is>
      </c>
      <c r="F388" s="2" t="inlineStr">
        <is>
          <t>Round-trip .kicad_sch phân cấp → cây</t>
        </is>
      </c>
      <c r="G388" s="2" t="inlineStr">
        <is>
          <t>EIDE-HIER-45</t>
        </is>
      </c>
      <c r="H388" s="6" t="inlineStr"/>
    </row>
    <row r="389">
      <c r="A389" s="2" t="inlineStr">
        <is>
          <t>A5.9.11</t>
        </is>
      </c>
      <c r="B389" s="2" t="inlineStr">
        <is>
          <t>Nạp lại .kicad_sch phân cấp → cây; cấu trúc lệch → thẻ hỏi</t>
        </is>
      </c>
      <c r="C389" s="2" t="n">
        <v>3</v>
      </c>
      <c r="D389" s="2" t="inlineStr">
        <is>
          <t>SCH-13</t>
        </is>
      </c>
      <c r="E389" s="2" t="inlineStr">
        <is>
          <t>Sơ đồ KiCad (SCH-44)</t>
        </is>
      </c>
      <c r="F389" s="2" t="inlineStr">
        <is>
          <t>Thay đổi cấu trúc từ KiCad → thẻ hỏi, không ghi đè CKM im lặng</t>
        </is>
      </c>
      <c r="G389" s="2" t="inlineStr">
        <is>
          <t>EIDE-SCH-44</t>
        </is>
      </c>
      <c r="H389" s="6" t="inlineStr"/>
    </row>
    <row r="390">
      <c r="A390" s="2" t="inlineStr">
        <is>
          <t>A5.9.12</t>
        </is>
      </c>
      <c r="B390" s="2" t="inlineStr">
        <is>
          <t>Trạng thái migration dự án cũ + kết quả hồi quy; block@semver trong snapshot</t>
        </is>
      </c>
      <c r="C390" s="2" t="n">
        <v>3</v>
      </c>
      <c r="D390" s="2" t="inlineStr">
        <is>
          <t>HIER-15</t>
        </is>
      </c>
      <c r="E390" s="2" t="inlineStr">
        <is>
          <t>Cây khối phân cấp (HIER-45)</t>
        </is>
      </c>
      <c r="F390" s="2" t="inlineStr">
        <is>
          <t>Migration cộng thêm có down(); dự án cũ chạy như trước</t>
        </is>
      </c>
      <c r="G390" s="2" t="inlineStr">
        <is>
          <t>EIDE-HIER-45</t>
        </is>
      </c>
      <c r="H390" s="6" t="inlineStr"/>
    </row>
    <row r="391">
      <c r="A391" s="2" t="inlineStr">
        <is>
          <t>A5.9.12</t>
        </is>
      </c>
      <c r="B391" s="2" t="inlineStr">
        <is>
          <t>Trạng thái migration dự án cũ + kết quả hồi quy; block@semver trong snapshot</t>
        </is>
      </c>
      <c r="C391" s="2" t="n">
        <v>3</v>
      </c>
      <c r="D391" s="2" t="inlineStr">
        <is>
          <t>HIER-18</t>
        </is>
      </c>
      <c r="E391" s="2" t="inlineStr">
        <is>
          <t>Cây khối phân cấp (HIER-45)</t>
        </is>
      </c>
      <c r="F391" s="2" t="inlineStr">
        <is>
          <t>Hồi quy toàn bộ giống 100 % sau migration</t>
        </is>
      </c>
      <c r="G391" s="2" t="inlineStr">
        <is>
          <t>EIDE-HIER-45</t>
        </is>
      </c>
      <c r="H391" s="6" t="inlineStr"/>
    </row>
    <row r="392">
      <c r="A392" s="2" t="inlineStr">
        <is>
          <t>A5.9.12</t>
        </is>
      </c>
      <c r="B392" s="2" t="inlineStr">
        <is>
          <t>Trạng thái migration dự án cũ + kết quả hồi quy; block@semver trong snapshot</t>
        </is>
      </c>
      <c r="C392" s="2" t="n">
        <v>3</v>
      </c>
      <c r="D392" s="2" t="inlineStr">
        <is>
          <t>HIER-16</t>
        </is>
      </c>
      <c r="E392" s="2" t="inlineStr">
        <is>
          <t>Cây khối phân cấp (HIER-45)</t>
        </is>
      </c>
      <c r="F392" s="2" t="inlineStr">
        <is>
          <t>Snapshot/hộ chiếu ghi block@semver đã dùng</t>
        </is>
      </c>
      <c r="G392" s="2" t="inlineStr">
        <is>
          <t>EIDE-HIER-45</t>
        </is>
      </c>
      <c r="H392" s="6" t="inlineStr"/>
    </row>
    <row r="393">
      <c r="A393" s="2" t="inlineStr">
        <is>
          <t>A5.7</t>
        </is>
      </c>
      <c r="B393" s="2" t="inlineStr">
        <is>
          <t>Chuẩn bị sản xuất</t>
        </is>
      </c>
      <c r="C393" s="2" t="n">
        <v>2</v>
      </c>
      <c r="D393" s="2" t="inlineStr">
        <is>
          <t>UC15</t>
        </is>
      </c>
      <c r="E393" s="2" t="inlineStr">
        <is>
          <t>Usecase</t>
        </is>
      </c>
      <c r="F393" s="2" t="inlineStr">
        <is>
          <t>Chuẩn bị sản xuất (NGOÀI PHẠM VI)</t>
        </is>
      </c>
      <c r="G393" s="2" t="inlineStr">
        <is>
          <t>Excel 76 TC</t>
        </is>
      </c>
      <c r="H393" s="6" t="inlineStr"/>
    </row>
    <row r="394">
      <c r="A394" s="2" t="inlineStr">
        <is>
          <t>A5.7.1</t>
        </is>
      </c>
      <c r="B394" s="2" t="inlineStr">
        <is>
          <t>Nút Gerber/DRC/file gắp đặt hiển thị 'ngoài phạm vi v3' (không giả vờ có)</t>
        </is>
      </c>
      <c r="C394" s="2" t="n">
        <v>3</v>
      </c>
      <c r="D394" s="2" t="inlineStr">
        <is>
          <t>UC15</t>
        </is>
      </c>
      <c r="E394" s="2" t="inlineStr">
        <is>
          <t>Usecase</t>
        </is>
      </c>
      <c r="F394" s="2" t="inlineStr">
        <is>
          <t>Chuẩn bị sản xuất (NGOÀI PHẠM VI)</t>
        </is>
      </c>
      <c r="G394" s="2" t="inlineStr">
        <is>
          <t>Excel 76 TC</t>
        </is>
      </c>
      <c r="H394" s="6" t="inlineStr"/>
    </row>
    <row r="395">
      <c r="A395" s="2" t="inlineStr">
        <is>
          <t>A5.7.1</t>
        </is>
      </c>
      <c r="B395" s="2" t="inlineStr">
        <is>
          <t>Nút Gerber/DRC/file gắp đặt hiển thị 'ngoài phạm vi v3' (không giả vờ có)</t>
        </is>
      </c>
      <c r="C395" s="2" t="n">
        <v>3</v>
      </c>
      <c r="D395" s="2" t="inlineStr">
        <is>
          <t>PR5</t>
        </is>
      </c>
      <c r="E395" s="2" t="inlineStr">
        <is>
          <t>Quy tắc trình bày</t>
        </is>
      </c>
      <c r="F395" s="2" t="inlineStr">
        <is>
          <t>Không giấu thất bại — khối riêng</t>
        </is>
      </c>
      <c r="G395" s="2" t="inlineStr">
        <is>
          <t>MDD-40 E3.2</t>
        </is>
      </c>
      <c r="H395" s="6" t="inlineStr"/>
    </row>
    <row r="396">
      <c r="A396" s="2" t="inlineStr">
        <is>
          <t>A5.6</t>
        </is>
      </c>
      <c r="B396" s="2" t="inlineStr">
        <is>
          <t>Bảo mật &amp; OTA (thiết kế)</t>
        </is>
      </c>
      <c r="C396" s="2" t="n">
        <v>2</v>
      </c>
      <c r="D396" s="2" t="inlineStr">
        <is>
          <t>UC14</t>
        </is>
      </c>
      <c r="E396" s="2" t="inlineStr">
        <is>
          <t>Usecase</t>
        </is>
      </c>
      <c r="F396" s="2" t="inlineStr">
        <is>
          <t>Bảo mật &amp; OTA</t>
        </is>
      </c>
      <c r="G396" s="2" t="inlineStr">
        <is>
          <t>Excel 76 TC</t>
        </is>
      </c>
      <c r="H396" s="6" t="inlineStr"/>
    </row>
    <row r="397">
      <c r="A397" s="2" t="inlineStr">
        <is>
          <t>A5.6</t>
        </is>
      </c>
      <c r="B397" s="2" t="inlineStr">
        <is>
          <t>Bảo mật &amp; OTA (thiết kế)</t>
        </is>
      </c>
      <c r="C397" s="2" t="n">
        <v>2</v>
      </c>
      <c r="D397" s="2" t="inlineStr">
        <is>
          <t>TL-ota</t>
        </is>
      </c>
      <c r="E397" s="2" t="inlineStr">
        <is>
          <t>Năng lực chuyên môn</t>
        </is>
      </c>
      <c r="F397" s="2" t="inlineStr">
        <is>
          <t>OTA A/B, chữ ký, rollback</t>
        </is>
      </c>
      <c r="G397" s="2" t="inlineStr">
        <is>
          <t>MDD-40 B3/UC</t>
        </is>
      </c>
      <c r="H397" s="6" t="inlineStr"/>
    </row>
    <row r="398">
      <c r="A398" s="2" t="inlineStr">
        <is>
          <t>A5.6.1</t>
        </is>
      </c>
      <c r="B398" s="2" t="inlineStr">
        <is>
          <t>Phân vùng A/B, chữ ký, rollback; kịch bản mất điện/gói sai chữ ký</t>
        </is>
      </c>
      <c r="C398" s="2" t="n">
        <v>3</v>
      </c>
      <c r="D398" s="2" t="inlineStr">
        <is>
          <t>TL-ota</t>
        </is>
      </c>
      <c r="E398" s="2" t="inlineStr">
        <is>
          <t>Năng lực chuyên môn</t>
        </is>
      </c>
      <c r="F398" s="2" t="inlineStr">
        <is>
          <t>OTA A/B, chữ ký, rollback</t>
        </is>
      </c>
      <c r="G398" s="2" t="inlineStr">
        <is>
          <t>MDD-40 B3/UC</t>
        </is>
      </c>
      <c r="H398" s="6" t="inlineStr"/>
    </row>
    <row r="399">
      <c r="A399" s="2" t="inlineStr">
        <is>
          <t>A5.6.1</t>
        </is>
      </c>
      <c r="B399" s="2" t="inlineStr">
        <is>
          <t>Phân vùng A/B, chữ ký, rollback; kịch bản mất điện/gói sai chữ ký</t>
        </is>
      </c>
      <c r="C399" s="2" t="n">
        <v>3</v>
      </c>
      <c r="D399" s="2" t="inlineStr">
        <is>
          <t>UC14</t>
        </is>
      </c>
      <c r="E399" s="2" t="inlineStr">
        <is>
          <t>Usecase</t>
        </is>
      </c>
      <c r="F399" s="2" t="inlineStr">
        <is>
          <t>Bảo mật &amp; OTA</t>
        </is>
      </c>
      <c r="G399" s="2" t="inlineStr">
        <is>
          <t>Excel 76 TC</t>
        </is>
      </c>
      <c r="H399" s="6" t="inlineStr"/>
    </row>
    <row r="400">
      <c r="A400" s="2" t="inlineStr">
        <is>
          <t>A6.1</t>
        </is>
      </c>
      <c r="B400" s="2" t="inlineStr">
        <is>
          <t>Kiểm kê công cụ</t>
        </is>
      </c>
      <c r="C400" s="2" t="n">
        <v>2</v>
      </c>
      <c r="D400" s="2" t="inlineStr">
        <is>
          <t>TL-inventory</t>
        </is>
      </c>
      <c r="E400" s="2" t="inlineStr">
        <is>
          <t>Năng lực chuyên môn</t>
        </is>
      </c>
      <c r="F400" s="2" t="inlineStr">
        <is>
          <t>Kiểm kê toolchain/ISA/simulator/probe</t>
        </is>
      </c>
      <c r="G400" s="2" t="inlineStr">
        <is>
          <t>MDD-40 B3/UC</t>
        </is>
      </c>
      <c r="H400" s="6" t="inlineStr"/>
    </row>
    <row r="401">
      <c r="A401" s="2" t="inlineStr">
        <is>
          <t>A6.1</t>
        </is>
      </c>
      <c r="B401" s="2" t="inlineStr">
        <is>
          <t>Kiểm kê công cụ</t>
        </is>
      </c>
      <c r="C401" s="2" t="n">
        <v>2</v>
      </c>
      <c r="D401" s="2" t="inlineStr">
        <is>
          <t>C3</t>
        </is>
      </c>
      <c r="E401" s="2" t="inlineStr">
        <is>
          <t>Chặng</t>
        </is>
      </c>
      <c r="F401" s="2" t="inlineStr">
        <is>
          <t>Môi trường công cụ</t>
        </is>
      </c>
      <c r="G401" s="2" t="inlineStr">
        <is>
          <t>MDD-40 A4</t>
        </is>
      </c>
      <c r="H401" s="6" t="inlineStr"/>
    </row>
    <row r="402">
      <c r="A402" s="2" t="inlineStr">
        <is>
          <t>A6.1.1</t>
        </is>
      </c>
      <c r="B402" s="2" t="inlineStr">
        <is>
          <t>kv: toolchain theo ISA, phiên bản, mô phỏng, bộ nạp; khớp ISA chip; thiếu manifest nói thẳng</t>
        </is>
      </c>
      <c r="C402" s="2" t="n">
        <v>3</v>
      </c>
      <c r="D402" s="2" t="inlineStr">
        <is>
          <t>TL-inventory</t>
        </is>
      </c>
      <c r="E402" s="2" t="inlineStr">
        <is>
          <t>Năng lực chuyên môn</t>
        </is>
      </c>
      <c r="F402" s="2" t="inlineStr">
        <is>
          <t>Kiểm kê toolchain/ISA/simulator/probe</t>
        </is>
      </c>
      <c r="G402" s="2" t="inlineStr">
        <is>
          <t>MDD-40 B3/UC</t>
        </is>
      </c>
      <c r="H402" s="6" t="inlineStr"/>
    </row>
    <row r="403">
      <c r="A403" s="2" t="inlineStr">
        <is>
          <t>A6.1.1</t>
        </is>
      </c>
      <c r="B403" s="2" t="inlineStr">
        <is>
          <t>kv: toolchain theo ISA, phiên bản, mô phỏng, bộ nạp; khớp ISA chip; thiếu manifest nói thẳng</t>
        </is>
      </c>
      <c r="C403" s="2" t="n">
        <v>3</v>
      </c>
      <c r="D403" s="2" t="inlineStr">
        <is>
          <t>N3</t>
        </is>
      </c>
      <c r="E403" s="2" t="inlineStr">
        <is>
          <t>Nguyên tắc</t>
        </is>
      </c>
      <c r="F403" s="2" t="inlineStr">
        <is>
          <t>Kiểm kê xác định — tình trạng dự án do mã dựng, hiển thị cho người</t>
        </is>
      </c>
      <c r="G403" s="2" t="inlineStr">
        <is>
          <t>MDD-40 A3</t>
        </is>
      </c>
      <c r="H403" s="6" t="inlineStr"/>
    </row>
    <row r="404">
      <c r="A404" s="2" t="inlineStr">
        <is>
          <t>A6.1.1</t>
        </is>
      </c>
      <c r="B404" s="2" t="inlineStr">
        <is>
          <t>kv: toolchain theo ISA, phiên bản, mô phỏng, bộ nạp; khớp ISA chip; thiếu manifest nói thẳng</t>
        </is>
      </c>
      <c r="C404" s="2" t="n">
        <v>3</v>
      </c>
      <c r="D404" s="2" t="inlineStr">
        <is>
          <t>PR5</t>
        </is>
      </c>
      <c r="E404" s="2" t="inlineStr">
        <is>
          <t>Quy tắc trình bày</t>
        </is>
      </c>
      <c r="F404" s="2" t="inlineStr">
        <is>
          <t>Không giấu thất bại — khối riêng</t>
        </is>
      </c>
      <c r="G404" s="2" t="inlineStr">
        <is>
          <t>MDD-40 E3.2</t>
        </is>
      </c>
      <c r="H404" s="6" t="inlineStr"/>
    </row>
    <row r="405">
      <c r="A405" s="2" t="inlineStr">
        <is>
          <t>A6.2</t>
        </is>
      </c>
      <c r="B405" s="2" t="inlineStr">
        <is>
          <t>Cài đặt</t>
        </is>
      </c>
      <c r="C405" s="2" t="n">
        <v>2</v>
      </c>
      <c r="D405" s="2" t="inlineStr">
        <is>
          <t>TL-install</t>
        </is>
      </c>
      <c r="E405" s="2" t="inlineStr">
        <is>
          <t>Năng lực chuyên môn</t>
        </is>
      </c>
      <c r="F405" s="2" t="inlineStr">
        <is>
          <t>Đề nghị cài (lệnh cụ thể) → G-TOOL</t>
        </is>
      </c>
      <c r="G405" s="2" t="inlineStr">
        <is>
          <t>MDD-40 B3/UC</t>
        </is>
      </c>
      <c r="H405" s="6" t="inlineStr"/>
    </row>
    <row r="406">
      <c r="A406" s="2" t="inlineStr">
        <is>
          <t>A6.2</t>
        </is>
      </c>
      <c r="B406" s="2" t="inlineStr">
        <is>
          <t>Cài đặt</t>
        </is>
      </c>
      <c r="C406" s="2" t="n">
        <v>2</v>
      </c>
      <c r="D406" s="2" t="inlineStr">
        <is>
          <t>G-TOOL</t>
        </is>
      </c>
      <c r="E406" s="2" t="inlineStr">
        <is>
          <t>Cổng</t>
        </is>
      </c>
      <c r="F406" s="2" t="inlineStr">
        <is>
          <t>Cài công cụ</t>
        </is>
      </c>
      <c r="G406" s="2" t="inlineStr">
        <is>
          <t>MDD-40 B4/E7</t>
        </is>
      </c>
      <c r="H406" s="6" t="inlineStr"/>
    </row>
    <row r="407">
      <c r="A407" s="2" t="inlineStr">
        <is>
          <t>A6.2.1</t>
        </is>
      </c>
      <c r="B407" s="2" t="inlineStr">
        <is>
          <t>Đề nghị cài: lệnh cụ thể theo HĐH, nguồn, kích thước → thẻ G-TOOL</t>
        </is>
      </c>
      <c r="C407" s="2" t="n">
        <v>3</v>
      </c>
      <c r="D407" s="2" t="inlineStr">
        <is>
          <t>TL-install</t>
        </is>
      </c>
      <c r="E407" s="2" t="inlineStr">
        <is>
          <t>Năng lực chuyên môn</t>
        </is>
      </c>
      <c r="F407" s="2" t="inlineStr">
        <is>
          <t>Đề nghị cài (lệnh cụ thể) → G-TOOL</t>
        </is>
      </c>
      <c r="G407" s="2" t="inlineStr">
        <is>
          <t>MDD-40 B3/UC</t>
        </is>
      </c>
      <c r="H407" s="6" t="inlineStr"/>
    </row>
    <row r="408">
      <c r="A408" s="2" t="inlineStr">
        <is>
          <t>A6.2.1</t>
        </is>
      </c>
      <c r="B408" s="2" t="inlineStr">
        <is>
          <t>Đề nghị cài: lệnh cụ thể theo HĐH, nguồn, kích thước → thẻ G-TOOL</t>
        </is>
      </c>
      <c r="C408" s="2" t="n">
        <v>3</v>
      </c>
      <c r="D408" s="2" t="inlineStr">
        <is>
          <t>G-TOOL</t>
        </is>
      </c>
      <c r="E408" s="2" t="inlineStr">
        <is>
          <t>Cổng</t>
        </is>
      </c>
      <c r="F408" s="2" t="inlineStr">
        <is>
          <t>Cài công cụ</t>
        </is>
      </c>
      <c r="G408" s="2" t="inlineStr">
        <is>
          <t>MDD-40 B4/E7</t>
        </is>
      </c>
      <c r="H408" s="6" t="inlineStr"/>
    </row>
    <row r="409">
      <c r="A409" s="2" t="inlineStr">
        <is>
          <t>A6.2.1</t>
        </is>
      </c>
      <c r="B409" s="2" t="inlineStr">
        <is>
          <t>Đề nghị cài: lệnh cụ thể theo HĐH, nguồn, kích thước → thẻ G-TOOL</t>
        </is>
      </c>
      <c r="C409" s="2" t="n">
        <v>3</v>
      </c>
      <c r="D409" s="2" t="inlineStr">
        <is>
          <t>HA-decide</t>
        </is>
      </c>
      <c r="E409" s="2" t="inlineStr">
        <is>
          <t>HumanAct</t>
        </is>
      </c>
      <c r="F409" s="2" t="inlineStr">
        <is>
          <t>Quyết định cổng</t>
        </is>
      </c>
      <c r="G409" s="2" t="inlineStr">
        <is>
          <t>MDD-40 D2</t>
        </is>
      </c>
      <c r="H409" s="6" t="inlineStr"/>
    </row>
    <row r="410">
      <c r="A410" s="2" t="inlineStr">
        <is>
          <t>A6.2.2</t>
        </is>
      </c>
      <c r="B410" s="2" t="inlineStr">
        <is>
          <t>'Tin' gói này lần sau (R0–R2)</t>
        </is>
      </c>
      <c r="C410" s="2" t="n">
        <v>3</v>
      </c>
      <c r="D410" s="2" t="inlineStr">
        <is>
          <t>MM-remember</t>
        </is>
      </c>
      <c r="E410" s="2" t="inlineStr">
        <is>
          <t>Bộ nhớ người dùng</t>
        </is>
      </c>
      <c r="F410" s="2" t="inlineStr">
        <is>
          <t>'Tin' theo tool (R0–R2)</t>
        </is>
      </c>
      <c r="G410" s="2" t="inlineStr">
        <is>
          <t>MDD-40 B6/E3.4</t>
        </is>
      </c>
      <c r="H410" s="6" t="inlineStr"/>
    </row>
    <row r="411">
      <c r="A411" s="2" t="inlineStr">
        <is>
          <t>A6.2.2</t>
        </is>
      </c>
      <c r="B411" s="2" t="inlineStr">
        <is>
          <t>'Tin' gói này lần sau (R0–R2)</t>
        </is>
      </c>
      <c r="C411" s="2" t="n">
        <v>3</v>
      </c>
      <c r="D411" s="2" t="inlineStr">
        <is>
          <t>HA-set</t>
        </is>
      </c>
      <c r="E411" s="2" t="inlineStr">
        <is>
          <t>HumanAct</t>
        </is>
      </c>
      <c r="F411" s="2" t="inlineStr">
        <is>
          <t>Đổi thiết lập</t>
        </is>
      </c>
      <c r="G411" s="2" t="inlineStr">
        <is>
          <t>MDD-40 D2</t>
        </is>
      </c>
      <c r="H411" s="6" t="inlineStr"/>
    </row>
    <row r="412">
      <c r="A412" s="2" t="inlineStr">
        <is>
          <t>A6.2.3</t>
        </is>
      </c>
      <c r="B412" s="2" t="inlineStr">
        <is>
          <t>Log cài đặt</t>
        </is>
      </c>
      <c r="C412" s="2" t="n">
        <v>3</v>
      </c>
      <c r="D412" s="2" t="inlineStr">
        <is>
          <t>UI-surface.append</t>
        </is>
      </c>
      <c r="E412" s="2" t="inlineStr">
        <is>
          <t>UICommand</t>
        </is>
      </c>
      <c r="F412" s="2" t="inlineStr">
        <is>
          <t>Nối log/timeline</t>
        </is>
      </c>
      <c r="G412" s="2" t="inlineStr">
        <is>
          <t>MDD-40 D2</t>
        </is>
      </c>
      <c r="H412" s="6" t="inlineStr"/>
    </row>
    <row r="413">
      <c r="A413" s="2" t="inlineStr">
        <is>
          <t>A6.3</t>
        </is>
      </c>
      <c r="B413" s="2" t="inlineStr">
        <is>
          <t>Skill &amp; subagent</t>
        </is>
      </c>
      <c r="C413" s="2" t="n">
        <v>2</v>
      </c>
      <c r="D413" s="2" t="inlineStr">
        <is>
          <t>CX-skills</t>
        </is>
      </c>
      <c r="E413" s="2" t="inlineStr">
        <is>
          <t>Ngữ cảnh tác tử</t>
        </is>
      </c>
      <c r="F413" s="2" t="inlineStr">
        <is>
          <t>Skill đang nạp / gợi ý</t>
        </is>
      </c>
      <c r="G413" s="2" t="inlineStr">
        <is>
          <t>MDD-40 B2/B5</t>
        </is>
      </c>
      <c r="H413" s="6" t="inlineStr"/>
    </row>
    <row r="414">
      <c r="A414" s="2" t="inlineStr">
        <is>
          <t>A6.3</t>
        </is>
      </c>
      <c r="B414" s="2" t="inlineStr">
        <is>
          <t>Skill &amp; subagent</t>
        </is>
      </c>
      <c r="C414" s="2" t="n">
        <v>2</v>
      </c>
      <c r="D414" s="2" t="inlineStr">
        <is>
          <t>CX-subagent</t>
        </is>
      </c>
      <c r="E414" s="2" t="inlineStr">
        <is>
          <t>Ngữ cảnh tác tử</t>
        </is>
      </c>
      <c r="F414" s="2" t="inlineStr">
        <is>
          <t>Subagent đang chạy hiển thị trong Run</t>
        </is>
      </c>
      <c r="G414" s="2" t="inlineStr">
        <is>
          <t>MDD-40 B2/B5</t>
        </is>
      </c>
      <c r="H414" s="6" t="inlineStr"/>
    </row>
    <row r="415">
      <c r="A415" s="2" t="inlineStr">
        <is>
          <t>A6.3.1</t>
        </is>
      </c>
      <c r="B415" s="2" t="inlineStr">
        <is>
          <t>Skill đang nạp / gợi ý (mở SKILL.md)</t>
        </is>
      </c>
      <c r="C415" s="2" t="n">
        <v>3</v>
      </c>
      <c r="D415" s="2" t="inlineStr">
        <is>
          <t>CX-skills</t>
        </is>
      </c>
      <c r="E415" s="2" t="inlineStr">
        <is>
          <t>Ngữ cảnh tác tử</t>
        </is>
      </c>
      <c r="F415" s="2" t="inlineStr">
        <is>
          <t>Skill đang nạp / gợi ý</t>
        </is>
      </c>
      <c r="G415" s="2" t="inlineStr">
        <is>
          <t>MDD-40 B2/B5</t>
        </is>
      </c>
      <c r="H415" s="6" t="inlineStr"/>
    </row>
    <row r="416">
      <c r="A416" s="2" t="inlineStr">
        <is>
          <t>A6.3.2</t>
        </is>
      </c>
      <c r="B416" s="2" t="inlineStr">
        <is>
          <t>Danh sách subagent + tool được phép</t>
        </is>
      </c>
      <c r="C416" s="2" t="n">
        <v>3</v>
      </c>
      <c r="D416" s="2" t="inlineStr">
        <is>
          <t>CX-subagent</t>
        </is>
      </c>
      <c r="E416" s="2" t="inlineStr">
        <is>
          <t>Ngữ cảnh tác tử</t>
        </is>
      </c>
      <c r="F416" s="2" t="inlineStr">
        <is>
          <t>Subagent đang chạy hiển thị trong Run</t>
        </is>
      </c>
      <c r="G416" s="2" t="inlineStr">
        <is>
          <t>MDD-40 B2/B5</t>
        </is>
      </c>
      <c r="H416" s="6" t="inlineStr"/>
    </row>
    <row r="417">
      <c r="A417" s="2" t="inlineStr">
        <is>
          <t>A7.1</t>
        </is>
      </c>
      <c r="B417" s="2" t="inlineStr">
        <is>
          <t>Editor</t>
        </is>
      </c>
      <c r="C417" s="2" t="n">
        <v>2</v>
      </c>
      <c r="D417" s="2" t="inlineStr">
        <is>
          <t>AR13</t>
        </is>
      </c>
      <c r="E417" s="2" t="inlineStr">
        <is>
          <t>Hiện vật (E2)</t>
        </is>
      </c>
      <c r="F417" s="2" t="inlineStr">
        <is>
          <t>Mã nguồn</t>
        </is>
      </c>
      <c r="G417" s="2" t="inlineStr">
        <is>
          <t>MDD-40 E2</t>
        </is>
      </c>
      <c r="H417" s="6" t="inlineStr"/>
    </row>
    <row r="418">
      <c r="A418" s="2" t="inlineStr">
        <is>
          <t>A7.1</t>
        </is>
      </c>
      <c r="B418" s="2" t="inlineStr">
        <is>
          <t>Editor</t>
        </is>
      </c>
      <c r="C418" s="2" t="n">
        <v>2</v>
      </c>
      <c r="D418" s="2" t="inlineStr">
        <is>
          <t>C4</t>
        </is>
      </c>
      <c r="E418" s="2" t="inlineStr">
        <is>
          <t>Chặng</t>
        </is>
      </c>
      <c r="F418" s="2" t="inlineStr">
        <is>
          <t>Firmware</t>
        </is>
      </c>
      <c r="G418" s="2" t="inlineStr">
        <is>
          <t>MDD-40 A4</t>
        </is>
      </c>
      <c r="H418" s="6" t="inlineStr"/>
    </row>
    <row r="419">
      <c r="A419" s="2" t="inlineStr">
        <is>
          <t>A7.1</t>
        </is>
      </c>
      <c r="B419" s="2" t="inlineStr">
        <is>
          <t>Editor</t>
        </is>
      </c>
      <c r="C419" s="2" t="n">
        <v>2</v>
      </c>
      <c r="D419" s="2" t="inlineStr">
        <is>
          <t>UC03</t>
        </is>
      </c>
      <c r="E419" s="2" t="inlineStr">
        <is>
          <t>Usecase</t>
        </is>
      </c>
      <c r="F419" s="2" t="inlineStr">
        <is>
          <t>Sinh firmware, biên dịch, mô phỏng</t>
        </is>
      </c>
      <c r="G419" s="2" t="inlineStr">
        <is>
          <t>Excel 76 TC</t>
        </is>
      </c>
      <c r="H419" s="6" t="inlineStr"/>
    </row>
    <row r="420">
      <c r="A420" s="2" t="inlineStr">
        <is>
          <t>A7.1.1</t>
        </is>
      </c>
      <c r="B420" s="2" t="inlineStr">
        <is>
          <t>Cây dự án + editor; hằng số gạch chân nguồn (hover → Fact)</t>
        </is>
      </c>
      <c r="C420" s="2" t="n">
        <v>3</v>
      </c>
      <c r="D420" s="2" t="inlineStr">
        <is>
          <t>AR13</t>
        </is>
      </c>
      <c r="E420" s="2" t="inlineStr">
        <is>
          <t>Hiện vật (E2)</t>
        </is>
      </c>
      <c r="F420" s="2" t="inlineStr">
        <is>
          <t>Mã nguồn</t>
        </is>
      </c>
      <c r="G420" s="2" t="inlineStr">
        <is>
          <t>MDD-40 E2</t>
        </is>
      </c>
      <c r="H420" s="6" t="inlineStr"/>
    </row>
    <row r="421">
      <c r="A421" s="2" t="inlineStr">
        <is>
          <t>A7.1.1</t>
        </is>
      </c>
      <c r="B421" s="2" t="inlineStr">
        <is>
          <t>Cây dự án + editor; hằng số gạch chân nguồn (hover → Fact)</t>
        </is>
      </c>
      <c r="C421" s="2" t="n">
        <v>3</v>
      </c>
      <c r="D421" s="2" t="inlineStr">
        <is>
          <t>N1</t>
        </is>
      </c>
      <c r="E421" s="2" t="inlineStr">
        <is>
          <t>Nguyên tắc</t>
        </is>
      </c>
      <c r="F421" s="2" t="inlineStr">
        <is>
          <t>Datasheet là nguồn sự thật — mọi con số truy vết tới tài liệu/trang</t>
        </is>
      </c>
      <c r="G421" s="2" t="inlineStr">
        <is>
          <t>MDD-40 A3</t>
        </is>
      </c>
      <c r="H421" s="6" t="inlineStr"/>
    </row>
    <row r="422">
      <c r="A422" s="2" t="inlineStr">
        <is>
          <t>A7.1.1</t>
        </is>
      </c>
      <c r="B422" s="2" t="inlineStr">
        <is>
          <t>Cây dự án + editor; hằng số gạch chân nguồn (hover → Fact)</t>
        </is>
      </c>
      <c r="C422" s="2" t="n">
        <v>3</v>
      </c>
      <c r="D422" s="2" t="inlineStr">
        <is>
          <t>PR2</t>
        </is>
      </c>
      <c r="E422" s="2" t="inlineStr">
        <is>
          <t>Quy tắc trình bày</t>
        </is>
      </c>
      <c r="F422" s="2" t="inlineStr">
        <is>
          <t>Mọi con số là liên kết ra nguồn</t>
        </is>
      </c>
      <c r="G422" s="2" t="inlineStr">
        <is>
          <t>MDD-40 E3.2</t>
        </is>
      </c>
      <c r="H422" s="6" t="inlineStr"/>
    </row>
    <row r="423">
      <c r="A423" s="2" t="inlineStr">
        <is>
          <t>A7.1.2</t>
        </is>
      </c>
      <c r="B423" s="2" t="inlineStr">
        <is>
          <t>Sửa tự do; Lưu = HumanAct edit (luôn tự duyệt)</t>
        </is>
      </c>
      <c r="C423" s="2" t="n">
        <v>3</v>
      </c>
      <c r="D423" s="2" t="inlineStr">
        <is>
          <t>HA-edit</t>
        </is>
      </c>
      <c r="E423" s="2" t="inlineStr">
        <is>
          <t>HumanAct</t>
        </is>
      </c>
      <c r="F423" s="2" t="inlineStr">
        <is>
          <t>Sửa hiện vật rồi lưu</t>
        </is>
      </c>
      <c r="G423" s="2" t="inlineStr">
        <is>
          <t>MDD-40 D2</t>
        </is>
      </c>
      <c r="H423" s="6" t="inlineStr"/>
    </row>
    <row r="424">
      <c r="A424" s="2" t="inlineStr">
        <is>
          <t>A7.1.2</t>
        </is>
      </c>
      <c r="B424" s="2" t="inlineStr">
        <is>
          <t>Sửa tự do; Lưu = HumanAct edit (luôn tự duyệt)</t>
        </is>
      </c>
      <c r="C424" s="2" t="n">
        <v>3</v>
      </c>
      <c r="D424" s="2" t="inlineStr">
        <is>
          <t>ED2</t>
        </is>
      </c>
      <c r="E424" s="2" t="inlineStr">
        <is>
          <t>Đồng bộ khi người sửa</t>
        </is>
      </c>
      <c r="F424" s="2" t="inlineStr">
        <is>
          <t>Lưu → HumanAct edit qua Console; dòng '[Bạn] Sửa…'</t>
        </is>
      </c>
      <c r="G424" s="2" t="inlineStr">
        <is>
          <t>MDD-40 E4</t>
        </is>
      </c>
      <c r="H424" s="6" t="inlineStr"/>
    </row>
    <row r="425">
      <c r="A425" s="2" t="inlineStr">
        <is>
          <t>A7.1.2</t>
        </is>
      </c>
      <c r="B425" s="2" t="inlineStr">
        <is>
          <t>Sửa tự do; Lưu = HumanAct edit (luôn tự duyệt)</t>
        </is>
      </c>
      <c r="C425" s="2" t="n">
        <v>3</v>
      </c>
      <c r="D425" s="2" t="inlineStr">
        <is>
          <t>EDK-content</t>
        </is>
      </c>
      <c r="E425" s="2" t="inlineStr">
        <is>
          <t>Loại sửa của người</t>
        </is>
      </c>
      <c r="F425" s="2" t="inlineStr">
        <is>
          <t>Sửa nội dung → STALE + đề nghị</t>
        </is>
      </c>
      <c r="G425" s="2" t="inlineStr">
        <is>
          <t>MDD-40 E4.1</t>
        </is>
      </c>
      <c r="H425" s="6" t="inlineStr"/>
    </row>
    <row r="426">
      <c r="A426" s="2" t="inlineStr">
        <is>
          <t>A7.1.3</t>
        </is>
      </c>
      <c r="B426" s="2" t="inlineStr">
        <is>
          <t>Thanh soft-lock 'tác tử đang sửa' + cảnh báo lock_broken</t>
        </is>
      </c>
      <c r="C426" s="2" t="n">
        <v>3</v>
      </c>
      <c r="D426" s="2" t="inlineStr">
        <is>
          <t>UI-surface.lock</t>
        </is>
      </c>
      <c r="E426" s="2" t="inlineStr">
        <is>
          <t>UICommand</t>
        </is>
      </c>
      <c r="F426" s="2" t="inlineStr">
        <is>
          <t>Soft-lock khối tác tử đang sửa</t>
        </is>
      </c>
      <c r="G426" s="2" t="inlineStr">
        <is>
          <t>MDD-40 D2</t>
        </is>
      </c>
      <c r="H426" s="6" t="inlineStr"/>
    </row>
    <row r="427">
      <c r="A427" s="2" t="inlineStr">
        <is>
          <t>A7.1.3</t>
        </is>
      </c>
      <c r="B427" s="2" t="inlineStr">
        <is>
          <t>Thanh soft-lock 'tác tử đang sửa' + cảnh báo lock_broken</t>
        </is>
      </c>
      <c r="C427" s="2" t="n">
        <v>3</v>
      </c>
      <c r="D427" s="2" t="inlineStr">
        <is>
          <t>UI-surface.unlock</t>
        </is>
      </c>
      <c r="E427" s="2" t="inlineStr">
        <is>
          <t>UICommand</t>
        </is>
      </c>
      <c r="F427" s="2" t="inlineStr">
        <is>
          <t>Bỏ khoá</t>
        </is>
      </c>
      <c r="G427" s="2" t="inlineStr">
        <is>
          <t>MDD-40 D2</t>
        </is>
      </c>
      <c r="H427" s="6" t="inlineStr"/>
    </row>
    <row r="428">
      <c r="A428" s="2" t="inlineStr">
        <is>
          <t>A7.1.3</t>
        </is>
      </c>
      <c r="B428" s="2" t="inlineStr">
        <is>
          <t>Thanh soft-lock 'tác tử đang sửa' + cảnh báo lock_broken</t>
        </is>
      </c>
      <c r="C428" s="2" t="n">
        <v>3</v>
      </c>
      <c r="D428" s="2" t="inlineStr">
        <is>
          <t>EDK-lockbroken</t>
        </is>
      </c>
      <c r="E428" s="2" t="inlineStr">
        <is>
          <t>Loại sửa của người</t>
        </is>
      </c>
      <c r="F428" s="2" t="inlineStr">
        <is>
          <t>Sửa tệp đang khoá → merge, không ghi đè</t>
        </is>
      </c>
      <c r="G428" s="2" t="inlineStr">
        <is>
          <t>MDD-40 E4.1</t>
        </is>
      </c>
      <c r="H428" s="6" t="inlineStr"/>
    </row>
    <row r="429">
      <c r="A429" s="2" t="inlineStr">
        <is>
          <t>A7.1.3</t>
        </is>
      </c>
      <c r="B429" s="2" t="inlineStr">
        <is>
          <t>Thanh soft-lock 'tác tử đang sửa' + cảnh báo lock_broken</t>
        </is>
      </c>
      <c r="C429" s="2" t="n">
        <v>3</v>
      </c>
      <c r="D429" s="2" t="inlineStr">
        <is>
          <t>ED1</t>
        </is>
      </c>
      <c r="E429" s="2" t="inlineStr">
        <is>
          <t>Đồng bộ khi người sửa</t>
        </is>
      </c>
      <c r="F429" s="2" t="inlineStr">
        <is>
          <t>Sửa trên Surface bằng widget đúng loại; cảnh báo soft-lock</t>
        </is>
      </c>
      <c r="G429" s="2" t="inlineStr">
        <is>
          <t>MDD-40 E4</t>
        </is>
      </c>
      <c r="H429" s="6" t="inlineStr"/>
    </row>
    <row r="430">
      <c r="A430" s="2" t="inlineStr">
        <is>
          <t>A7.1.4</t>
        </is>
      </c>
      <c r="B430" s="2" t="inlineStr">
        <is>
          <t>Xung đột → hai bản cạnh nhau, chọn từng đoạn</t>
        </is>
      </c>
      <c r="C430" s="2" t="n">
        <v>3</v>
      </c>
      <c r="D430" s="2" t="inlineStr">
        <is>
          <t>ED3</t>
        </is>
      </c>
      <c r="E430" s="2" t="inlineStr">
        <is>
          <t>Đồng bộ khi người sửa</t>
        </is>
      </c>
      <c r="F430" s="2" t="inlineStr">
        <is>
          <t>Kiểm lược đồ + 3-way merge; xung đột → thẻ hai bản</t>
        </is>
      </c>
      <c r="G430" s="2" t="inlineStr">
        <is>
          <t>MDD-40 E4</t>
        </is>
      </c>
      <c r="H430" s="6" t="inlineStr"/>
    </row>
    <row r="431">
      <c r="A431" s="2" t="inlineStr">
        <is>
          <t>A7.1.4</t>
        </is>
      </c>
      <c r="B431" s="2" t="inlineStr">
        <is>
          <t>Xung đột → hai bản cạnh nhau, chọn từng đoạn</t>
        </is>
      </c>
      <c r="C431" s="2" t="n">
        <v>3</v>
      </c>
      <c r="D431" s="2" t="inlineStr">
        <is>
          <t>G-FILE</t>
        </is>
      </c>
      <c r="E431" s="2" t="inlineStr">
        <is>
          <t>Cổng</t>
        </is>
      </c>
      <c r="F431" s="2" t="inlineStr">
        <is>
          <t>Ghi đè tệp người đã sửa</t>
        </is>
      </c>
      <c r="G431" s="2" t="inlineStr">
        <is>
          <t>MDD-40 B4/E7</t>
        </is>
      </c>
      <c r="H431" s="6" t="inlineStr"/>
    </row>
    <row r="432">
      <c r="A432" s="2" t="inlineStr">
        <is>
          <t>A7.2</t>
        </is>
      </c>
      <c r="B432" s="2" t="inlineStr">
        <is>
          <t>Thay đổi của tác tử (diff)</t>
        </is>
      </c>
      <c r="C432" s="2" t="n">
        <v>2</v>
      </c>
      <c r="D432" s="2" t="inlineStr">
        <is>
          <t>AR14</t>
        </is>
      </c>
      <c r="E432" s="2" t="inlineStr">
        <is>
          <t>Hiện vật (E2)</t>
        </is>
      </c>
      <c r="F432" s="2" t="inlineStr">
        <is>
          <t>Diff của tác tử</t>
        </is>
      </c>
      <c r="G432" s="2" t="inlineStr">
        <is>
          <t>MDD-40 E2</t>
        </is>
      </c>
      <c r="H432" s="6" t="inlineStr"/>
    </row>
    <row r="433">
      <c r="A433" s="2" t="inlineStr">
        <is>
          <t>A7.2.1</t>
        </is>
      </c>
      <c r="B433" s="2" t="inlineStr">
        <is>
          <t>Diff viewer ≤ 200 dòng nguyên văn / tóm tắt; lý do; hằng số mới có nguồn?</t>
        </is>
      </c>
      <c r="C433" s="2" t="n">
        <v>3</v>
      </c>
      <c r="D433" s="2" t="inlineStr">
        <is>
          <t>AR14</t>
        </is>
      </c>
      <c r="E433" s="2" t="inlineStr">
        <is>
          <t>Hiện vật (E2)</t>
        </is>
      </c>
      <c r="F433" s="2" t="inlineStr">
        <is>
          <t>Diff của tác tử</t>
        </is>
      </c>
      <c r="G433" s="2" t="inlineStr">
        <is>
          <t>MDD-40 E2</t>
        </is>
      </c>
      <c r="H433" s="6" t="inlineStr"/>
    </row>
    <row r="434">
      <c r="A434" s="2" t="inlineStr">
        <is>
          <t>A7.2.1</t>
        </is>
      </c>
      <c r="B434" s="2" t="inlineStr">
        <is>
          <t>Diff viewer ≤ 200 dòng nguyên văn / tóm tắt; lý do; hằng số mới có nguồn?</t>
        </is>
      </c>
      <c r="C434" s="2" t="n">
        <v>3</v>
      </c>
      <c r="D434" s="2" t="inlineStr">
        <is>
          <t>EX-why</t>
        </is>
      </c>
      <c r="E434" s="2" t="inlineStr">
        <is>
          <t>Lớp giải thích</t>
        </is>
      </c>
      <c r="F434" s="2" t="inlineStr">
        <is>
          <t>Vì sao</t>
        </is>
      </c>
      <c r="G434" s="2" t="inlineStr">
        <is>
          <t>MDD-40 E3.1</t>
        </is>
      </c>
      <c r="H434" s="6" t="inlineStr"/>
    </row>
    <row r="435">
      <c r="A435" s="2" t="inlineStr">
        <is>
          <t>A7.2.1</t>
        </is>
      </c>
      <c r="B435" s="2" t="inlineStr">
        <is>
          <t>Diff viewer ≤ 200 dòng nguyên văn / tóm tắt; lý do; hằng số mới có nguồn?</t>
        </is>
      </c>
      <c r="C435" s="2" t="n">
        <v>3</v>
      </c>
      <c r="D435" s="2" t="inlineStr">
        <is>
          <t>N1</t>
        </is>
      </c>
      <c r="E435" s="2" t="inlineStr">
        <is>
          <t>Nguyên tắc</t>
        </is>
      </c>
      <c r="F435" s="2" t="inlineStr">
        <is>
          <t>Datasheet là nguồn sự thật — mọi con số truy vết tới tài liệu/trang</t>
        </is>
      </c>
      <c r="G435" s="2" t="inlineStr">
        <is>
          <t>MDD-40 A3</t>
        </is>
      </c>
      <c r="H435" s="6" t="inlineStr"/>
    </row>
    <row r="436">
      <c r="A436" s="2" t="inlineStr">
        <is>
          <t>A7.2.2</t>
        </is>
      </c>
      <c r="B436" s="2" t="inlineStr">
        <is>
          <t>Hoàn tác từng diff</t>
        </is>
      </c>
      <c r="C436" s="2" t="n">
        <v>3</v>
      </c>
      <c r="D436" s="2" t="inlineStr">
        <is>
          <t>CS-undo1</t>
        </is>
      </c>
      <c r="E436" s="2" t="inlineStr">
        <is>
          <t>Changeset &amp; rollback</t>
        </is>
      </c>
      <c r="F436" s="2" t="inlineStr">
        <is>
          <t>Hoàn tác một changeset</t>
        </is>
      </c>
      <c r="G436" s="2" t="inlineStr">
        <is>
          <t>MDD-40 E5</t>
        </is>
      </c>
      <c r="H436" s="6" t="inlineStr"/>
    </row>
    <row r="437">
      <c r="A437" s="2" t="inlineStr">
        <is>
          <t>A7.2.2</t>
        </is>
      </c>
      <c r="B437" s="2" t="inlineStr">
        <is>
          <t>Hoàn tác từng diff</t>
        </is>
      </c>
      <c r="C437" s="2" t="n">
        <v>3</v>
      </c>
      <c r="D437" s="2" t="inlineStr">
        <is>
          <t>HA-undo</t>
        </is>
      </c>
      <c r="E437" s="2" t="inlineStr">
        <is>
          <t>HumanAct</t>
        </is>
      </c>
      <c r="F437" s="2" t="inlineStr">
        <is>
          <t>Hoàn tác</t>
        </is>
      </c>
      <c r="G437" s="2" t="inlineStr">
        <is>
          <t>MDD-40 D2</t>
        </is>
      </c>
      <c r="H437" s="6" t="inlineStr"/>
    </row>
    <row r="438">
      <c r="A438" s="2" t="inlineStr">
        <is>
          <t>A7.2.3</t>
        </is>
      </c>
      <c r="B438" s="2" t="inlineStr">
        <is>
          <t>Duyệt ghi đè tệp người đã sửa (thẻ G-FILE)</t>
        </is>
      </c>
      <c r="C438" s="2" t="n">
        <v>3</v>
      </c>
      <c r="D438" s="2" t="inlineStr">
        <is>
          <t>G-FILE</t>
        </is>
      </c>
      <c r="E438" s="2" t="inlineStr">
        <is>
          <t>Cổng</t>
        </is>
      </c>
      <c r="F438" s="2" t="inlineStr">
        <is>
          <t>Ghi đè tệp người đã sửa</t>
        </is>
      </c>
      <c r="G438" s="2" t="inlineStr">
        <is>
          <t>MDD-40 B4/E7</t>
        </is>
      </c>
      <c r="H438" s="6" t="inlineStr"/>
    </row>
    <row r="439">
      <c r="A439" s="2" t="inlineStr">
        <is>
          <t>A7.2.3</t>
        </is>
      </c>
      <c r="B439" s="2" t="inlineStr">
        <is>
          <t>Duyệt ghi đè tệp người đã sửa (thẻ G-FILE)</t>
        </is>
      </c>
      <c r="C439" s="2" t="n">
        <v>3</v>
      </c>
      <c r="D439" s="2" t="inlineStr">
        <is>
          <t>HA-decide</t>
        </is>
      </c>
      <c r="E439" s="2" t="inlineStr">
        <is>
          <t>HumanAct</t>
        </is>
      </c>
      <c r="F439" s="2" t="inlineStr">
        <is>
          <t>Quyết định cổng</t>
        </is>
      </c>
      <c r="G439" s="2" t="inlineStr">
        <is>
          <t>MDD-40 D2</t>
        </is>
      </c>
      <c r="H439" s="6" t="inlineStr"/>
    </row>
    <row r="440">
      <c r="A440" s="2" t="inlineStr">
        <is>
          <t>A7.3</t>
        </is>
      </c>
      <c r="B440" s="2" t="inlineStr">
        <is>
          <t>Kết quả build</t>
        </is>
      </c>
      <c r="C440" s="2" t="n">
        <v>2</v>
      </c>
      <c r="D440" s="2" t="inlineStr">
        <is>
          <t>AR15</t>
        </is>
      </c>
      <c r="E440" s="2" t="inlineStr">
        <is>
          <t>Hiện vật (E2)</t>
        </is>
      </c>
      <c r="F440" s="2" t="inlineStr">
        <is>
          <t>Kết quả build</t>
        </is>
      </c>
      <c r="G440" s="2" t="inlineStr">
        <is>
          <t>MDD-40 E2</t>
        </is>
      </c>
      <c r="H440" s="6" t="inlineStr"/>
    </row>
    <row r="441">
      <c r="A441" s="2" t="inlineStr">
        <is>
          <t>A7.3</t>
        </is>
      </c>
      <c r="B441" s="2" t="inlineStr">
        <is>
          <t>Kết quả build</t>
        </is>
      </c>
      <c r="C441" s="2" t="n">
        <v>2</v>
      </c>
      <c r="D441" s="2" t="inlineStr">
        <is>
          <t>TL-build</t>
        </is>
      </c>
      <c r="E441" s="2" t="inlineStr">
        <is>
          <t>Năng lực chuyên môn</t>
        </is>
      </c>
      <c r="F441" s="2" t="inlineStr">
        <is>
          <t>Biên dịch; warning giải thích; Flash/RAM vs Fact</t>
        </is>
      </c>
      <c r="G441" s="2" t="inlineStr">
        <is>
          <t>MDD-40 B3/UC</t>
        </is>
      </c>
      <c r="H441" s="6" t="inlineStr"/>
    </row>
    <row r="442">
      <c r="A442" s="2" t="inlineStr">
        <is>
          <t>A7.3.1</t>
        </is>
      </c>
      <c r="B442" s="2" t="inlineStr">
        <is>
          <t>kv đạt/không; warning có giải thích; thanh Flash/RAM so với Fact budget</t>
        </is>
      </c>
      <c r="C442" s="2" t="n">
        <v>3</v>
      </c>
      <c r="D442" s="2" t="inlineStr">
        <is>
          <t>AR15</t>
        </is>
      </c>
      <c r="E442" s="2" t="inlineStr">
        <is>
          <t>Hiện vật (E2)</t>
        </is>
      </c>
      <c r="F442" s="2" t="inlineStr">
        <is>
          <t>Kết quả build</t>
        </is>
      </c>
      <c r="G442" s="2" t="inlineStr">
        <is>
          <t>MDD-40 E2</t>
        </is>
      </c>
      <c r="H442" s="6" t="inlineStr"/>
    </row>
    <row r="443">
      <c r="A443" s="2" t="inlineStr">
        <is>
          <t>A7.3.1</t>
        </is>
      </c>
      <c r="B443" s="2" t="inlineStr">
        <is>
          <t>kv đạt/không; warning có giải thích; thanh Flash/RAM so với Fact budget</t>
        </is>
      </c>
      <c r="C443" s="2" t="n">
        <v>3</v>
      </c>
      <c r="D443" s="2" t="inlineStr">
        <is>
          <t>TL-build</t>
        </is>
      </c>
      <c r="E443" s="2" t="inlineStr">
        <is>
          <t>Năng lực chuyên môn</t>
        </is>
      </c>
      <c r="F443" s="2" t="inlineStr">
        <is>
          <t>Biên dịch; warning giải thích; Flash/RAM vs Fact</t>
        </is>
      </c>
      <c r="G443" s="2" t="inlineStr">
        <is>
          <t>MDD-40 B3/UC</t>
        </is>
      </c>
      <c r="H443" s="6" t="inlineStr"/>
    </row>
    <row r="444">
      <c r="A444" s="2" t="inlineStr">
        <is>
          <t>A7.3.1</t>
        </is>
      </c>
      <c r="B444" s="2" t="inlineStr">
        <is>
          <t>kv đạt/không; warning có giải thích; thanh Flash/RAM so với Fact budget</t>
        </is>
      </c>
      <c r="C444" s="2" t="n">
        <v>3</v>
      </c>
      <c r="D444" s="2" t="inlineStr">
        <is>
          <t>UC03</t>
        </is>
      </c>
      <c r="E444" s="2" t="inlineStr">
        <is>
          <t>Usecase</t>
        </is>
      </c>
      <c r="F444" s="2" t="inlineStr">
        <is>
          <t>Sinh firmware, biên dịch, mô phỏng</t>
        </is>
      </c>
      <c r="G444" s="2" t="inlineStr">
        <is>
          <t>Excel 76 TC</t>
        </is>
      </c>
      <c r="H444" s="6" t="inlineStr"/>
    </row>
    <row r="445">
      <c r="A445" s="2" t="inlineStr">
        <is>
          <t>A7.3.2</t>
        </is>
      </c>
      <c r="B445" s="2" t="inlineStr">
        <is>
          <t>Vòng tự sửa: diff + lỗi cuối sau 3 lần</t>
        </is>
      </c>
      <c r="C445" s="2" t="n">
        <v>3</v>
      </c>
      <c r="D445" s="2" t="inlineStr">
        <is>
          <t>UC03</t>
        </is>
      </c>
      <c r="E445" s="2" t="inlineStr">
        <is>
          <t>Usecase</t>
        </is>
      </c>
      <c r="F445" s="2" t="inlineStr">
        <is>
          <t>Sinh firmware, biên dịch, mô phỏng</t>
        </is>
      </c>
      <c r="G445" s="2" t="inlineStr">
        <is>
          <t>Excel 76 TC</t>
        </is>
      </c>
      <c r="H445" s="6" t="inlineStr"/>
    </row>
    <row r="446">
      <c r="A446" s="2" t="inlineStr">
        <is>
          <t>A7.3.2</t>
        </is>
      </c>
      <c r="B446" s="2" t="inlineStr">
        <is>
          <t>Vòng tự sửa: diff + lỗi cuối sau 3 lần</t>
        </is>
      </c>
      <c r="C446" s="2" t="n">
        <v>3</v>
      </c>
      <c r="D446" s="2" t="inlineStr">
        <is>
          <t>PR5</t>
        </is>
      </c>
      <c r="E446" s="2" t="inlineStr">
        <is>
          <t>Quy tắc trình bày</t>
        </is>
      </c>
      <c r="F446" s="2" t="inlineStr">
        <is>
          <t>Không giấu thất bại — khối riêng</t>
        </is>
      </c>
      <c r="G446" s="2" t="inlineStr">
        <is>
          <t>MDD-40 E3.2</t>
        </is>
      </c>
      <c r="H446" s="6" t="inlineStr"/>
    </row>
    <row r="447">
      <c r="A447" s="2" t="inlineStr">
        <is>
          <t>A7.4</t>
        </is>
      </c>
      <c r="B447" s="2" t="inlineStr">
        <is>
          <t>Porting &amp; tối ưu</t>
        </is>
      </c>
      <c r="C447" s="2" t="n">
        <v>2</v>
      </c>
      <c r="D447" s="2" t="inlineStr">
        <is>
          <t>UC09</t>
        </is>
      </c>
      <c r="E447" s="2" t="inlineStr">
        <is>
          <t>Usecase</t>
        </is>
      </c>
      <c r="F447" s="2" t="inlineStr">
        <is>
          <t>Porting</t>
        </is>
      </c>
      <c r="G447" s="2" t="inlineStr">
        <is>
          <t>Excel 76 TC</t>
        </is>
      </c>
      <c r="H447" s="6" t="inlineStr"/>
    </row>
    <row r="448">
      <c r="A448" s="2" t="inlineStr">
        <is>
          <t>A7.4</t>
        </is>
      </c>
      <c r="B448" s="2" t="inlineStr">
        <is>
          <t>Porting &amp; tối ưu</t>
        </is>
      </c>
      <c r="C448" s="2" t="n">
        <v>2</v>
      </c>
      <c r="D448" s="2" t="inlineStr">
        <is>
          <t>UC12</t>
        </is>
      </c>
      <c r="E448" s="2" t="inlineStr">
        <is>
          <t>Usecase</t>
        </is>
      </c>
      <c r="F448" s="2" t="inlineStr">
        <is>
          <t>Tối ưu bộ nhớ/hiệu năng/điện</t>
        </is>
      </c>
      <c r="G448" s="2" t="inlineStr">
        <is>
          <t>Excel 76 TC</t>
        </is>
      </c>
      <c r="H448" s="6" t="inlineStr"/>
    </row>
    <row r="449">
      <c r="A449" s="2" t="inlineStr">
        <is>
          <t>A7.4.1</t>
        </is>
      </c>
      <c r="B449" s="2" t="inlineStr">
        <is>
          <t>Bảng ánh xạ ngoại vi cũ→mới; điểm không port được</t>
        </is>
      </c>
      <c r="C449" s="2" t="n">
        <v>3</v>
      </c>
      <c r="D449" s="2" t="inlineStr">
        <is>
          <t>TL-port</t>
        </is>
      </c>
      <c r="E449" s="2" t="inlineStr">
        <is>
          <t>Năng lực chuyên môn</t>
        </is>
      </c>
      <c r="F449" s="2" t="inlineStr">
        <is>
          <t>Bảng ánh xạ ngoại vi khi porting</t>
        </is>
      </c>
      <c r="G449" s="2" t="inlineStr">
        <is>
          <t>MDD-40 B3/UC</t>
        </is>
      </c>
      <c r="H449" s="6" t="inlineStr"/>
    </row>
    <row r="450">
      <c r="A450" s="2" t="inlineStr">
        <is>
          <t>A7.4.1</t>
        </is>
      </c>
      <c r="B450" s="2" t="inlineStr">
        <is>
          <t>Bảng ánh xạ ngoại vi cũ→mới; điểm không port được</t>
        </is>
      </c>
      <c r="C450" s="2" t="n">
        <v>3</v>
      </c>
      <c r="D450" s="2" t="inlineStr">
        <is>
          <t>UC09</t>
        </is>
      </c>
      <c r="E450" s="2" t="inlineStr">
        <is>
          <t>Usecase</t>
        </is>
      </c>
      <c r="F450" s="2" t="inlineStr">
        <is>
          <t>Porting</t>
        </is>
      </c>
      <c r="G450" s="2" t="inlineStr">
        <is>
          <t>Excel 76 TC</t>
        </is>
      </c>
      <c r="H450" s="6" t="inlineStr"/>
    </row>
    <row r="451">
      <c r="A451" s="2" t="inlineStr">
        <is>
          <t>A7.4.2</t>
        </is>
      </c>
      <c r="B451" s="2" t="inlineStr">
        <is>
          <t>Số đo trước/sau tối ưu; hồi quy</t>
        </is>
      </c>
      <c r="C451" s="2" t="n">
        <v>3</v>
      </c>
      <c r="D451" s="2" t="inlineStr">
        <is>
          <t>TL-opt</t>
        </is>
      </c>
      <c r="E451" s="2" t="inlineStr">
        <is>
          <t>Năng lực chuyên môn</t>
        </is>
      </c>
      <c r="F451" s="2" t="inlineStr">
        <is>
          <t>Tối ưu: số đo trước/sau</t>
        </is>
      </c>
      <c r="G451" s="2" t="inlineStr">
        <is>
          <t>MDD-40 B3/UC</t>
        </is>
      </c>
      <c r="H451" s="6" t="inlineStr"/>
    </row>
    <row r="452">
      <c r="A452" s="2" t="inlineStr">
        <is>
          <t>A7.4.2</t>
        </is>
      </c>
      <c r="B452" s="2" t="inlineStr">
        <is>
          <t>Số đo trước/sau tối ưu; hồi quy</t>
        </is>
      </c>
      <c r="C452" s="2" t="n">
        <v>3</v>
      </c>
      <c r="D452" s="2" t="inlineStr">
        <is>
          <t>UC12</t>
        </is>
      </c>
      <c r="E452" s="2" t="inlineStr">
        <is>
          <t>Usecase</t>
        </is>
      </c>
      <c r="F452" s="2" t="inlineStr">
        <is>
          <t>Tối ưu bộ nhớ/hiệu năng/điện</t>
        </is>
      </c>
      <c r="G452" s="2" t="inlineStr">
        <is>
          <t>Excel 76 TC</t>
        </is>
      </c>
      <c r="H452" s="6" t="inlineStr"/>
    </row>
    <row r="453">
      <c r="A453" s="2" t="inlineStr">
        <is>
          <t>A7.5</t>
        </is>
      </c>
      <c r="B453" s="2" t="inlineStr">
        <is>
          <t>Kiểm thử tự động</t>
        </is>
      </c>
      <c r="C453" s="2" t="n">
        <v>2</v>
      </c>
      <c r="D453" s="2" t="inlineStr">
        <is>
          <t>UC11</t>
        </is>
      </c>
      <c r="E453" s="2" t="inlineStr">
        <is>
          <t>Usecase</t>
        </is>
      </c>
      <c r="F453" s="2" t="inlineStr">
        <is>
          <t>Kiểm thử tự động / HIL</t>
        </is>
      </c>
      <c r="G453" s="2" t="inlineStr">
        <is>
          <t>Excel 76 TC</t>
        </is>
      </c>
      <c r="H453" s="6" t="inlineStr"/>
    </row>
    <row r="454">
      <c r="A454" s="2" t="inlineStr">
        <is>
          <t>A7.5</t>
        </is>
      </c>
      <c r="B454" s="2" t="inlineStr">
        <is>
          <t>Kiểm thử tự động</t>
        </is>
      </c>
      <c r="C454" s="2" t="n">
        <v>2</v>
      </c>
      <c r="D454" s="2" t="inlineStr">
        <is>
          <t>TL-test</t>
        </is>
      </c>
      <c r="E454" s="2" t="inlineStr">
        <is>
          <t>Năng lực chuyên môn</t>
        </is>
      </c>
      <c r="F454" s="2" t="inlineStr">
        <is>
          <t>Unit test/HIL: đạt/không, độ phủ</t>
        </is>
      </c>
      <c r="G454" s="2" t="inlineStr">
        <is>
          <t>MDD-40 B3/UC</t>
        </is>
      </c>
      <c r="H454" s="6" t="inlineStr"/>
    </row>
    <row r="455">
      <c r="A455" s="2" t="inlineStr">
        <is>
          <t>A7.5.1</t>
        </is>
      </c>
      <c r="B455" s="2" t="inlineStr">
        <is>
          <t>Kết quả unit test/HIL: đạt/không, độ phủ, flaky</t>
        </is>
      </c>
      <c r="C455" s="2" t="n">
        <v>3</v>
      </c>
      <c r="D455" s="2" t="inlineStr">
        <is>
          <t>TL-test</t>
        </is>
      </c>
      <c r="E455" s="2" t="inlineStr">
        <is>
          <t>Năng lực chuyên môn</t>
        </is>
      </c>
      <c r="F455" s="2" t="inlineStr">
        <is>
          <t>Unit test/HIL: đạt/không, độ phủ</t>
        </is>
      </c>
      <c r="G455" s="2" t="inlineStr">
        <is>
          <t>MDD-40 B3/UC</t>
        </is>
      </c>
      <c r="H455" s="6" t="inlineStr"/>
    </row>
    <row r="456">
      <c r="A456" s="2" t="inlineStr">
        <is>
          <t>A7.5.1</t>
        </is>
      </c>
      <c r="B456" s="2" t="inlineStr">
        <is>
          <t>Kết quả unit test/HIL: đạt/không, độ phủ, flaky</t>
        </is>
      </c>
      <c r="C456" s="2" t="n">
        <v>3</v>
      </c>
      <c r="D456" s="2" t="inlineStr">
        <is>
          <t>UC11</t>
        </is>
      </c>
      <c r="E456" s="2" t="inlineStr">
        <is>
          <t>Usecase</t>
        </is>
      </c>
      <c r="F456" s="2" t="inlineStr">
        <is>
          <t>Kiểm thử tự động / HIL</t>
        </is>
      </c>
      <c r="G456" s="2" t="inlineStr">
        <is>
          <t>Excel 76 TC</t>
        </is>
      </c>
      <c r="H456" s="6" t="inlineStr"/>
    </row>
    <row r="457">
      <c r="A457" s="2" t="inlineStr">
        <is>
          <t>A8.1</t>
        </is>
      </c>
      <c r="B457" s="2" t="inlineStr">
        <is>
          <t>Tiêu chí (nêu trước)</t>
        </is>
      </c>
      <c r="C457" s="2" t="n">
        <v>2</v>
      </c>
      <c r="D457" s="2" t="inlineStr">
        <is>
          <t>AR16</t>
        </is>
      </c>
      <c r="E457" s="2" t="inlineStr">
        <is>
          <t>Hiện vật (E2)</t>
        </is>
      </c>
      <c r="F457" s="2" t="inlineStr">
        <is>
          <t>Tiêu chí mô phỏng</t>
        </is>
      </c>
      <c r="G457" s="2" t="inlineStr">
        <is>
          <t>MDD-40 E2</t>
        </is>
      </c>
      <c r="H457" s="6" t="inlineStr"/>
    </row>
    <row r="458">
      <c r="A458" s="2" t="inlineStr">
        <is>
          <t>A8.1</t>
        </is>
      </c>
      <c r="B458" s="2" t="inlineStr">
        <is>
          <t>Tiêu chí (nêu trước)</t>
        </is>
      </c>
      <c r="C458" s="2" t="n">
        <v>2</v>
      </c>
      <c r="D458" s="2" t="inlineStr">
        <is>
          <t>N6</t>
        </is>
      </c>
      <c r="E458" s="2" t="inlineStr">
        <is>
          <t>Nguyên tắc</t>
        </is>
      </c>
      <c r="F458" s="2" t="inlineStr">
        <is>
          <t>Không đạt giả — tiêu chí của người; log rỗng ≠ đạt; phần chưa mô phỏng nói rõ</t>
        </is>
      </c>
      <c r="G458" s="2" t="inlineStr">
        <is>
          <t>MDD-40 A3</t>
        </is>
      </c>
      <c r="H458" s="6" t="inlineStr"/>
    </row>
    <row r="459">
      <c r="A459" s="2" t="inlineStr">
        <is>
          <t>A8.1</t>
        </is>
      </c>
      <c r="B459" s="2" t="inlineStr">
        <is>
          <t>Tiêu chí (nêu trước)</t>
        </is>
      </c>
      <c r="C459" s="2" t="n">
        <v>2</v>
      </c>
      <c r="D459" s="2" t="inlineStr">
        <is>
          <t>TL-criteria</t>
        </is>
      </c>
      <c r="E459" s="2" t="inlineStr">
        <is>
          <t>Năng lực chuyên môn</t>
        </is>
      </c>
      <c r="F459" s="2" t="inlineStr">
        <is>
          <t>Tiêu chí mô phỏng nêu trước</t>
        </is>
      </c>
      <c r="G459" s="2" t="inlineStr">
        <is>
          <t>MDD-40 B3/UC</t>
        </is>
      </c>
      <c r="H459" s="6" t="inlineStr"/>
    </row>
    <row r="460">
      <c r="A460" s="2" t="inlineStr">
        <is>
          <t>A8.1.1</t>
        </is>
      </c>
      <c r="B460" s="2" t="inlineStr">
        <is>
          <t>Form assert: loại, ngưỡng (đơn vị), timeout; mỗi assert đo REQ nào; ngưỡng từ đâu</t>
        </is>
      </c>
      <c r="C460" s="2" t="n">
        <v>3</v>
      </c>
      <c r="D460" s="2" t="inlineStr">
        <is>
          <t>AR16</t>
        </is>
      </c>
      <c r="E460" s="2" t="inlineStr">
        <is>
          <t>Hiện vật (E2)</t>
        </is>
      </c>
      <c r="F460" s="2" t="inlineStr">
        <is>
          <t>Tiêu chí mô phỏng</t>
        </is>
      </c>
      <c r="G460" s="2" t="inlineStr">
        <is>
          <t>MDD-40 E2</t>
        </is>
      </c>
      <c r="H460" s="6" t="inlineStr"/>
    </row>
    <row r="461">
      <c r="A461" s="2" t="inlineStr">
        <is>
          <t>A8.1.1</t>
        </is>
      </c>
      <c r="B461" s="2" t="inlineStr">
        <is>
          <t>Form assert: loại, ngưỡng (đơn vị), timeout; mỗi assert đo REQ nào; ngưỡng từ đâu</t>
        </is>
      </c>
      <c r="C461" s="2" t="n">
        <v>3</v>
      </c>
      <c r="D461" s="2" t="inlineStr">
        <is>
          <t>EX-sources</t>
        </is>
      </c>
      <c r="E461" s="2" t="inlineStr">
        <is>
          <t>Lớp giải thích</t>
        </is>
      </c>
      <c r="F461" s="2" t="inlineStr">
        <is>
          <t>Nguồn bấm được + tầng</t>
        </is>
      </c>
      <c r="G461" s="2" t="inlineStr">
        <is>
          <t>MDD-40 E3.1</t>
        </is>
      </c>
      <c r="H461" s="6" t="inlineStr"/>
    </row>
    <row r="462">
      <c r="A462" s="2" t="inlineStr">
        <is>
          <t>A8.1.2</t>
        </is>
      </c>
      <c r="B462" s="2" t="inlineStr">
        <is>
          <t>Xác nhận tiêu chí (choose)</t>
        </is>
      </c>
      <c r="C462" s="2" t="n">
        <v>3</v>
      </c>
      <c r="D462" s="2" t="inlineStr">
        <is>
          <t>HA-choose</t>
        </is>
      </c>
      <c r="E462" s="2" t="inlineStr">
        <is>
          <t>HumanAct</t>
        </is>
      </c>
      <c r="F462" s="2" t="inlineStr">
        <is>
          <t>Chọn mục trong thẻ</t>
        </is>
      </c>
      <c r="G462" s="2" t="inlineStr">
        <is>
          <t>MDD-40 D2</t>
        </is>
      </c>
      <c r="H462" s="6" t="inlineStr"/>
    </row>
    <row r="463">
      <c r="A463" s="2" t="inlineStr">
        <is>
          <t>A8.1.2</t>
        </is>
      </c>
      <c r="B463" s="2" t="inlineStr">
        <is>
          <t>Xác nhận tiêu chí (choose)</t>
        </is>
      </c>
      <c r="C463" s="2" t="n">
        <v>3</v>
      </c>
      <c r="D463" s="2" t="inlineStr">
        <is>
          <t>TL-criteria</t>
        </is>
      </c>
      <c r="E463" s="2" t="inlineStr">
        <is>
          <t>Năng lực chuyên môn</t>
        </is>
      </c>
      <c r="F463" s="2" t="inlineStr">
        <is>
          <t>Tiêu chí mô phỏng nêu trước</t>
        </is>
      </c>
      <c r="G463" s="2" t="inlineStr">
        <is>
          <t>MDD-40 B3/UC</t>
        </is>
      </c>
      <c r="H463" s="6" t="inlineStr"/>
    </row>
    <row r="464">
      <c r="A464" s="2" t="inlineStr">
        <is>
          <t>A8.1.3</t>
        </is>
      </c>
      <c r="B464" s="2" t="inlineStr">
        <is>
          <t>Sửa ngưỡng sau khi có kết quả → thẻ G-QUAL (từ–đến–vì sao)</t>
        </is>
      </c>
      <c r="C464" s="2" t="n">
        <v>3</v>
      </c>
      <c r="D464" s="2" t="inlineStr">
        <is>
          <t>G-QUAL</t>
        </is>
      </c>
      <c r="E464" s="2" t="inlineStr">
        <is>
          <t>Cổng</t>
        </is>
      </c>
      <c r="F464" s="2" t="inlineStr">
        <is>
          <t>Đổi tiêu chí/test</t>
        </is>
      </c>
      <c r="G464" s="2" t="inlineStr">
        <is>
          <t>MDD-40 B4/E7</t>
        </is>
      </c>
      <c r="H464" s="6" t="inlineStr"/>
    </row>
    <row r="465">
      <c r="A465" s="2" t="inlineStr">
        <is>
          <t>A8.1.3</t>
        </is>
      </c>
      <c r="B465" s="2" t="inlineStr">
        <is>
          <t>Sửa ngưỡng sau khi có kết quả → thẻ G-QUAL (từ–đến–vì sao)</t>
        </is>
      </c>
      <c r="C465" s="2" t="n">
        <v>3</v>
      </c>
      <c r="D465" s="2" t="inlineStr">
        <is>
          <t>N6</t>
        </is>
      </c>
      <c r="E465" s="2" t="inlineStr">
        <is>
          <t>Nguyên tắc</t>
        </is>
      </c>
      <c r="F465" s="2" t="inlineStr">
        <is>
          <t>Không đạt giả — tiêu chí của người; log rỗng ≠ đạt; phần chưa mô phỏng nói rõ</t>
        </is>
      </c>
      <c r="G465" s="2" t="inlineStr">
        <is>
          <t>MDD-40 A3</t>
        </is>
      </c>
      <c r="H465" s="6" t="inlineStr"/>
    </row>
    <row r="466">
      <c r="A466" s="2" t="inlineStr">
        <is>
          <t>A8.1.3</t>
        </is>
      </c>
      <c r="B466" s="2" t="inlineStr">
        <is>
          <t>Sửa ngưỡng sau khi có kết quả → thẻ G-QUAL (từ–đến–vì sao)</t>
        </is>
      </c>
      <c r="C466" s="2" t="n">
        <v>3</v>
      </c>
      <c r="D466" s="2" t="inlineStr">
        <is>
          <t>HA-edit</t>
        </is>
      </c>
      <c r="E466" s="2" t="inlineStr">
        <is>
          <t>HumanAct</t>
        </is>
      </c>
      <c r="F466" s="2" t="inlineStr">
        <is>
          <t>Sửa hiện vật rồi lưu</t>
        </is>
      </c>
      <c r="G466" s="2" t="inlineStr">
        <is>
          <t>MDD-40 D2</t>
        </is>
      </c>
      <c r="H466" s="6" t="inlineStr"/>
    </row>
    <row r="467">
      <c r="A467" s="2" t="inlineStr">
        <is>
          <t>A8.2</t>
        </is>
      </c>
      <c r="B467" s="2" t="inlineStr">
        <is>
          <t>Kết quả mô phỏng</t>
        </is>
      </c>
      <c r="C467" s="2" t="n">
        <v>2</v>
      </c>
      <c r="D467" s="2" t="inlineStr">
        <is>
          <t>AR17</t>
        </is>
      </c>
      <c r="E467" s="2" t="inlineStr">
        <is>
          <t>Hiện vật (E2)</t>
        </is>
      </c>
      <c r="F467" s="2" t="inlineStr">
        <is>
          <t>Kết quả mô phỏng</t>
        </is>
      </c>
      <c r="G467" s="2" t="inlineStr">
        <is>
          <t>MDD-40 E2</t>
        </is>
      </c>
      <c r="H467" s="6" t="inlineStr"/>
    </row>
    <row r="468">
      <c r="A468" s="2" t="inlineStr">
        <is>
          <t>A8.2</t>
        </is>
      </c>
      <c r="B468" s="2" t="inlineStr">
        <is>
          <t>Kết quả mô phỏng</t>
        </is>
      </c>
      <c r="C468" s="2" t="n">
        <v>2</v>
      </c>
      <c r="D468" s="2" t="inlineStr">
        <is>
          <t>TL-simrun</t>
        </is>
      </c>
      <c r="E468" s="2" t="inlineStr">
        <is>
          <t>Năng lực chuyên môn</t>
        </is>
      </c>
      <c r="F468" s="2" t="inlineStr">
        <is>
          <t>Chạy mô phỏng: log/VCD/verdict/không mô phỏng được</t>
        </is>
      </c>
      <c r="G468" s="2" t="inlineStr">
        <is>
          <t>MDD-40 B3/UC</t>
        </is>
      </c>
      <c r="H468" s="6" t="inlineStr"/>
    </row>
    <row r="469">
      <c r="A469" s="2" t="inlineStr">
        <is>
          <t>A8.2</t>
        </is>
      </c>
      <c r="B469" s="2" t="inlineStr">
        <is>
          <t>Kết quả mô phỏng</t>
        </is>
      </c>
      <c r="C469" s="2" t="n">
        <v>2</v>
      </c>
      <c r="D469" s="2" t="inlineStr">
        <is>
          <t>UC03</t>
        </is>
      </c>
      <c r="E469" s="2" t="inlineStr">
        <is>
          <t>Usecase</t>
        </is>
      </c>
      <c r="F469" s="2" t="inlineStr">
        <is>
          <t>Sinh firmware, biên dịch, mô phỏng</t>
        </is>
      </c>
      <c r="G469" s="2" t="inlineStr">
        <is>
          <t>Excel 76 TC</t>
        </is>
      </c>
      <c r="H469" s="6" t="inlineStr"/>
    </row>
    <row r="470">
      <c r="A470" s="2" t="inlineStr">
        <is>
          <t>A8.2.1</t>
        </is>
      </c>
      <c r="B470" s="2" t="inlineStr">
        <is>
          <t>Verdict theo từng assert + bằng chứng (dòng log/thời điểm VCD)</t>
        </is>
      </c>
      <c r="C470" s="2" t="n">
        <v>3</v>
      </c>
      <c r="D470" s="2" t="inlineStr">
        <is>
          <t>AR17</t>
        </is>
      </c>
      <c r="E470" s="2" t="inlineStr">
        <is>
          <t>Hiện vật (E2)</t>
        </is>
      </c>
      <c r="F470" s="2" t="inlineStr">
        <is>
          <t>Kết quả mô phỏng</t>
        </is>
      </c>
      <c r="G470" s="2" t="inlineStr">
        <is>
          <t>MDD-40 E2</t>
        </is>
      </c>
      <c r="H470" s="6" t="inlineStr"/>
    </row>
    <row r="471">
      <c r="A471" s="2" t="inlineStr">
        <is>
          <t>A8.2.1</t>
        </is>
      </c>
      <c r="B471" s="2" t="inlineStr">
        <is>
          <t>Verdict theo từng assert + bằng chứng (dòng log/thời điểm VCD)</t>
        </is>
      </c>
      <c r="C471" s="2" t="n">
        <v>3</v>
      </c>
      <c r="D471" s="2" t="inlineStr">
        <is>
          <t>PR2</t>
        </is>
      </c>
      <c r="E471" s="2" t="inlineStr">
        <is>
          <t>Quy tắc trình bày</t>
        </is>
      </c>
      <c r="F471" s="2" t="inlineStr">
        <is>
          <t>Mọi con số là liên kết ra nguồn</t>
        </is>
      </c>
      <c r="G471" s="2" t="inlineStr">
        <is>
          <t>MDD-40 E3.2</t>
        </is>
      </c>
      <c r="H471" s="6" t="inlineStr"/>
    </row>
    <row r="472">
      <c r="A472" s="2" t="inlineStr">
        <is>
          <t>A8.2.1</t>
        </is>
      </c>
      <c r="B472" s="2" t="inlineStr">
        <is>
          <t>Verdict theo từng assert + bằng chứng (dòng log/thời điểm VCD)</t>
        </is>
      </c>
      <c r="C472" s="2" t="n">
        <v>3</v>
      </c>
      <c r="D472" s="2" t="inlineStr">
        <is>
          <t>N6</t>
        </is>
      </c>
      <c r="E472" s="2" t="inlineStr">
        <is>
          <t>Nguyên tắc</t>
        </is>
      </c>
      <c r="F472" s="2" t="inlineStr">
        <is>
          <t>Không đạt giả — tiêu chí của người; log rỗng ≠ đạt; phần chưa mô phỏng nói rõ</t>
        </is>
      </c>
      <c r="G472" s="2" t="inlineStr">
        <is>
          <t>MDD-40 A3</t>
        </is>
      </c>
      <c r="H472" s="6" t="inlineStr"/>
    </row>
    <row r="473">
      <c r="A473" s="2" t="inlineStr">
        <is>
          <t>A8.2.2</t>
        </is>
      </c>
      <c r="B473" s="2" t="inlineStr">
        <is>
          <t>Log có dấu thời gian (follow)</t>
        </is>
      </c>
      <c r="C473" s="2" t="n">
        <v>3</v>
      </c>
      <c r="D473" s="2" t="inlineStr">
        <is>
          <t>UI-surface.append</t>
        </is>
      </c>
      <c r="E473" s="2" t="inlineStr">
        <is>
          <t>UICommand</t>
        </is>
      </c>
      <c r="F473" s="2" t="inlineStr">
        <is>
          <t>Nối log/timeline</t>
        </is>
      </c>
      <c r="G473" s="2" t="inlineStr">
        <is>
          <t>MDD-40 D2</t>
        </is>
      </c>
      <c r="H473" s="6" t="inlineStr"/>
    </row>
    <row r="474">
      <c r="A474" s="2" t="inlineStr">
        <is>
          <t>A8.2.3</t>
        </is>
      </c>
      <c r="B474" s="2" t="inlineStr">
        <is>
          <t>VCD viewer / ảnh</t>
        </is>
      </c>
      <c r="C474" s="2" t="n">
        <v>3</v>
      </c>
      <c r="D474" s="2" t="inlineStr">
        <is>
          <t>AR17</t>
        </is>
      </c>
      <c r="E474" s="2" t="inlineStr">
        <is>
          <t>Hiện vật (E2)</t>
        </is>
      </c>
      <c r="F474" s="2" t="inlineStr">
        <is>
          <t>Kết quả mô phỏng</t>
        </is>
      </c>
      <c r="G474" s="2" t="inlineStr">
        <is>
          <t>MDD-40 E2</t>
        </is>
      </c>
      <c r="H474" s="6" t="inlineStr"/>
    </row>
    <row r="475">
      <c r="A475" s="2" t="inlineStr">
        <is>
          <t>A8.2.4</t>
        </is>
      </c>
      <c r="B475" s="2" t="inlineStr">
        <is>
          <t>Khối 'KHÔNG mô phỏng được' + đề xuất mock/HIL</t>
        </is>
      </c>
      <c r="C475" s="2" t="n">
        <v>3</v>
      </c>
      <c r="D475" s="2" t="inlineStr">
        <is>
          <t>PR5</t>
        </is>
      </c>
      <c r="E475" s="2" t="inlineStr">
        <is>
          <t>Quy tắc trình bày</t>
        </is>
      </c>
      <c r="F475" s="2" t="inlineStr">
        <is>
          <t>Không giấu thất bại — khối riêng</t>
        </is>
      </c>
      <c r="G475" s="2" t="inlineStr">
        <is>
          <t>MDD-40 E3.2</t>
        </is>
      </c>
      <c r="H475" s="6" t="inlineStr"/>
    </row>
    <row r="476">
      <c r="A476" s="2" t="inlineStr">
        <is>
          <t>A8.2.4</t>
        </is>
      </c>
      <c r="B476" s="2" t="inlineStr">
        <is>
          <t>Khối 'KHÔNG mô phỏng được' + đề xuất mock/HIL</t>
        </is>
      </c>
      <c r="C476" s="2" t="n">
        <v>3</v>
      </c>
      <c r="D476" s="2" t="inlineStr">
        <is>
          <t>N6</t>
        </is>
      </c>
      <c r="E476" s="2" t="inlineStr">
        <is>
          <t>Nguyên tắc</t>
        </is>
      </c>
      <c r="F476" s="2" t="inlineStr">
        <is>
          <t>Không đạt giả — tiêu chí của người; log rỗng ≠ đạt; phần chưa mô phỏng nói rõ</t>
        </is>
      </c>
      <c r="G476" s="2" t="inlineStr">
        <is>
          <t>MDD-40 A3</t>
        </is>
      </c>
      <c r="H476" s="6" t="inlineStr"/>
    </row>
    <row r="477">
      <c r="A477" s="2" t="inlineStr">
        <is>
          <t>A8.2.4</t>
        </is>
      </c>
      <c r="B477" s="2" t="inlineStr">
        <is>
          <t>Khối 'KHÔNG mô phỏng được' + đề xuất mock/HIL</t>
        </is>
      </c>
      <c r="C477" s="2" t="n">
        <v>3</v>
      </c>
      <c r="D477" s="2" t="inlineStr">
        <is>
          <t>UC03</t>
        </is>
      </c>
      <c r="E477" s="2" t="inlineStr">
        <is>
          <t>Usecase</t>
        </is>
      </c>
      <c r="F477" s="2" t="inlineStr">
        <is>
          <t>Sinh firmware, biên dịch, mô phỏng</t>
        </is>
      </c>
      <c r="G477" s="2" t="inlineStr">
        <is>
          <t>Excel 76 TC</t>
        </is>
      </c>
      <c r="H477" s="6" t="inlineStr"/>
    </row>
    <row r="478">
      <c r="A478" s="2" t="inlineStr">
        <is>
          <t>A8.2.5</t>
        </is>
      </c>
      <c r="B478" s="2" t="inlineStr">
        <is>
          <t>Timeout/treo: vị trí vòng chờ</t>
        </is>
      </c>
      <c r="C478" s="2" t="n">
        <v>3</v>
      </c>
      <c r="D478" s="2" t="inlineStr">
        <is>
          <t>UC03</t>
        </is>
      </c>
      <c r="E478" s="2" t="inlineStr">
        <is>
          <t>Usecase</t>
        </is>
      </c>
      <c r="F478" s="2" t="inlineStr">
        <is>
          <t>Sinh firmware, biên dịch, mô phỏng</t>
        </is>
      </c>
      <c r="G478" s="2" t="inlineStr">
        <is>
          <t>Excel 76 TC</t>
        </is>
      </c>
      <c r="H478" s="6" t="inlineStr"/>
    </row>
    <row r="479">
      <c r="A479" s="2" t="inlineStr">
        <is>
          <t>A8.2.5</t>
        </is>
      </c>
      <c r="B479" s="2" t="inlineStr">
        <is>
          <t>Timeout/treo: vị trí vòng chờ</t>
        </is>
      </c>
      <c r="C479" s="2" t="n">
        <v>3</v>
      </c>
      <c r="D479" s="2" t="inlineStr">
        <is>
          <t>PR5</t>
        </is>
      </c>
      <c r="E479" s="2" t="inlineStr">
        <is>
          <t>Quy tắc trình bày</t>
        </is>
      </c>
      <c r="F479" s="2" t="inlineStr">
        <is>
          <t>Không giấu thất bại — khối riêng</t>
        </is>
      </c>
      <c r="G479" s="2" t="inlineStr">
        <is>
          <t>MDD-40 E3.2</t>
        </is>
      </c>
      <c r="H479" s="6" t="inlineStr"/>
    </row>
    <row r="480">
      <c r="A480" s="2" t="inlineStr">
        <is>
          <t>A8.2.6</t>
        </is>
      </c>
      <c r="B480" s="2" t="inlineStr">
        <is>
          <t>Log rỗng → 'không kết luận được'</t>
        </is>
      </c>
      <c r="C480" s="2" t="n">
        <v>3</v>
      </c>
      <c r="D480" s="2" t="inlineStr">
        <is>
          <t>N6</t>
        </is>
      </c>
      <c r="E480" s="2" t="inlineStr">
        <is>
          <t>Nguyên tắc</t>
        </is>
      </c>
      <c r="F480" s="2" t="inlineStr">
        <is>
          <t>Không đạt giả — tiêu chí của người; log rỗng ≠ đạt; phần chưa mô phỏng nói rõ</t>
        </is>
      </c>
      <c r="G480" s="2" t="inlineStr">
        <is>
          <t>MDD-40 A3</t>
        </is>
      </c>
      <c r="H480" s="6" t="inlineStr"/>
    </row>
    <row r="481">
      <c r="A481" s="2" t="inlineStr">
        <is>
          <t>A8.2.6</t>
        </is>
      </c>
      <c r="B481" s="2" t="inlineStr">
        <is>
          <t>Log rỗng → 'không kết luận được'</t>
        </is>
      </c>
      <c r="C481" s="2" t="n">
        <v>3</v>
      </c>
      <c r="D481" s="2" t="inlineStr">
        <is>
          <t>UC19</t>
        </is>
      </c>
      <c r="E481" s="2" t="inlineStr">
        <is>
          <t>Usecase</t>
        </is>
      </c>
      <c r="F481" s="2" t="inlineStr">
        <is>
          <t>Sự cố của chính tác tử</t>
        </is>
      </c>
      <c r="G481" s="2" t="inlineStr">
        <is>
          <t>Excel 76 TC</t>
        </is>
      </c>
      <c r="H481" s="6" t="inlineStr"/>
    </row>
    <row r="482">
      <c r="A482" s="2" t="inlineStr">
        <is>
          <t>A8.2.7</t>
        </is>
      </c>
      <c r="B482" s="2" t="inlineStr">
        <is>
          <t>Chạy lại / Dừng</t>
        </is>
      </c>
      <c r="C482" s="2" t="n">
        <v>3</v>
      </c>
      <c r="D482" s="2" t="inlineStr">
        <is>
          <t>HA-stop</t>
        </is>
      </c>
      <c r="E482" s="2" t="inlineStr">
        <is>
          <t>HumanAct</t>
        </is>
      </c>
      <c r="F482" s="2" t="inlineStr">
        <is>
          <t>Dừng khẩn</t>
        </is>
      </c>
      <c r="G482" s="2" t="inlineStr">
        <is>
          <t>MDD-40 D2</t>
        </is>
      </c>
      <c r="H482" s="6" t="inlineStr"/>
    </row>
    <row r="483">
      <c r="A483" s="2" t="inlineStr">
        <is>
          <t>A8.2.7</t>
        </is>
      </c>
      <c r="B483" s="2" t="inlineStr">
        <is>
          <t>Chạy lại / Dừng</t>
        </is>
      </c>
      <c r="C483" s="2" t="n">
        <v>3</v>
      </c>
      <c r="D483" s="2" t="inlineStr">
        <is>
          <t>HA-say</t>
        </is>
      </c>
      <c r="E483" s="2" t="inlineStr">
        <is>
          <t>HumanAct</t>
        </is>
      </c>
      <c r="F483" s="2" t="inlineStr">
        <is>
          <t>Gõ tự do</t>
        </is>
      </c>
      <c r="G483" s="2" t="inlineStr">
        <is>
          <t>MDD-40 D2</t>
        </is>
      </c>
      <c r="H483" s="6" t="inlineStr"/>
    </row>
    <row r="484">
      <c r="A484" s="2" t="inlineStr">
        <is>
          <t>A8.2.8</t>
        </is>
      </c>
      <c r="B484" s="2" t="inlineStr">
        <is>
          <t>Đề xuất snapshot sau khi đạt (thẻ G-SNAP)</t>
        </is>
      </c>
      <c r="C484" s="2" t="n">
        <v>3</v>
      </c>
      <c r="D484" s="2" t="inlineStr">
        <is>
          <t>SN-propose</t>
        </is>
      </c>
      <c r="E484" s="2" t="inlineStr">
        <is>
          <t>Snapshot</t>
        </is>
      </c>
      <c r="F484" s="2" t="inlineStr">
        <is>
          <t>Tác tử đề xuất sau mốc (G-SNAP)</t>
        </is>
      </c>
      <c r="G484" s="2" t="inlineStr">
        <is>
          <t>MDD-40 E6</t>
        </is>
      </c>
      <c r="H484" s="6" t="inlineStr"/>
    </row>
    <row r="485">
      <c r="A485" s="2" t="inlineStr">
        <is>
          <t>A8.2.8</t>
        </is>
      </c>
      <c r="B485" s="2" t="inlineStr">
        <is>
          <t>Đề xuất snapshot sau khi đạt (thẻ G-SNAP)</t>
        </is>
      </c>
      <c r="C485" s="2" t="n">
        <v>3</v>
      </c>
      <c r="D485" s="2" t="inlineStr">
        <is>
          <t>G-SNAP</t>
        </is>
      </c>
      <c r="E485" s="2" t="inlineStr">
        <is>
          <t>Cổng</t>
        </is>
      </c>
      <c r="F485" s="2" t="inlineStr">
        <is>
          <t>Tác tử đề xuất snapshot</t>
        </is>
      </c>
      <c r="G485" s="2" t="inlineStr">
        <is>
          <t>MDD-40 B4/E7</t>
        </is>
      </c>
      <c r="H485" s="6" t="inlineStr"/>
    </row>
    <row r="486">
      <c r="A486" s="2" t="inlineStr">
        <is>
          <t>A9.1</t>
        </is>
      </c>
      <c r="B486" s="2" t="inlineStr">
        <is>
          <t>Dò board</t>
        </is>
      </c>
      <c r="C486" s="2" t="n">
        <v>2</v>
      </c>
      <c r="D486" s="2" t="inlineStr">
        <is>
          <t>AR19</t>
        </is>
      </c>
      <c r="E486" s="2" t="inlineStr">
        <is>
          <t>Hiện vật (E2)</t>
        </is>
      </c>
      <c r="F486" s="2" t="inlineStr">
        <is>
          <t>Dò board/nạp/verify</t>
        </is>
      </c>
      <c r="G486" s="2" t="inlineStr">
        <is>
          <t>MDD-40 E2</t>
        </is>
      </c>
      <c r="H486" s="6" t="inlineStr"/>
    </row>
    <row r="487">
      <c r="A487" s="2" t="inlineStr">
        <is>
          <t>A9.1</t>
        </is>
      </c>
      <c r="B487" s="2" t="inlineStr">
        <is>
          <t>Dò board</t>
        </is>
      </c>
      <c r="C487" s="2" t="n">
        <v>2</v>
      </c>
      <c r="D487" s="2" t="inlineStr">
        <is>
          <t>TL-detect</t>
        </is>
      </c>
      <c r="E487" s="2" t="inlineStr">
        <is>
          <t>Năng lực chuyên môn</t>
        </is>
      </c>
      <c r="F487" s="2" t="inlineStr">
        <is>
          <t>Dò board: cổng, probe, ID chip ↔ hộ chiếu; checklist khi không thấy</t>
        </is>
      </c>
      <c r="G487" s="2" t="inlineStr">
        <is>
          <t>MDD-40 B3/UC</t>
        </is>
      </c>
      <c r="H487" s="6" t="inlineStr"/>
    </row>
    <row r="488">
      <c r="A488" s="2" t="inlineStr">
        <is>
          <t>A9.1</t>
        </is>
      </c>
      <c r="B488" s="2" t="inlineStr">
        <is>
          <t>Dò board</t>
        </is>
      </c>
      <c r="C488" s="2" t="n">
        <v>2</v>
      </c>
      <c r="D488" s="2" t="inlineStr">
        <is>
          <t>UC05</t>
        </is>
      </c>
      <c r="E488" s="2" t="inlineStr">
        <is>
          <t>Usecase</t>
        </is>
      </c>
      <c r="F488" s="2" t="inlineStr">
        <is>
          <t>Nạp mạch thật và gỡ lỗi</t>
        </is>
      </c>
      <c r="G488" s="2" t="inlineStr">
        <is>
          <t>Excel 76 TC</t>
        </is>
      </c>
      <c r="H488" s="6" t="inlineStr"/>
    </row>
    <row r="489">
      <c r="A489" s="2" t="inlineStr">
        <is>
          <t>A9.1.1</t>
        </is>
      </c>
      <c r="B489" s="2" t="inlineStr">
        <is>
          <t>kv: cổng, probe, ID chip đọc được ↔ hộ chiếu (khớp/không)</t>
        </is>
      </c>
      <c r="C489" s="2" t="n">
        <v>3</v>
      </c>
      <c r="D489" s="2" t="inlineStr">
        <is>
          <t>TL-detect</t>
        </is>
      </c>
      <c r="E489" s="2" t="inlineStr">
        <is>
          <t>Năng lực chuyên môn</t>
        </is>
      </c>
      <c r="F489" s="2" t="inlineStr">
        <is>
          <t>Dò board: cổng, probe, ID chip ↔ hộ chiếu; checklist khi không thấy</t>
        </is>
      </c>
      <c r="G489" s="2" t="inlineStr">
        <is>
          <t>MDD-40 B3/UC</t>
        </is>
      </c>
      <c r="H489" s="6" t="inlineStr"/>
    </row>
    <row r="490">
      <c r="A490" s="2" t="inlineStr">
        <is>
          <t>A9.1.1</t>
        </is>
      </c>
      <c r="B490" s="2" t="inlineStr">
        <is>
          <t>kv: cổng, probe, ID chip đọc được ↔ hộ chiếu (khớp/không)</t>
        </is>
      </c>
      <c r="C490" s="2" t="n">
        <v>3</v>
      </c>
      <c r="D490" s="2" t="inlineStr">
        <is>
          <t>AR19</t>
        </is>
      </c>
      <c r="E490" s="2" t="inlineStr">
        <is>
          <t>Hiện vật (E2)</t>
        </is>
      </c>
      <c r="F490" s="2" t="inlineStr">
        <is>
          <t>Dò board/nạp/verify</t>
        </is>
      </c>
      <c r="G490" s="2" t="inlineStr">
        <is>
          <t>MDD-40 E2</t>
        </is>
      </c>
      <c r="H490" s="6" t="inlineStr"/>
    </row>
    <row r="491">
      <c r="A491" s="2" t="inlineStr">
        <is>
          <t>A9.1.1</t>
        </is>
      </c>
      <c r="B491" s="2" t="inlineStr">
        <is>
          <t>kv: cổng, probe, ID chip đọc được ↔ hộ chiếu (khớp/không)</t>
        </is>
      </c>
      <c r="C491" s="2" t="n">
        <v>3</v>
      </c>
      <c r="D491" s="2" t="inlineStr">
        <is>
          <t>N1</t>
        </is>
      </c>
      <c r="E491" s="2" t="inlineStr">
        <is>
          <t>Nguyên tắc</t>
        </is>
      </c>
      <c r="F491" s="2" t="inlineStr">
        <is>
          <t>Datasheet là nguồn sự thật — mọi con số truy vết tới tài liệu/trang</t>
        </is>
      </c>
      <c r="G491" s="2" t="inlineStr">
        <is>
          <t>MDD-40 A3</t>
        </is>
      </c>
      <c r="H491" s="6" t="inlineStr"/>
    </row>
    <row r="492">
      <c r="A492" s="2" t="inlineStr">
        <is>
          <t>A9.1.2</t>
        </is>
      </c>
      <c r="B492" s="2" t="inlineStr">
        <is>
          <t>Không thấy: checklist nguồn/cáp/driver/BOOT/NRST + nút Dò lại</t>
        </is>
      </c>
      <c r="C492" s="2" t="n">
        <v>3</v>
      </c>
      <c r="D492" s="2" t="inlineStr">
        <is>
          <t>TL-detect</t>
        </is>
      </c>
      <c r="E492" s="2" t="inlineStr">
        <is>
          <t>Năng lực chuyên môn</t>
        </is>
      </c>
      <c r="F492" s="2" t="inlineStr">
        <is>
          <t>Dò board: cổng, probe, ID chip ↔ hộ chiếu; checklist khi không thấy</t>
        </is>
      </c>
      <c r="G492" s="2" t="inlineStr">
        <is>
          <t>MDD-40 B3/UC</t>
        </is>
      </c>
      <c r="H492" s="6" t="inlineStr"/>
    </row>
    <row r="493">
      <c r="A493" s="2" t="inlineStr">
        <is>
          <t>A9.1.2</t>
        </is>
      </c>
      <c r="B493" s="2" t="inlineStr">
        <is>
          <t>Không thấy: checklist nguồn/cáp/driver/BOOT/NRST + nút Dò lại</t>
        </is>
      </c>
      <c r="C493" s="2" t="n">
        <v>3</v>
      </c>
      <c r="D493" s="2" t="inlineStr">
        <is>
          <t>PR5</t>
        </is>
      </c>
      <c r="E493" s="2" t="inlineStr">
        <is>
          <t>Quy tắc trình bày</t>
        </is>
      </c>
      <c r="F493" s="2" t="inlineStr">
        <is>
          <t>Không giấu thất bại — khối riêng</t>
        </is>
      </c>
      <c r="G493" s="2" t="inlineStr">
        <is>
          <t>MDD-40 E3.2</t>
        </is>
      </c>
      <c r="H493" s="6" t="inlineStr"/>
    </row>
    <row r="494">
      <c r="A494" s="2" t="inlineStr">
        <is>
          <t>A9.1.2</t>
        </is>
      </c>
      <c r="B494" s="2" t="inlineStr">
        <is>
          <t>Không thấy: checklist nguồn/cáp/driver/BOOT/NRST + nút Dò lại</t>
        </is>
      </c>
      <c r="C494" s="2" t="n">
        <v>3</v>
      </c>
      <c r="D494" s="2" t="inlineStr">
        <is>
          <t>HA-say</t>
        </is>
      </c>
      <c r="E494" s="2" t="inlineStr">
        <is>
          <t>HumanAct</t>
        </is>
      </c>
      <c r="F494" s="2" t="inlineStr">
        <is>
          <t>Gõ tự do</t>
        </is>
      </c>
      <c r="G494" s="2" t="inlineStr">
        <is>
          <t>MDD-40 D2</t>
        </is>
      </c>
      <c r="H494" s="6" t="inlineStr"/>
    </row>
    <row r="495">
      <c r="A495" s="2" t="inlineStr">
        <is>
          <t>A9.2</t>
        </is>
      </c>
      <c r="B495" s="2" t="inlineStr">
        <is>
          <t>Nạp &amp; verify</t>
        </is>
      </c>
      <c r="C495" s="2" t="n">
        <v>2</v>
      </c>
      <c r="D495" s="2" t="inlineStr">
        <is>
          <t>TL-flash</t>
        </is>
      </c>
      <c r="E495" s="2" t="inlineStr">
        <is>
          <t>Năng lực chuyên môn</t>
        </is>
      </c>
      <c r="F495" s="2" t="inlineStr">
        <is>
          <t>Nạp: tóm tắt gì→đâu, hash → G-FLASH</t>
        </is>
      </c>
      <c r="G495" s="2" t="inlineStr">
        <is>
          <t>MDD-40 B3/UC</t>
        </is>
      </c>
      <c r="H495" s="6" t="inlineStr"/>
    </row>
    <row r="496">
      <c r="A496" s="2" t="inlineStr">
        <is>
          <t>A9.2</t>
        </is>
      </c>
      <c r="B496" s="2" t="inlineStr">
        <is>
          <t>Nạp &amp; verify</t>
        </is>
      </c>
      <c r="C496" s="2" t="n">
        <v>2</v>
      </c>
      <c r="D496" s="2" t="inlineStr">
        <is>
          <t>TL-verify</t>
        </is>
      </c>
      <c r="E496" s="2" t="inlineStr">
        <is>
          <t>Năng lực chuyên môn</t>
        </is>
      </c>
      <c r="F496" s="2" t="inlineStr">
        <is>
          <t>Verify; rút cáp giữa chừng → hướng khôi phục</t>
        </is>
      </c>
      <c r="G496" s="2" t="inlineStr">
        <is>
          <t>MDD-40 B3/UC</t>
        </is>
      </c>
      <c r="H496" s="6" t="inlineStr"/>
    </row>
    <row r="497">
      <c r="A497" s="2" t="inlineStr">
        <is>
          <t>A9.2</t>
        </is>
      </c>
      <c r="B497" s="2" t="inlineStr">
        <is>
          <t>Nạp &amp; verify</t>
        </is>
      </c>
      <c r="C497" s="2" t="n">
        <v>2</v>
      </c>
      <c r="D497" s="2" t="inlineStr">
        <is>
          <t>G-FLASH</t>
        </is>
      </c>
      <c r="E497" s="2" t="inlineStr">
        <is>
          <t>Cổng</t>
        </is>
      </c>
      <c r="F497" s="2" t="inlineStr">
        <is>
          <t>Nạp firmware</t>
        </is>
      </c>
      <c r="G497" s="2" t="inlineStr">
        <is>
          <t>MDD-40 B4/E7</t>
        </is>
      </c>
      <c r="H497" s="6" t="inlineStr"/>
    </row>
    <row r="498">
      <c r="A498" s="2" t="inlineStr">
        <is>
          <t>A9.2.1</t>
        </is>
      </c>
      <c r="B498" s="2" t="inlineStr">
        <is>
          <t>Tóm tắt 'nạp gì (hash, kích thước) vào đâu' → thẻ G-FLASH</t>
        </is>
      </c>
      <c r="C498" s="2" t="n">
        <v>3</v>
      </c>
      <c r="D498" s="2" t="inlineStr">
        <is>
          <t>G-FLASH</t>
        </is>
      </c>
      <c r="E498" s="2" t="inlineStr">
        <is>
          <t>Cổng</t>
        </is>
      </c>
      <c r="F498" s="2" t="inlineStr">
        <is>
          <t>Nạp firmware</t>
        </is>
      </c>
      <c r="G498" s="2" t="inlineStr">
        <is>
          <t>MDD-40 B4/E7</t>
        </is>
      </c>
      <c r="H498" s="6" t="inlineStr"/>
    </row>
    <row r="499">
      <c r="A499" s="2" t="inlineStr">
        <is>
          <t>A9.2.1</t>
        </is>
      </c>
      <c r="B499" s="2" t="inlineStr">
        <is>
          <t>Tóm tắt 'nạp gì (hash, kích thước) vào đâu' → thẻ G-FLASH</t>
        </is>
      </c>
      <c r="C499" s="2" t="n">
        <v>3</v>
      </c>
      <c r="D499" s="2" t="inlineStr">
        <is>
          <t>HA-decide</t>
        </is>
      </c>
      <c r="E499" s="2" t="inlineStr">
        <is>
          <t>HumanAct</t>
        </is>
      </c>
      <c r="F499" s="2" t="inlineStr">
        <is>
          <t>Quyết định cổng</t>
        </is>
      </c>
      <c r="G499" s="2" t="inlineStr">
        <is>
          <t>MDD-40 D2</t>
        </is>
      </c>
      <c r="H499" s="6" t="inlineStr"/>
    </row>
    <row r="500">
      <c r="A500" s="2" t="inlineStr">
        <is>
          <t>A9.2.1</t>
        </is>
      </c>
      <c r="B500" s="2" t="inlineStr">
        <is>
          <t>Tóm tắt 'nạp gì (hash, kích thước) vào đâu' → thẻ G-FLASH</t>
        </is>
      </c>
      <c r="C500" s="2" t="n">
        <v>3</v>
      </c>
      <c r="D500" s="2" t="inlineStr">
        <is>
          <t>TL-flash</t>
        </is>
      </c>
      <c r="E500" s="2" t="inlineStr">
        <is>
          <t>Năng lực chuyên môn</t>
        </is>
      </c>
      <c r="F500" s="2" t="inlineStr">
        <is>
          <t>Nạp: tóm tắt gì→đâu, hash → G-FLASH</t>
        </is>
      </c>
      <c r="G500" s="2" t="inlineStr">
        <is>
          <t>MDD-40 B3/UC</t>
        </is>
      </c>
      <c r="H500" s="6" t="inlineStr"/>
    </row>
    <row r="501">
      <c r="A501" s="2" t="inlineStr">
        <is>
          <t>A9.2.2</t>
        </is>
      </c>
      <c r="B501" s="2" t="inlineStr">
        <is>
          <t>Kết quả verify; rút cáp giữa chừng → trạng thái + hướng khôi phục</t>
        </is>
      </c>
      <c r="C501" s="2" t="n">
        <v>3</v>
      </c>
      <c r="D501" s="2" t="inlineStr">
        <is>
          <t>TL-verify</t>
        </is>
      </c>
      <c r="E501" s="2" t="inlineStr">
        <is>
          <t>Năng lực chuyên môn</t>
        </is>
      </c>
      <c r="F501" s="2" t="inlineStr">
        <is>
          <t>Verify; rút cáp giữa chừng → hướng khôi phục</t>
        </is>
      </c>
      <c r="G501" s="2" t="inlineStr">
        <is>
          <t>MDD-40 B3/UC</t>
        </is>
      </c>
      <c r="H501" s="6" t="inlineStr"/>
    </row>
    <row r="502">
      <c r="A502" s="2" t="inlineStr">
        <is>
          <t>A9.2.2</t>
        </is>
      </c>
      <c r="B502" s="2" t="inlineStr">
        <is>
          <t>Kết quả verify; rút cáp giữa chừng → trạng thái + hướng khôi phục</t>
        </is>
      </c>
      <c r="C502" s="2" t="n">
        <v>3</v>
      </c>
      <c r="D502" s="2" t="inlineStr">
        <is>
          <t>PR5</t>
        </is>
      </c>
      <c r="E502" s="2" t="inlineStr">
        <is>
          <t>Quy tắc trình bày</t>
        </is>
      </c>
      <c r="F502" s="2" t="inlineStr">
        <is>
          <t>Không giấu thất bại — khối riêng</t>
        </is>
      </c>
      <c r="G502" s="2" t="inlineStr">
        <is>
          <t>MDD-40 E3.2</t>
        </is>
      </c>
      <c r="H502" s="6" t="inlineStr"/>
    </row>
    <row r="503">
      <c r="A503" s="2" t="inlineStr">
        <is>
          <t>A9.2.3</t>
        </is>
      </c>
      <c r="B503" s="2" t="inlineStr">
        <is>
          <t>Cảnh báo 'không hoàn tác được' + đề nghị snapshot trước</t>
        </is>
      </c>
      <c r="C503" s="2" t="n">
        <v>3</v>
      </c>
      <c r="D503" s="2" t="inlineStr">
        <is>
          <t>CS-irreversible</t>
        </is>
      </c>
      <c r="E503" s="2" t="inlineStr">
        <is>
          <t>Changeset &amp; rollback</t>
        </is>
      </c>
      <c r="F503" s="2" t="inlineStr">
        <is>
          <t>Hành động không hoàn tác được — cảnh báo, đề nghị snapshot</t>
        </is>
      </c>
      <c r="G503" s="2" t="inlineStr">
        <is>
          <t>MDD-40 E5</t>
        </is>
      </c>
      <c r="H503" s="6" t="inlineStr"/>
    </row>
    <row r="504">
      <c r="A504" s="2" t="inlineStr">
        <is>
          <t>A9.2.3</t>
        </is>
      </c>
      <c r="B504" s="2" t="inlineStr">
        <is>
          <t>Cảnh báo 'không hoàn tác được' + đề nghị snapshot trước</t>
        </is>
      </c>
      <c r="C504" s="2" t="n">
        <v>3</v>
      </c>
      <c r="D504" s="2" t="inlineStr">
        <is>
          <t>SN-propose</t>
        </is>
      </c>
      <c r="E504" s="2" t="inlineStr">
        <is>
          <t>Snapshot</t>
        </is>
      </c>
      <c r="F504" s="2" t="inlineStr">
        <is>
          <t>Tác tử đề xuất sau mốc (G-SNAP)</t>
        </is>
      </c>
      <c r="G504" s="2" t="inlineStr">
        <is>
          <t>MDD-40 E6</t>
        </is>
      </c>
      <c r="H504" s="6" t="inlineStr"/>
    </row>
    <row r="505">
      <c r="A505" s="2" t="inlineStr">
        <is>
          <t>A9.2.4</t>
        </is>
      </c>
      <c r="B505" s="2" t="inlineStr">
        <is>
          <t>Bo đang chạy bản ≠ mã hiện tại (sau hoàn tác)</t>
        </is>
      </c>
      <c r="C505" s="2" t="n">
        <v>3</v>
      </c>
      <c r="D505" s="2" t="inlineStr">
        <is>
          <t>CS-irreversible</t>
        </is>
      </c>
      <c r="E505" s="2" t="inlineStr">
        <is>
          <t>Changeset &amp; rollback</t>
        </is>
      </c>
      <c r="F505" s="2" t="inlineStr">
        <is>
          <t>Hành động không hoàn tác được — cảnh báo, đề nghị snapshot</t>
        </is>
      </c>
      <c r="G505" s="2" t="inlineStr">
        <is>
          <t>MDD-40 E5</t>
        </is>
      </c>
      <c r="H505" s="6" t="inlineStr"/>
    </row>
    <row r="506">
      <c r="A506" s="2" t="inlineStr">
        <is>
          <t>A9.2.4</t>
        </is>
      </c>
      <c r="B506" s="2" t="inlineStr">
        <is>
          <t>Bo đang chạy bản ≠ mã hiện tại (sau hoàn tác)</t>
        </is>
      </c>
      <c r="C506" s="2" t="n">
        <v>3</v>
      </c>
      <c r="D506" s="2" t="inlineStr">
        <is>
          <t>PR3</t>
        </is>
      </c>
      <c r="E506" s="2" t="inlineStr">
        <is>
          <t>Quy tắc trình bày</t>
        </is>
      </c>
      <c r="F506" s="2" t="inlineStr">
        <is>
          <t>Luôn nói khác biệt; băng STALE</t>
        </is>
      </c>
      <c r="G506" s="2" t="inlineStr">
        <is>
          <t>MDD-40 E3.2</t>
        </is>
      </c>
      <c r="H506" s="6" t="inlineStr"/>
    </row>
    <row r="507">
      <c r="A507" s="2" t="inlineStr">
        <is>
          <t>A9.3</t>
        </is>
      </c>
      <c r="B507" s="2" t="inlineStr">
        <is>
          <t>Gỡ lỗi</t>
        </is>
      </c>
      <c r="C507" s="2" t="n">
        <v>2</v>
      </c>
      <c r="D507" s="2" t="inlineStr">
        <is>
          <t>TL-log</t>
        </is>
      </c>
      <c r="E507" s="2" t="inlineStr">
        <is>
          <t>Năng lực chuyên môn</t>
        </is>
      </c>
      <c r="F507" s="2" t="inlineStr">
        <is>
          <t>Log UART/RTT có dấu thời gian</t>
        </is>
      </c>
      <c r="G507" s="2" t="inlineStr">
        <is>
          <t>MDD-40 B3/UC</t>
        </is>
      </c>
      <c r="H507" s="6" t="inlineStr"/>
    </row>
    <row r="508">
      <c r="A508" s="2" t="inlineStr">
        <is>
          <t>A9.3</t>
        </is>
      </c>
      <c r="B508" s="2" t="inlineStr">
        <is>
          <t>Gỡ lỗi</t>
        </is>
      </c>
      <c r="C508" s="2" t="n">
        <v>2</v>
      </c>
      <c r="D508" s="2" t="inlineStr">
        <is>
          <t>TL-debug</t>
        </is>
      </c>
      <c r="E508" s="2" t="inlineStr">
        <is>
          <t>Năng lực chuyên môn</t>
        </is>
      </c>
      <c r="F508" s="2" t="inlineStr">
        <is>
          <t>Breakpoint, thanh ghi, backtrace</t>
        </is>
      </c>
      <c r="G508" s="2" t="inlineStr">
        <is>
          <t>MDD-40 B3/UC</t>
        </is>
      </c>
      <c r="H508" s="6" t="inlineStr"/>
    </row>
    <row r="509">
      <c r="A509" s="2" t="inlineStr">
        <is>
          <t>A9.3</t>
        </is>
      </c>
      <c r="B509" s="2" t="inlineStr">
        <is>
          <t>Gỡ lỗi</t>
        </is>
      </c>
      <c r="C509" s="2" t="n">
        <v>2</v>
      </c>
      <c r="D509" s="2" t="inlineStr">
        <is>
          <t>UC05</t>
        </is>
      </c>
      <c r="E509" s="2" t="inlineStr">
        <is>
          <t>Usecase</t>
        </is>
      </c>
      <c r="F509" s="2" t="inlineStr">
        <is>
          <t>Nạp mạch thật và gỡ lỗi</t>
        </is>
      </c>
      <c r="G509" s="2" t="inlineStr">
        <is>
          <t>Excel 76 TC</t>
        </is>
      </c>
      <c r="H509" s="6" t="inlineStr"/>
    </row>
    <row r="510">
      <c r="A510" s="2" t="inlineStr">
        <is>
          <t>A9.3.1</t>
        </is>
      </c>
      <c r="B510" s="2" t="inlineStr">
        <is>
          <t>Log UART/RTT có dấu thời gian</t>
        </is>
      </c>
      <c r="C510" s="2" t="n">
        <v>3</v>
      </c>
      <c r="D510" s="2" t="inlineStr">
        <is>
          <t>TL-log</t>
        </is>
      </c>
      <c r="E510" s="2" t="inlineStr">
        <is>
          <t>Năng lực chuyên môn</t>
        </is>
      </c>
      <c r="F510" s="2" t="inlineStr">
        <is>
          <t>Log UART/RTT có dấu thời gian</t>
        </is>
      </c>
      <c r="G510" s="2" t="inlineStr">
        <is>
          <t>MDD-40 B3/UC</t>
        </is>
      </c>
      <c r="H510" s="6" t="inlineStr"/>
    </row>
    <row r="511">
      <c r="A511" s="2" t="inlineStr">
        <is>
          <t>A9.3.1</t>
        </is>
      </c>
      <c r="B511" s="2" t="inlineStr">
        <is>
          <t>Log UART/RTT có dấu thời gian</t>
        </is>
      </c>
      <c r="C511" s="2" t="n">
        <v>3</v>
      </c>
      <c r="D511" s="2" t="inlineStr">
        <is>
          <t>UI-surface.append</t>
        </is>
      </c>
      <c r="E511" s="2" t="inlineStr">
        <is>
          <t>UICommand</t>
        </is>
      </c>
      <c r="F511" s="2" t="inlineStr">
        <is>
          <t>Nối log/timeline</t>
        </is>
      </c>
      <c r="G511" s="2" t="inlineStr">
        <is>
          <t>MDD-40 D2</t>
        </is>
      </c>
      <c r="H511" s="6" t="inlineStr"/>
    </row>
    <row r="512">
      <c r="A512" s="2" t="inlineStr">
        <is>
          <t>A9.3.2</t>
        </is>
      </c>
      <c r="B512" s="2" t="inlineStr">
        <is>
          <t>Breakpoint, thanh ghi (SVD), backtrace</t>
        </is>
      </c>
      <c r="C512" s="2" t="n">
        <v>3</v>
      </c>
      <c r="D512" s="2" t="inlineStr">
        <is>
          <t>TL-debug</t>
        </is>
      </c>
      <c r="E512" s="2" t="inlineStr">
        <is>
          <t>Năng lực chuyên môn</t>
        </is>
      </c>
      <c r="F512" s="2" t="inlineStr">
        <is>
          <t>Breakpoint, thanh ghi, backtrace</t>
        </is>
      </c>
      <c r="G512" s="2" t="inlineStr">
        <is>
          <t>MDD-40 B3/UC</t>
        </is>
      </c>
      <c r="H512" s="6" t="inlineStr"/>
    </row>
    <row r="513">
      <c r="A513" s="2" t="inlineStr">
        <is>
          <t>A9.3.3</t>
        </is>
      </c>
      <c r="B513" s="2" t="inlineStr">
        <is>
          <t>Giả thuyết HW/SW + phép đo đề xuất</t>
        </is>
      </c>
      <c r="C513" s="2" t="n">
        <v>3</v>
      </c>
      <c r="D513" s="2" t="inlineStr">
        <is>
          <t>UC05</t>
        </is>
      </c>
      <c r="E513" s="2" t="inlineStr">
        <is>
          <t>Usecase</t>
        </is>
      </c>
      <c r="F513" s="2" t="inlineStr">
        <is>
          <t>Nạp mạch thật và gỡ lỗi</t>
        </is>
      </c>
      <c r="G513" s="2" t="inlineStr">
        <is>
          <t>Excel 76 TC</t>
        </is>
      </c>
      <c r="H513" s="6" t="inlineStr"/>
    </row>
    <row r="514">
      <c r="A514" s="2" t="inlineStr">
        <is>
          <t>A9.3.3</t>
        </is>
      </c>
      <c r="B514" s="2" t="inlineStr">
        <is>
          <t>Giả thuyết HW/SW + phép đo đề xuất</t>
        </is>
      </c>
      <c r="C514" s="2" t="n">
        <v>3</v>
      </c>
      <c r="D514" s="2" t="inlineStr">
        <is>
          <t>EX-next</t>
        </is>
      </c>
      <c r="E514" s="2" t="inlineStr">
        <is>
          <t>Lớp giải thích</t>
        </is>
      </c>
      <c r="F514" s="2" t="inlineStr">
        <is>
          <t>Việc tiếp theo</t>
        </is>
      </c>
      <c r="G514" s="2" t="inlineStr">
        <is>
          <t>MDD-40 E3.1</t>
        </is>
      </c>
      <c r="H514" s="6" t="inlineStr"/>
    </row>
    <row r="515">
      <c r="A515" s="2" t="inlineStr">
        <is>
          <t>A9.4</t>
        </is>
      </c>
      <c r="B515" s="2" t="inlineStr">
        <is>
          <t>Phân tích</t>
        </is>
      </c>
      <c r="C515" s="2" t="n">
        <v>2</v>
      </c>
      <c r="D515" s="2" t="inlineStr">
        <is>
          <t>AR18</t>
        </is>
      </c>
      <c r="E515" s="2" t="inlineStr">
        <is>
          <t>Hiện vật (E2)</t>
        </is>
      </c>
      <c r="F515" s="2" t="inlineStr">
        <is>
          <t>Phân tích capture/log/HardFault</t>
        </is>
      </c>
      <c r="G515" s="2" t="inlineStr">
        <is>
          <t>MDD-40 E2</t>
        </is>
      </c>
      <c r="H515" s="6" t="inlineStr"/>
    </row>
    <row r="516">
      <c r="A516" s="2" t="inlineStr">
        <is>
          <t>A9.4</t>
        </is>
      </c>
      <c r="B516" s="2" t="inlineStr">
        <is>
          <t>Phân tích</t>
        </is>
      </c>
      <c r="C516" s="2" t="n">
        <v>2</v>
      </c>
      <c r="D516" s="2" t="inlineStr">
        <is>
          <t>UC10</t>
        </is>
      </c>
      <c r="E516" s="2" t="inlineStr">
        <is>
          <t>Usecase</t>
        </is>
      </c>
      <c r="F516" s="2" t="inlineStr">
        <is>
          <t>Phân tích log/crash/capture</t>
        </is>
      </c>
      <c r="G516" s="2" t="inlineStr">
        <is>
          <t>Excel 76 TC</t>
        </is>
      </c>
      <c r="H516" s="6" t="inlineStr"/>
    </row>
    <row r="517">
      <c r="A517" s="2" t="inlineStr">
        <is>
          <t>A9.4.1</t>
        </is>
      </c>
      <c r="B517" s="2" t="inlineStr">
        <is>
          <t>Capture đã giải mã (I2C/SPI/UART/CAN) + đối chiếu timing</t>
        </is>
      </c>
      <c r="C517" s="2" t="n">
        <v>3</v>
      </c>
      <c r="D517" s="2" t="inlineStr">
        <is>
          <t>TL-capture</t>
        </is>
      </c>
      <c r="E517" s="2" t="inlineStr">
        <is>
          <t>Năng lực chuyên môn</t>
        </is>
      </c>
      <c r="F517" s="2" t="inlineStr">
        <is>
          <t>Giải mã capture I2C/SPI/UART/CAN</t>
        </is>
      </c>
      <c r="G517" s="2" t="inlineStr">
        <is>
          <t>MDD-40 B3/UC</t>
        </is>
      </c>
      <c r="H517" s="6" t="inlineStr"/>
    </row>
    <row r="518">
      <c r="A518" s="2" t="inlineStr">
        <is>
          <t>A9.4.1</t>
        </is>
      </c>
      <c r="B518" s="2" t="inlineStr">
        <is>
          <t>Capture đã giải mã (I2C/SPI/UART/CAN) + đối chiếu timing</t>
        </is>
      </c>
      <c r="C518" s="2" t="n">
        <v>3</v>
      </c>
      <c r="D518" s="2" t="inlineStr">
        <is>
          <t>N1</t>
        </is>
      </c>
      <c r="E518" s="2" t="inlineStr">
        <is>
          <t>Nguyên tắc</t>
        </is>
      </c>
      <c r="F518" s="2" t="inlineStr">
        <is>
          <t>Datasheet là nguồn sự thật — mọi con số truy vết tới tài liệu/trang</t>
        </is>
      </c>
      <c r="G518" s="2" t="inlineStr">
        <is>
          <t>MDD-40 A3</t>
        </is>
      </c>
      <c r="H518" s="6" t="inlineStr"/>
    </row>
    <row r="519">
      <c r="A519" s="2" t="inlineStr">
        <is>
          <t>A9.4.2</t>
        </is>
      </c>
      <c r="B519" s="2" t="inlineStr">
        <is>
          <t>HardFault: CFSR → loại lỗi, PC → hàm</t>
        </is>
      </c>
      <c r="C519" s="2" t="n">
        <v>3</v>
      </c>
      <c r="D519" s="2" t="inlineStr">
        <is>
          <t>TL-hardfault</t>
        </is>
      </c>
      <c r="E519" s="2" t="inlineStr">
        <is>
          <t>Năng lực chuyên môn</t>
        </is>
      </c>
      <c r="F519" s="2" t="inlineStr">
        <is>
          <t>Phân tích HardFault CFSR/PC → hàm</t>
        </is>
      </c>
      <c r="G519" s="2" t="inlineStr">
        <is>
          <t>MDD-40 B3/UC</t>
        </is>
      </c>
      <c r="H519" s="6" t="inlineStr"/>
    </row>
    <row r="520">
      <c r="A520" s="2" t="inlineStr">
        <is>
          <t>A9.4.3</t>
        </is>
      </c>
      <c r="B520" s="2" t="inlineStr">
        <is>
          <t>Bảng giả thuyết xếp hạng; 'không đủ dữ liệu' + cách thu thập lại</t>
        </is>
      </c>
      <c r="C520" s="2" t="n">
        <v>3</v>
      </c>
      <c r="D520" s="2" t="inlineStr">
        <is>
          <t>PR5</t>
        </is>
      </c>
      <c r="E520" s="2" t="inlineStr">
        <is>
          <t>Quy tắc trình bày</t>
        </is>
      </c>
      <c r="F520" s="2" t="inlineStr">
        <is>
          <t>Không giấu thất bại — khối riêng</t>
        </is>
      </c>
      <c r="G520" s="2" t="inlineStr">
        <is>
          <t>MDD-40 E3.2</t>
        </is>
      </c>
      <c r="H520" s="6" t="inlineStr"/>
    </row>
    <row r="521">
      <c r="A521" s="2" t="inlineStr">
        <is>
          <t>A9.4.3</t>
        </is>
      </c>
      <c r="B521" s="2" t="inlineStr">
        <is>
          <t>Bảng giả thuyết xếp hạng; 'không đủ dữ liệu' + cách thu thập lại</t>
        </is>
      </c>
      <c r="C521" s="2" t="n">
        <v>3</v>
      </c>
      <c r="D521" s="2" t="inlineStr">
        <is>
          <t>UC10</t>
        </is>
      </c>
      <c r="E521" s="2" t="inlineStr">
        <is>
          <t>Usecase</t>
        </is>
      </c>
      <c r="F521" s="2" t="inlineStr">
        <is>
          <t>Phân tích log/crash/capture</t>
        </is>
      </c>
      <c r="G521" s="2" t="inlineStr">
        <is>
          <t>Excel 76 TC</t>
        </is>
      </c>
      <c r="H521" s="6" t="inlineStr"/>
    </row>
    <row r="522">
      <c r="A522" s="2" t="inlineStr">
        <is>
          <t>A9.4.4</t>
        </is>
      </c>
      <c r="B522" s="2" t="inlineStr">
        <is>
          <t>Đánh dấu giả thuyết đã loại; thêm quan sát (→ NGƯỜI)</t>
        </is>
      </c>
      <c r="C522" s="2" t="n">
        <v>3</v>
      </c>
      <c r="D522" s="2" t="inlineStr">
        <is>
          <t>HA-confirm</t>
        </is>
      </c>
      <c r="E522" s="2" t="inlineStr">
        <is>
          <t>HumanAct</t>
        </is>
      </c>
      <c r="F522" s="2" t="inlineStr">
        <is>
          <t>Xác nhận/từ chối/sửa Fact hoặc nguồn</t>
        </is>
      </c>
      <c r="G522" s="2" t="inlineStr">
        <is>
          <t>MDD-40 D2</t>
        </is>
      </c>
      <c r="H522" s="6" t="inlineStr"/>
    </row>
    <row r="523">
      <c r="A523" s="2" t="inlineStr">
        <is>
          <t>A9.4.4</t>
        </is>
      </c>
      <c r="B523" s="2" t="inlineStr">
        <is>
          <t>Đánh dấu giả thuyết đã loại; thêm quan sát (→ NGƯỜI)</t>
        </is>
      </c>
      <c r="C523" s="2" t="n">
        <v>3</v>
      </c>
      <c r="D523" s="2" t="inlineStr">
        <is>
          <t>T-NGUOI</t>
        </is>
      </c>
      <c r="E523" s="2" t="inlineStr">
        <is>
          <t>Tầng dữ liệu</t>
        </is>
      </c>
      <c r="F523" s="2" t="inlineStr">
        <is>
          <t>Tầng NGƯỜI — 'anh cho, chưa có tài liệu', nút Tìm tài liệu</t>
        </is>
      </c>
      <c r="G523" s="2" t="inlineStr">
        <is>
          <t>MDD-40 C1</t>
        </is>
      </c>
      <c r="H523" s="6" t="inlineStr"/>
    </row>
    <row r="524">
      <c r="A524" s="2" t="inlineStr">
        <is>
          <t>A9.5</t>
        </is>
      </c>
      <c r="B524" s="2" t="inlineStr">
        <is>
          <t>Thao tác không đảo ngược</t>
        </is>
      </c>
      <c r="C524" s="2" t="n">
        <v>2</v>
      </c>
      <c r="D524" s="2" t="inlineStr">
        <is>
          <t>G-OPS</t>
        </is>
      </c>
      <c r="E524" s="2" t="inlineStr">
        <is>
          <t>Cổng</t>
        </is>
      </c>
      <c r="F524" s="2" t="inlineStr">
        <is>
          <t>Không đảo ngược (RDP/eFuse/erase)</t>
        </is>
      </c>
      <c r="G524" s="2" t="inlineStr">
        <is>
          <t>MDD-40 B4/E7</t>
        </is>
      </c>
      <c r="H524" s="6" t="inlineStr"/>
    </row>
    <row r="525">
      <c r="A525" s="2" t="inlineStr">
        <is>
          <t>A9.5</t>
        </is>
      </c>
      <c r="B525" s="2" t="inlineStr">
        <is>
          <t>Thao tác không đảo ngược</t>
        </is>
      </c>
      <c r="C525" s="2" t="n">
        <v>2</v>
      </c>
      <c r="D525" s="2" t="inlineStr">
        <is>
          <t>TL-dangerous</t>
        </is>
      </c>
      <c r="E525" s="2" t="inlineStr">
        <is>
          <t>Năng lực chuyên môn</t>
        </is>
      </c>
      <c r="F525" s="2" t="inlineStr">
        <is>
          <t>Erase/option bytes/RDP/eFuse → G-OPS</t>
        </is>
      </c>
      <c r="G525" s="2" t="inlineStr">
        <is>
          <t>MDD-40 B3/UC</t>
        </is>
      </c>
      <c r="H525" s="6" t="inlineStr"/>
    </row>
    <row r="526">
      <c r="A526" s="2" t="inlineStr">
        <is>
          <t>A9.5</t>
        </is>
      </c>
      <c r="B526" s="2" t="inlineStr">
        <is>
          <t>Thao tác không đảo ngược</t>
        </is>
      </c>
      <c r="C526" s="2" t="n">
        <v>2</v>
      </c>
      <c r="D526" s="2" t="inlineStr">
        <is>
          <t>N5</t>
        </is>
      </c>
      <c r="E526" s="2" t="inlineStr">
        <is>
          <t>Nguyên tắc</t>
        </is>
      </c>
      <c r="F526" s="2" t="inlineStr">
        <is>
          <t>Cổng an toàn đứng trước phép đoán (S0, G-OPS never_auto)</t>
        </is>
      </c>
      <c r="G526" s="2" t="inlineStr">
        <is>
          <t>MDD-40 A3</t>
        </is>
      </c>
      <c r="H526" s="6" t="inlineStr"/>
    </row>
    <row r="527">
      <c r="A527" s="2" t="inlineStr">
        <is>
          <t>A9.5.1</t>
        </is>
      </c>
      <c r="B527" s="2" t="inlineStr">
        <is>
          <t>Erase all / option bytes / RDP / eFuse → thẻ G-OPS riêng (never_auto)</t>
        </is>
      </c>
      <c r="C527" s="2" t="n">
        <v>3</v>
      </c>
      <c r="D527" s="2" t="inlineStr">
        <is>
          <t>G-OPS</t>
        </is>
      </c>
      <c r="E527" s="2" t="inlineStr">
        <is>
          <t>Cổng</t>
        </is>
      </c>
      <c r="F527" s="2" t="inlineStr">
        <is>
          <t>Không đảo ngược (RDP/eFuse/erase)</t>
        </is>
      </c>
      <c r="G527" s="2" t="inlineStr">
        <is>
          <t>MDD-40 B4/E7</t>
        </is>
      </c>
      <c r="H527" s="6" t="inlineStr"/>
    </row>
    <row r="528">
      <c r="A528" s="2" t="inlineStr">
        <is>
          <t>A9.5.1</t>
        </is>
      </c>
      <c r="B528" s="2" t="inlineStr">
        <is>
          <t>Erase all / option bytes / RDP / eFuse → thẻ G-OPS riêng (never_auto)</t>
        </is>
      </c>
      <c r="C528" s="2" t="n">
        <v>3</v>
      </c>
      <c r="D528" s="2" t="inlineStr">
        <is>
          <t>HA-decide</t>
        </is>
      </c>
      <c r="E528" s="2" t="inlineStr">
        <is>
          <t>HumanAct</t>
        </is>
      </c>
      <c r="F528" s="2" t="inlineStr">
        <is>
          <t>Quyết định cổng</t>
        </is>
      </c>
      <c r="G528" s="2" t="inlineStr">
        <is>
          <t>MDD-40 D2</t>
        </is>
      </c>
      <c r="H528" s="6" t="inlineStr"/>
    </row>
    <row r="529">
      <c r="A529" s="2" t="inlineStr">
        <is>
          <t>A9.5.1</t>
        </is>
      </c>
      <c r="B529" s="2" t="inlineStr">
        <is>
          <t>Erase all / option bytes / RDP / eFuse → thẻ G-OPS riêng (never_auto)</t>
        </is>
      </c>
      <c r="C529" s="2" t="n">
        <v>3</v>
      </c>
      <c r="D529" s="2" t="inlineStr">
        <is>
          <t>N5</t>
        </is>
      </c>
      <c r="E529" s="2" t="inlineStr">
        <is>
          <t>Nguyên tắc</t>
        </is>
      </c>
      <c r="F529" s="2" t="inlineStr">
        <is>
          <t>Cổng an toàn đứng trước phép đoán (S0, G-OPS never_auto)</t>
        </is>
      </c>
      <c r="G529" s="2" t="inlineStr">
        <is>
          <t>MDD-40 A3</t>
        </is>
      </c>
      <c r="H529" s="6" t="inlineStr"/>
    </row>
    <row r="530">
      <c r="A530" s="2" t="inlineStr">
        <is>
          <t>A9.5.1</t>
        </is>
      </c>
      <c r="B530" s="2" t="inlineStr">
        <is>
          <t>Erase all / option bytes / RDP / eFuse → thẻ G-OPS riêng (never_auto)</t>
        </is>
      </c>
      <c r="C530" s="2" t="n">
        <v>3</v>
      </c>
      <c r="D530" s="2" t="inlineStr">
        <is>
          <t>I6</t>
        </is>
      </c>
      <c r="E530" s="2" t="inlineStr">
        <is>
          <t>Bất biến giao thức</t>
        </is>
      </c>
      <c r="F530" s="2" t="inlineStr">
        <is>
          <t>Cổng là thẻ riêng — text 'có' không mở cổng</t>
        </is>
      </c>
      <c r="G530" s="2" t="inlineStr">
        <is>
          <t>MDD-40 D1</t>
        </is>
      </c>
      <c r="H530" s="6" t="inlineStr"/>
    </row>
    <row r="531">
      <c r="A531" s="2" t="inlineStr">
        <is>
          <t>A9.5.2</t>
        </is>
      </c>
      <c r="B531" s="2" t="inlineStr">
        <is>
          <t>Chặn nếu chưa có snapshot release</t>
        </is>
      </c>
      <c r="C531" s="2" t="n">
        <v>3</v>
      </c>
      <c r="D531" s="2" t="inlineStr">
        <is>
          <t>SN-release</t>
        </is>
      </c>
      <c r="E531" s="2" t="inlineStr">
        <is>
          <t>Snapshot</t>
        </is>
      </c>
      <c r="F531" s="2" t="inlineStr">
        <is>
          <t>Snapshot release — điều kiện cho RDP/eFuse</t>
        </is>
      </c>
      <c r="G531" s="2" t="inlineStr">
        <is>
          <t>MDD-40 E6</t>
        </is>
      </c>
      <c r="H531" s="6" t="inlineStr"/>
    </row>
    <row r="532">
      <c r="A532" s="2" t="inlineStr">
        <is>
          <t>A9.5.2</t>
        </is>
      </c>
      <c r="B532" s="2" t="inlineStr">
        <is>
          <t>Chặn nếu chưa có snapshot release</t>
        </is>
      </c>
      <c r="C532" s="2" t="n">
        <v>3</v>
      </c>
      <c r="D532" s="2" t="inlineStr">
        <is>
          <t>N9</t>
        </is>
      </c>
      <c r="E532" s="2" t="inlineStr">
        <is>
          <t>Nguyên tắc</t>
        </is>
      </c>
      <c r="F532" s="2" t="inlineStr">
        <is>
          <t>Mọi thay đổi là changeset hoàn tác được; sửa của người được tác tử biết; snapshot bất biến</t>
        </is>
      </c>
      <c r="G532" s="2" t="inlineStr">
        <is>
          <t>MDD-40 A3</t>
        </is>
      </c>
      <c r="H532" s="6" t="inlineStr"/>
    </row>
    <row r="533">
      <c r="A533" s="2" t="inlineStr">
        <is>
          <t>A9.6</t>
        </is>
      </c>
      <c r="B533" s="2" t="inlineStr">
        <is>
          <t>An toàn điện</t>
        </is>
      </c>
      <c r="C533" s="2" t="n">
        <v>2</v>
      </c>
      <c r="D533" s="2" t="inlineStr">
        <is>
          <t>G-SAFE</t>
        </is>
      </c>
      <c r="E533" s="2" t="inlineStr">
        <is>
          <t>Cổng</t>
        </is>
      </c>
      <c r="F533" s="2" t="inlineStr">
        <is>
          <t>Điện lưới/nhiệt — cảnh báo đứng đầu</t>
        </is>
      </c>
      <c r="G533" s="2" t="inlineStr">
        <is>
          <t>MDD-40 B4/E7</t>
        </is>
      </c>
      <c r="H533" s="6" t="inlineStr"/>
    </row>
    <row r="534">
      <c r="A534" s="2" t="inlineStr">
        <is>
          <t>A9.6</t>
        </is>
      </c>
      <c r="B534" s="2" t="inlineStr">
        <is>
          <t>An toàn điện</t>
        </is>
      </c>
      <c r="C534" s="2" t="n">
        <v>2</v>
      </c>
      <c r="D534" s="2" t="inlineStr">
        <is>
          <t>UC18</t>
        </is>
      </c>
      <c r="E534" s="2" t="inlineStr">
        <is>
          <t>Usecase</t>
        </is>
      </c>
      <c r="F534" s="2" t="inlineStr">
        <is>
          <t>An toàn thao tác &amp; kiểm soát quyền</t>
        </is>
      </c>
      <c r="G534" s="2" t="inlineStr">
        <is>
          <t>Excel 76 TC</t>
        </is>
      </c>
      <c r="H534" s="6" t="inlineStr"/>
    </row>
    <row r="535">
      <c r="A535" s="2" t="inlineStr">
        <is>
          <t>A9.6.1</t>
        </is>
      </c>
      <c r="B535" s="2" t="inlineStr">
        <is>
          <t>Băng cảnh báo đứng đầu: NGẮT NGUỒN NGAY; điện lưới: cách ly/creepage</t>
        </is>
      </c>
      <c r="C535" s="2" t="n">
        <v>3</v>
      </c>
      <c r="D535" s="2" t="inlineStr">
        <is>
          <t>G-SAFE</t>
        </is>
      </c>
      <c r="E535" s="2" t="inlineStr">
        <is>
          <t>Cổng</t>
        </is>
      </c>
      <c r="F535" s="2" t="inlineStr">
        <is>
          <t>Điện lưới/nhiệt — cảnh báo đứng đầu</t>
        </is>
      </c>
      <c r="G535" s="2" t="inlineStr">
        <is>
          <t>MDD-40 B4/E7</t>
        </is>
      </c>
      <c r="H535" s="6" t="inlineStr"/>
    </row>
    <row r="536">
      <c r="A536" s="2" t="inlineStr">
        <is>
          <t>A9.6.1</t>
        </is>
      </c>
      <c r="B536" s="2" t="inlineStr">
        <is>
          <t>Băng cảnh báo đứng đầu: NGẮT NGUỒN NGAY; điện lưới: cách ly/creepage</t>
        </is>
      </c>
      <c r="C536" s="2" t="n">
        <v>3</v>
      </c>
      <c r="D536" s="2" t="inlineStr">
        <is>
          <t>N5</t>
        </is>
      </c>
      <c r="E536" s="2" t="inlineStr">
        <is>
          <t>Nguyên tắc</t>
        </is>
      </c>
      <c r="F536" s="2" t="inlineStr">
        <is>
          <t>Cổng an toàn đứng trước phép đoán (S0, G-OPS never_auto)</t>
        </is>
      </c>
      <c r="G536" s="2" t="inlineStr">
        <is>
          <t>MDD-40 A3</t>
        </is>
      </c>
      <c r="H536" s="6" t="inlineStr"/>
    </row>
    <row r="537">
      <c r="A537" s="2" t="inlineStr">
        <is>
          <t>A9.7</t>
        </is>
      </c>
      <c r="B537" s="2" t="inlineStr">
        <is>
          <t>Tính toán kỹ thuật</t>
        </is>
      </c>
      <c r="C537" s="2" t="n">
        <v>2</v>
      </c>
      <c r="D537" s="2" t="inlineStr">
        <is>
          <t>UC13</t>
        </is>
      </c>
      <c r="E537" s="2" t="inlineStr">
        <is>
          <t>Usecase</t>
        </is>
      </c>
      <c r="F537" s="2" t="inlineStr">
        <is>
          <t>Tính toán kỹ thuật</t>
        </is>
      </c>
      <c r="G537" s="2" t="inlineStr">
        <is>
          <t>Excel 76 TC</t>
        </is>
      </c>
      <c r="H537" s="6" t="inlineStr"/>
    </row>
    <row r="538">
      <c r="A538" s="2" t="inlineStr">
        <is>
          <t>A9.7</t>
        </is>
      </c>
      <c r="B538" s="2" t="inlineStr">
        <is>
          <t>Tính toán kỹ thuật</t>
        </is>
      </c>
      <c r="C538" s="2" t="n">
        <v>2</v>
      </c>
      <c r="D538" s="2" t="inlineStr">
        <is>
          <t>TL-calc</t>
        </is>
      </c>
      <c r="E538" s="2" t="inlineStr">
        <is>
          <t>Năng lực chuyên môn</t>
        </is>
      </c>
      <c r="F538" s="2" t="inlineStr">
        <is>
          <t>Tính toán bằng mã, tham số có nguồn</t>
        </is>
      </c>
      <c r="G538" s="2" t="inlineStr">
        <is>
          <t>MDD-40 B3/UC</t>
        </is>
      </c>
      <c r="H538" s="6" t="inlineStr"/>
    </row>
    <row r="539">
      <c r="A539" s="2" t="inlineStr">
        <is>
          <t>A9.7.1</t>
        </is>
      </c>
      <c r="B539" s="2" t="inlineStr">
        <is>
          <t>Công thức chạy bằng mã, tham số có nguồn/NGƯỜI, đơn vị, biên an toàn; thiếu tham số → hỏi đúng số</t>
        </is>
      </c>
      <c r="C539" s="2" t="n">
        <v>3</v>
      </c>
      <c r="D539" s="2" t="inlineStr">
        <is>
          <t>TL-calc</t>
        </is>
      </c>
      <c r="E539" s="2" t="inlineStr">
        <is>
          <t>Năng lực chuyên môn</t>
        </is>
      </c>
      <c r="F539" s="2" t="inlineStr">
        <is>
          <t>Tính toán bằng mã, tham số có nguồn</t>
        </is>
      </c>
      <c r="G539" s="2" t="inlineStr">
        <is>
          <t>MDD-40 B3/UC</t>
        </is>
      </c>
      <c r="H539" s="6" t="inlineStr"/>
    </row>
    <row r="540">
      <c r="A540" s="2" t="inlineStr">
        <is>
          <t>A9.7.1</t>
        </is>
      </c>
      <c r="B540" s="2" t="inlineStr">
        <is>
          <t>Công thức chạy bằng mã, tham số có nguồn/NGƯỜI, đơn vị, biên an toàn; thiếu tham số → hỏi đúng số</t>
        </is>
      </c>
      <c r="C540" s="2" t="n">
        <v>3</v>
      </c>
      <c r="D540" s="2" t="inlineStr">
        <is>
          <t>N1</t>
        </is>
      </c>
      <c r="E540" s="2" t="inlineStr">
        <is>
          <t>Nguyên tắc</t>
        </is>
      </c>
      <c r="F540" s="2" t="inlineStr">
        <is>
          <t>Datasheet là nguồn sự thật — mọi con số truy vết tới tài liệu/trang</t>
        </is>
      </c>
      <c r="G540" s="2" t="inlineStr">
        <is>
          <t>MDD-40 A3</t>
        </is>
      </c>
      <c r="H540" s="6" t="inlineStr"/>
    </row>
    <row r="541">
      <c r="A541" s="2" t="inlineStr">
        <is>
          <t>A9.7.1</t>
        </is>
      </c>
      <c r="B541" s="2" t="inlineStr">
        <is>
          <t>Công thức chạy bằng mã, tham số có nguồn/NGƯỜI, đơn vị, biên an toàn; thiếu tham số → hỏi đúng số</t>
        </is>
      </c>
      <c r="C541" s="2" t="n">
        <v>3</v>
      </c>
      <c r="D541" s="2" t="inlineStr">
        <is>
          <t>N4</t>
        </is>
      </c>
      <c r="E541" s="2" t="inlineStr">
        <is>
          <t>Nguyên tắc</t>
        </is>
      </c>
      <c r="F541" s="2" t="inlineStr">
        <is>
          <t>Hỏi một cụm, ≤ 2 lần/lượt, nói ra giả định</t>
        </is>
      </c>
      <c r="G541" s="2" t="inlineStr">
        <is>
          <t>MDD-40 A3</t>
        </is>
      </c>
      <c r="H541" s="6" t="inlineStr"/>
    </row>
    <row r="542">
      <c r="A542" s="2" t="inlineStr">
        <is>
          <t>A10.1</t>
        </is>
      </c>
      <c r="B542" s="2" t="inlineStr">
        <is>
          <t>Sổ cái</t>
        </is>
      </c>
      <c r="C542" s="2" t="n">
        <v>2</v>
      </c>
      <c r="D542" s="2" t="inlineStr">
        <is>
          <t>I2</t>
        </is>
      </c>
      <c r="E542" s="2" t="inlineStr">
        <is>
          <t>Bất biến giao thức</t>
        </is>
      </c>
      <c r="F542" s="2" t="inlineStr">
        <is>
          <t>Một dòng hội thoại: mọi HumanAct và lời tác tử trong transcript</t>
        </is>
      </c>
      <c r="G542" s="2" t="inlineStr">
        <is>
          <t>MDD-40 D1</t>
        </is>
      </c>
      <c r="H542" s="6" t="inlineStr"/>
    </row>
    <row r="543">
      <c r="A543" s="2" t="inlineStr">
        <is>
          <t>A10.1</t>
        </is>
      </c>
      <c r="B543" s="2" t="inlineStr">
        <is>
          <t>Sổ cái</t>
        </is>
      </c>
      <c r="C543" s="2" t="n">
        <v>2</v>
      </c>
      <c r="D543" s="2" t="inlineStr">
        <is>
          <t>I5</t>
        </is>
      </c>
      <c r="E543" s="2" t="inlineStr">
        <is>
          <t>Bất biến giao thức</t>
        </is>
      </c>
      <c r="F543" s="2" t="inlineStr">
        <is>
          <t>Có thứ tự, không trùng, khôi phục được (seq/resume)</t>
        </is>
      </c>
      <c r="G543" s="2" t="inlineStr">
        <is>
          <t>MDD-40 D1</t>
        </is>
      </c>
      <c r="H543" s="6" t="inlineStr"/>
    </row>
    <row r="544">
      <c r="A544" s="2" t="inlineStr">
        <is>
          <t>A10.1</t>
        </is>
      </c>
      <c r="B544" s="2" t="inlineStr">
        <is>
          <t>Sổ cái</t>
        </is>
      </c>
      <c r="C544" s="2" t="n">
        <v>2</v>
      </c>
      <c r="D544" s="2" t="inlineStr">
        <is>
          <t>UC17</t>
        </is>
      </c>
      <c r="E544" s="2" t="inlineStr">
        <is>
          <t>Usecase</t>
        </is>
      </c>
      <c r="F544" s="2" t="inlineStr">
        <is>
          <t>Quản lý phiên/dự án</t>
        </is>
      </c>
      <c r="G544" s="2" t="inlineStr">
        <is>
          <t>Excel 76 TC</t>
        </is>
      </c>
      <c r="H544" s="6" t="inlineStr"/>
    </row>
    <row r="545">
      <c r="A545" s="2" t="inlineStr">
        <is>
          <t>A10.1.1</t>
        </is>
      </c>
      <c r="B545" s="2" t="inlineStr">
        <is>
          <t>Timeline: HumanAct, tool_use/result, gate.decision, incident, chi phí</t>
        </is>
      </c>
      <c r="C545" s="2" t="n">
        <v>3</v>
      </c>
      <c r="D545" s="2" t="inlineStr">
        <is>
          <t>I2</t>
        </is>
      </c>
      <c r="E545" s="2" t="inlineStr">
        <is>
          <t>Bất biến giao thức</t>
        </is>
      </c>
      <c r="F545" s="2" t="inlineStr">
        <is>
          <t>Một dòng hội thoại: mọi HumanAct và lời tác tử trong transcript</t>
        </is>
      </c>
      <c r="G545" s="2" t="inlineStr">
        <is>
          <t>MDD-40 D1</t>
        </is>
      </c>
      <c r="H545" s="6" t="inlineStr"/>
    </row>
    <row r="546">
      <c r="A546" s="2" t="inlineStr">
        <is>
          <t>A10.1.1</t>
        </is>
      </c>
      <c r="B546" s="2" t="inlineStr">
        <is>
          <t>Timeline: HumanAct, tool_use/result, gate.decision, incident, chi phí</t>
        </is>
      </c>
      <c r="C546" s="2" t="n">
        <v>3</v>
      </c>
      <c r="D546" s="2" t="inlineStr">
        <is>
          <t>UI-surface.append</t>
        </is>
      </c>
      <c r="E546" s="2" t="inlineStr">
        <is>
          <t>UICommand</t>
        </is>
      </c>
      <c r="F546" s="2" t="inlineStr">
        <is>
          <t>Nối log/timeline</t>
        </is>
      </c>
      <c r="G546" s="2" t="inlineStr">
        <is>
          <t>MDD-40 D2</t>
        </is>
      </c>
      <c r="H546" s="6" t="inlineStr"/>
    </row>
    <row r="547">
      <c r="A547" s="2" t="inlineStr">
        <is>
          <t>A10.1.2</t>
        </is>
      </c>
      <c r="B547" s="2" t="inlineStr">
        <is>
          <t>Lọc theo lượt / tác giả / loại</t>
        </is>
      </c>
      <c r="C547" s="2" t="n">
        <v>3</v>
      </c>
      <c r="D547" s="2" t="inlineStr">
        <is>
          <t>HA-attend</t>
        </is>
      </c>
      <c r="E547" s="2" t="inlineStr">
        <is>
          <t>HumanAct</t>
        </is>
      </c>
      <c r="F547" s="2" t="inlineStr">
        <is>
          <t>Chuyển tab/chọn hiện vật</t>
        </is>
      </c>
      <c r="G547" s="2" t="inlineStr">
        <is>
          <t>MDD-40 D2</t>
        </is>
      </c>
      <c r="H547" s="6" t="inlineStr"/>
    </row>
    <row r="548">
      <c r="A548" s="2" t="inlineStr">
        <is>
          <t>A10.1.3</t>
        </is>
      </c>
      <c r="B548" s="2" t="inlineStr">
        <is>
          <t>Xuất sổ cái</t>
        </is>
      </c>
      <c r="C548" s="2" t="n">
        <v>3</v>
      </c>
      <c r="D548" s="2" t="inlineStr">
        <is>
          <t>UC16</t>
        </is>
      </c>
      <c r="E548" s="2" t="inlineStr">
        <is>
          <t>Usecase</t>
        </is>
      </c>
      <c r="F548" s="2" t="inlineStr">
        <is>
          <t>Tài liệu &amp; truy vết</t>
        </is>
      </c>
      <c r="G548" s="2" t="inlineStr">
        <is>
          <t>Excel 76 TC</t>
        </is>
      </c>
      <c r="H548" s="6" t="inlineStr"/>
    </row>
    <row r="549">
      <c r="A549" s="2" t="inlineStr">
        <is>
          <t>A10.1.3</t>
        </is>
      </c>
      <c r="B549" s="2" t="inlineStr">
        <is>
          <t>Xuất sổ cái</t>
        </is>
      </c>
      <c r="C549" s="2" t="n">
        <v>3</v>
      </c>
      <c r="D549" s="2" t="inlineStr">
        <is>
          <t>UC17</t>
        </is>
      </c>
      <c r="E549" s="2" t="inlineStr">
        <is>
          <t>Usecase</t>
        </is>
      </c>
      <c r="F549" s="2" t="inlineStr">
        <is>
          <t>Quản lý phiên/dự án</t>
        </is>
      </c>
      <c r="G549" s="2" t="inlineStr">
        <is>
          <t>Excel 76 TC</t>
        </is>
      </c>
      <c r="H549" s="6" t="inlineStr"/>
    </row>
    <row r="550">
      <c r="A550" s="2" t="inlineStr">
        <is>
          <t>A10.2</t>
        </is>
      </c>
      <c r="B550" s="2" t="inlineStr">
        <is>
          <t>Sự cố</t>
        </is>
      </c>
      <c r="C550" s="2" t="n">
        <v>2</v>
      </c>
      <c r="D550" s="2" t="inlineStr">
        <is>
          <t>UC19</t>
        </is>
      </c>
      <c r="E550" s="2" t="inlineStr">
        <is>
          <t>Usecase</t>
        </is>
      </c>
      <c r="F550" s="2" t="inlineStr">
        <is>
          <t>Sự cố của chính tác tử</t>
        </is>
      </c>
      <c r="G550" s="2" t="inlineStr">
        <is>
          <t>Excel 76 TC</t>
        </is>
      </c>
      <c r="H550" s="6" t="inlineStr"/>
    </row>
    <row r="551">
      <c r="A551" s="2" t="inlineStr">
        <is>
          <t>A10.2.1</t>
        </is>
      </c>
      <c r="B551" s="2" t="inlineStr">
        <is>
          <t>Danh sách sự cố: mạng, LLM, timeout, sandbox — trạng thái đã lưu, nút Tiếp tục</t>
        </is>
      </c>
      <c r="C551" s="2" t="n">
        <v>3</v>
      </c>
      <c r="D551" s="2" t="inlineStr">
        <is>
          <t>IN-network</t>
        </is>
      </c>
      <c r="E551" s="2" t="inlineStr">
        <is>
          <t>Sự cố (UC19)</t>
        </is>
      </c>
      <c r="F551" s="2" t="inlineStr">
        <is>
          <t>Mất mạng: báo đúng lỗi mạng, lưu trạng thái</t>
        </is>
      </c>
      <c r="G551" s="2" t="inlineStr">
        <is>
          <t>MDD-40 B1/UC19</t>
        </is>
      </c>
      <c r="H551" s="6" t="inlineStr"/>
    </row>
    <row r="552">
      <c r="A552" s="2" t="inlineStr">
        <is>
          <t>A10.2.1</t>
        </is>
      </c>
      <c r="B552" s="2" t="inlineStr">
        <is>
          <t>Danh sách sự cố: mạng, LLM, timeout, sandbox — trạng thái đã lưu, nút Tiếp tục</t>
        </is>
      </c>
      <c r="C552" s="2" t="n">
        <v>3</v>
      </c>
      <c r="D552" s="2" t="inlineStr">
        <is>
          <t>IN-llm</t>
        </is>
      </c>
      <c r="E552" s="2" t="inlineStr">
        <is>
          <t>Sự cố (UC19)</t>
        </is>
      </c>
      <c r="F552" s="2" t="inlineStr">
        <is>
          <t>LLM lỗi/quá tải: retry rồi báo</t>
        </is>
      </c>
      <c r="G552" s="2" t="inlineStr">
        <is>
          <t>MDD-40 B1/UC19</t>
        </is>
      </c>
      <c r="H552" s="6" t="inlineStr"/>
    </row>
    <row r="553">
      <c r="A553" s="2" t="inlineStr">
        <is>
          <t>A10.2.1</t>
        </is>
      </c>
      <c r="B553" s="2" t="inlineStr">
        <is>
          <t>Danh sách sự cố: mạng, LLM, timeout, sandbox — trạng thái đã lưu, nút Tiếp tục</t>
        </is>
      </c>
      <c r="C553" s="2" t="n">
        <v>3</v>
      </c>
      <c r="D553" s="2" t="inlineStr">
        <is>
          <t>IN-timeout</t>
        </is>
      </c>
      <c r="E553" s="2" t="inlineStr">
        <is>
          <t>Sự cố (UC19)</t>
        </is>
      </c>
      <c r="F553" s="2" t="inlineStr">
        <is>
          <t>Quá 300 s: thả người, nói thật</t>
        </is>
      </c>
      <c r="G553" s="2" t="inlineStr">
        <is>
          <t>MDD-40 B1/UC19</t>
        </is>
      </c>
      <c r="H553" s="6" t="inlineStr"/>
    </row>
    <row r="554">
      <c r="A554" s="2" t="inlineStr">
        <is>
          <t>A10.2.1</t>
        </is>
      </c>
      <c r="B554" s="2" t="inlineStr">
        <is>
          <t>Danh sách sự cố: mạng, LLM, timeout, sandbox — trạng thái đã lưu, nút Tiếp tục</t>
        </is>
      </c>
      <c r="C554" s="2" t="n">
        <v>3</v>
      </c>
      <c r="D554" s="2" t="inlineStr">
        <is>
          <t>IN-resume</t>
        </is>
      </c>
      <c r="E554" s="2" t="inlineStr">
        <is>
          <t>Sự cố (UC19)</t>
        </is>
      </c>
      <c r="F554" s="2" t="inlineStr">
        <is>
          <t>Tiếp tục sau sự cố</t>
        </is>
      </c>
      <c r="G554" s="2" t="inlineStr">
        <is>
          <t>MDD-40 B1/UC19</t>
        </is>
      </c>
      <c r="H554" s="6" t="inlineStr"/>
    </row>
    <row r="555">
      <c r="A555" s="2" t="inlineStr">
        <is>
          <t>A10.2.1</t>
        </is>
      </c>
      <c r="B555" s="2" t="inlineStr">
        <is>
          <t>Danh sách sự cố: mạng, LLM, timeout, sandbox — trạng thái đã lưu, nút Tiếp tục</t>
        </is>
      </c>
      <c r="C555" s="2" t="n">
        <v>3</v>
      </c>
      <c r="D555" s="2" t="inlineStr">
        <is>
          <t>HA-resume</t>
        </is>
      </c>
      <c r="E555" s="2" t="inlineStr">
        <is>
          <t>HumanAct</t>
        </is>
      </c>
      <c r="F555" s="2" t="inlineStr">
        <is>
          <t>Tiếp tục sau sự cố/mở lại</t>
        </is>
      </c>
      <c r="G555" s="2" t="inlineStr">
        <is>
          <t>MDD-40 D2</t>
        </is>
      </c>
      <c r="H555" s="6" t="inlineStr"/>
    </row>
    <row r="556">
      <c r="A556" s="2" t="inlineStr">
        <is>
          <t>A11.1</t>
        </is>
      </c>
      <c r="B556" s="2" t="inlineStr">
        <is>
          <t>Dòng thời gian changeset</t>
        </is>
      </c>
      <c r="C556" s="2" t="n">
        <v>2</v>
      </c>
      <c r="D556" s="2" t="inlineStr">
        <is>
          <t>AR22</t>
        </is>
      </c>
      <c r="E556" s="2" t="inlineStr">
        <is>
          <t>Hiện vật (E2)</t>
        </is>
      </c>
      <c r="F556" s="2" t="inlineStr">
        <is>
          <t>Changeset</t>
        </is>
      </c>
      <c r="G556" s="2" t="inlineStr">
        <is>
          <t>MDD-40 E2</t>
        </is>
      </c>
      <c r="H556" s="6" t="inlineStr"/>
    </row>
    <row r="557">
      <c r="A557" s="2" t="inlineStr">
        <is>
          <t>A11.1</t>
        </is>
      </c>
      <c r="B557" s="2" t="inlineStr">
        <is>
          <t>Dòng thời gian changeset</t>
        </is>
      </c>
      <c r="C557" s="2" t="n">
        <v>2</v>
      </c>
      <c r="D557" s="2" t="inlineStr">
        <is>
          <t>CS-unit</t>
        </is>
      </c>
      <c r="E557" s="2" t="inlineStr">
        <is>
          <t>Changeset &amp; rollback</t>
        </is>
      </c>
      <c r="F557" s="2" t="inlineStr">
        <is>
          <t>Changeset: tác giả, inverse ops, reversible</t>
        </is>
      </c>
      <c r="G557" s="2" t="inlineStr">
        <is>
          <t>MDD-40 E5</t>
        </is>
      </c>
      <c r="H557" s="6" t="inlineStr"/>
    </row>
    <row r="558">
      <c r="A558" s="2" t="inlineStr">
        <is>
          <t>A11.1</t>
        </is>
      </c>
      <c r="B558" s="2" t="inlineStr">
        <is>
          <t>Dòng thời gian changeset</t>
        </is>
      </c>
      <c r="C558" s="2" t="n">
        <v>2</v>
      </c>
      <c r="D558" s="2" t="inlineStr">
        <is>
          <t>LY-history</t>
        </is>
      </c>
      <c r="E558" s="2" t="inlineStr">
        <is>
          <t>Bố cục</t>
        </is>
      </c>
      <c r="F558" s="2" t="inlineStr">
        <is>
          <t>Tab 10 Lịch sử</t>
        </is>
      </c>
      <c r="G558" s="2" t="inlineStr">
        <is>
          <t>MDD-40 E7</t>
        </is>
      </c>
      <c r="H558" s="6" t="inlineStr"/>
    </row>
    <row r="559">
      <c r="A559" s="2" t="inlineStr">
        <is>
          <t>A11.1</t>
        </is>
      </c>
      <c r="B559" s="2" t="inlineStr">
        <is>
          <t>Dòng thời gian changeset</t>
        </is>
      </c>
      <c r="C559" s="2" t="n">
        <v>2</v>
      </c>
      <c r="D559" s="2" t="inlineStr">
        <is>
          <t>UI-history.update</t>
        </is>
      </c>
      <c r="E559" s="2" t="inlineStr">
        <is>
          <t>UICommand</t>
        </is>
      </c>
      <c r="F559" s="2" t="inlineStr">
        <is>
          <t>Cập nhật changeset/snapshot/STALE</t>
        </is>
      </c>
      <c r="G559" s="2" t="inlineStr">
        <is>
          <t>MDD-40 D2</t>
        </is>
      </c>
      <c r="H559" s="6" t="inlineStr"/>
    </row>
    <row r="560">
      <c r="A560" s="2" t="inlineStr">
        <is>
          <t>A11.1.1</t>
        </is>
      </c>
      <c r="B560" s="2" t="inlineStr">
        <is>
          <t>Mỗi changeset: ai, cái gì, thuộc lượt nào, hoàn tác được không (lý do), STALE kéo theo</t>
        </is>
      </c>
      <c r="C560" s="2" t="n">
        <v>3</v>
      </c>
      <c r="D560" s="2" t="inlineStr">
        <is>
          <t>AR22</t>
        </is>
      </c>
      <c r="E560" s="2" t="inlineStr">
        <is>
          <t>Hiện vật (E2)</t>
        </is>
      </c>
      <c r="F560" s="2" t="inlineStr">
        <is>
          <t>Changeset</t>
        </is>
      </c>
      <c r="G560" s="2" t="inlineStr">
        <is>
          <t>MDD-40 E2</t>
        </is>
      </c>
      <c r="H560" s="6" t="inlineStr"/>
    </row>
    <row r="561">
      <c r="A561" s="2" t="inlineStr">
        <is>
          <t>A11.1.1</t>
        </is>
      </c>
      <c r="B561" s="2" t="inlineStr">
        <is>
          <t>Mỗi changeset: ai, cái gì, thuộc lượt nào, hoàn tác được không (lý do), STALE kéo theo</t>
        </is>
      </c>
      <c r="C561" s="2" t="n">
        <v>3</v>
      </c>
      <c r="D561" s="2" t="inlineStr">
        <is>
          <t>CS-unit</t>
        </is>
      </c>
      <c r="E561" s="2" t="inlineStr">
        <is>
          <t>Changeset &amp; rollback</t>
        </is>
      </c>
      <c r="F561" s="2" t="inlineStr">
        <is>
          <t>Changeset: tác giả, inverse ops, reversible</t>
        </is>
      </c>
      <c r="G561" s="2" t="inlineStr">
        <is>
          <t>MDD-40 E5</t>
        </is>
      </c>
      <c r="H561" s="6" t="inlineStr"/>
    </row>
    <row r="562">
      <c r="A562" s="2" t="inlineStr">
        <is>
          <t>A11.1.1</t>
        </is>
      </c>
      <c r="B562" s="2" t="inlineStr">
        <is>
          <t>Mỗi changeset: ai, cái gì, thuộc lượt nào, hoàn tác được không (lý do), STALE kéo theo</t>
        </is>
      </c>
      <c r="C562" s="2" t="n">
        <v>3</v>
      </c>
      <c r="D562" s="2" t="inlineStr">
        <is>
          <t>CS-irreversible</t>
        </is>
      </c>
      <c r="E562" s="2" t="inlineStr">
        <is>
          <t>Changeset &amp; rollback</t>
        </is>
      </c>
      <c r="F562" s="2" t="inlineStr">
        <is>
          <t>Hành động không hoàn tác được — cảnh báo, đề nghị snapshot</t>
        </is>
      </c>
      <c r="G562" s="2" t="inlineStr">
        <is>
          <t>MDD-40 E5</t>
        </is>
      </c>
      <c r="H562" s="6" t="inlineStr"/>
    </row>
    <row r="563">
      <c r="A563" s="2" t="inlineStr">
        <is>
          <t>A11.1.2</t>
        </is>
      </c>
      <c r="B563" s="2" t="inlineStr">
        <is>
          <t>Lọc theo tác giả / hiện vật / lượt</t>
        </is>
      </c>
      <c r="C563" s="2" t="n">
        <v>3</v>
      </c>
      <c r="D563" s="2" t="inlineStr">
        <is>
          <t>HA-attend</t>
        </is>
      </c>
      <c r="E563" s="2" t="inlineStr">
        <is>
          <t>HumanAct</t>
        </is>
      </c>
      <c r="F563" s="2" t="inlineStr">
        <is>
          <t>Chuyển tab/chọn hiện vật</t>
        </is>
      </c>
      <c r="G563" s="2" t="inlineStr">
        <is>
          <t>MDD-40 D2</t>
        </is>
      </c>
      <c r="H563" s="6" t="inlineStr"/>
    </row>
    <row r="564">
      <c r="A564" s="2" t="inlineStr">
        <is>
          <t>A11.1.3</t>
        </is>
      </c>
      <c r="B564" s="2" t="inlineStr">
        <is>
          <t>Hoàn tác một changeset (cảnh báo chuỗi chạm cùng hiện vật)</t>
        </is>
      </c>
      <c r="C564" s="2" t="n">
        <v>3</v>
      </c>
      <c r="D564" s="2" t="inlineStr">
        <is>
          <t>CS-undo1</t>
        </is>
      </c>
      <c r="E564" s="2" t="inlineStr">
        <is>
          <t>Changeset &amp; rollback</t>
        </is>
      </c>
      <c r="F564" s="2" t="inlineStr">
        <is>
          <t>Hoàn tác một changeset</t>
        </is>
      </c>
      <c r="G564" s="2" t="inlineStr">
        <is>
          <t>MDD-40 E5</t>
        </is>
      </c>
      <c r="H564" s="6" t="inlineStr"/>
    </row>
    <row r="565">
      <c r="A565" s="2" t="inlineStr">
        <is>
          <t>A11.1.3</t>
        </is>
      </c>
      <c r="B565" s="2" t="inlineStr">
        <is>
          <t>Hoàn tác một changeset (cảnh báo chuỗi chạm cùng hiện vật)</t>
        </is>
      </c>
      <c r="C565" s="2" t="n">
        <v>3</v>
      </c>
      <c r="D565" s="2" t="inlineStr">
        <is>
          <t>HA-undo</t>
        </is>
      </c>
      <c r="E565" s="2" t="inlineStr">
        <is>
          <t>HumanAct</t>
        </is>
      </c>
      <c r="F565" s="2" t="inlineStr">
        <is>
          <t>Hoàn tác</t>
        </is>
      </c>
      <c r="G565" s="2" t="inlineStr">
        <is>
          <t>MDD-40 D2</t>
        </is>
      </c>
      <c r="H565" s="6" t="inlineStr"/>
    </row>
    <row r="566">
      <c r="A566" s="2" t="inlineStr">
        <is>
          <t>A11.1.4</t>
        </is>
      </c>
      <c r="B566" s="2" t="inlineStr">
        <is>
          <t>Hoàn tác cả lượt (thẻ G-HIST liệt kê sẽ mất gì)</t>
        </is>
      </c>
      <c r="C566" s="2" t="n">
        <v>3</v>
      </c>
      <c r="D566" s="2" t="inlineStr">
        <is>
          <t>CS-undo2</t>
        </is>
      </c>
      <c r="E566" s="2" t="inlineStr">
        <is>
          <t>Changeset &amp; rollback</t>
        </is>
      </c>
      <c r="F566" s="2" t="inlineStr">
        <is>
          <t>Hoàn tác cả lượt (G-HIST)</t>
        </is>
      </c>
      <c r="G566" s="2" t="inlineStr">
        <is>
          <t>MDD-40 E5</t>
        </is>
      </c>
      <c r="H566" s="6" t="inlineStr"/>
    </row>
    <row r="567">
      <c r="A567" s="2" t="inlineStr">
        <is>
          <t>A11.1.4</t>
        </is>
      </c>
      <c r="B567" s="2" t="inlineStr">
        <is>
          <t>Hoàn tác cả lượt (thẻ G-HIST liệt kê sẽ mất gì)</t>
        </is>
      </c>
      <c r="C567" s="2" t="n">
        <v>3</v>
      </c>
      <c r="D567" s="2" t="inlineStr">
        <is>
          <t>G-HIST</t>
        </is>
      </c>
      <c r="E567" s="2" t="inlineStr">
        <is>
          <t>Cổng</t>
        </is>
      </c>
      <c r="F567" s="2" t="inlineStr">
        <is>
          <t>Hoàn tác lượt / khôi phục snapshot</t>
        </is>
      </c>
      <c r="G567" s="2" t="inlineStr">
        <is>
          <t>MDD-40 B4/E7</t>
        </is>
      </c>
      <c r="H567" s="6" t="inlineStr"/>
    </row>
    <row r="568">
      <c r="A568" s="2" t="inlineStr">
        <is>
          <t>A11.1.4</t>
        </is>
      </c>
      <c r="B568" s="2" t="inlineStr">
        <is>
          <t>Hoàn tác cả lượt (thẻ G-HIST liệt kê sẽ mất gì)</t>
        </is>
      </c>
      <c r="C568" s="2" t="n">
        <v>3</v>
      </c>
      <c r="D568" s="2" t="inlineStr">
        <is>
          <t>HA-undo</t>
        </is>
      </c>
      <c r="E568" s="2" t="inlineStr">
        <is>
          <t>HumanAct</t>
        </is>
      </c>
      <c r="F568" s="2" t="inlineStr">
        <is>
          <t>Hoàn tác</t>
        </is>
      </c>
      <c r="G568" s="2" t="inlineStr">
        <is>
          <t>MDD-40 D2</t>
        </is>
      </c>
      <c r="H568" s="6" t="inlineStr"/>
    </row>
    <row r="569">
      <c r="A569" s="2" t="inlineStr">
        <is>
          <t>A11.1.5</t>
        </is>
      </c>
      <c r="B569" s="2" t="inlineStr">
        <is>
          <t>Đặt snapshot tại changeset này</t>
        </is>
      </c>
      <c r="C569" s="2" t="n">
        <v>3</v>
      </c>
      <c r="D569" s="2" t="inlineStr">
        <is>
          <t>SN-human</t>
        </is>
      </c>
      <c r="E569" s="2" t="inlineStr">
        <is>
          <t>Snapshot</t>
        </is>
      </c>
      <c r="F569" s="2" t="inlineStr">
        <is>
          <t>Người ghi bản ưng ý bất cứ lúc nào</t>
        </is>
      </c>
      <c r="G569" s="2" t="inlineStr">
        <is>
          <t>MDD-40 E6</t>
        </is>
      </c>
      <c r="H569" s="6" t="inlineStr"/>
    </row>
    <row r="570">
      <c r="A570" s="2" t="inlineStr">
        <is>
          <t>A11.1.5</t>
        </is>
      </c>
      <c r="B570" s="2" t="inlineStr">
        <is>
          <t>Đặt snapshot tại changeset này</t>
        </is>
      </c>
      <c r="C570" s="2" t="n">
        <v>3</v>
      </c>
      <c r="D570" s="2" t="inlineStr">
        <is>
          <t>HA-snapshot</t>
        </is>
      </c>
      <c r="E570" s="2" t="inlineStr">
        <is>
          <t>HumanAct</t>
        </is>
      </c>
      <c r="F570" s="2" t="inlineStr">
        <is>
          <t>Ghi bản ưng ý</t>
        </is>
      </c>
      <c r="G570" s="2" t="inlineStr">
        <is>
          <t>MDD-40 D2</t>
        </is>
      </c>
      <c r="H570" s="6" t="inlineStr"/>
    </row>
    <row r="571">
      <c r="A571" s="2" t="inlineStr">
        <is>
          <t>A11.1.6</t>
        </is>
      </c>
      <c r="B571" s="2" t="inlineStr">
        <is>
          <t>Xem diff của changeset</t>
        </is>
      </c>
      <c r="C571" s="2" t="n">
        <v>3</v>
      </c>
      <c r="D571" s="2" t="inlineStr">
        <is>
          <t>AR14</t>
        </is>
      </c>
      <c r="E571" s="2" t="inlineStr">
        <is>
          <t>Hiện vật (E2)</t>
        </is>
      </c>
      <c r="F571" s="2" t="inlineStr">
        <is>
          <t>Diff của tác tử</t>
        </is>
      </c>
      <c r="G571" s="2" t="inlineStr">
        <is>
          <t>MDD-40 E2</t>
        </is>
      </c>
      <c r="H571" s="6" t="inlineStr"/>
    </row>
    <row r="572">
      <c r="A572" s="2" t="inlineStr">
        <is>
          <t>A11.1.6</t>
        </is>
      </c>
      <c r="B572" s="2" t="inlineStr">
        <is>
          <t>Xem diff của changeset</t>
        </is>
      </c>
      <c r="C572" s="2" t="n">
        <v>3</v>
      </c>
      <c r="D572" s="2" t="inlineStr">
        <is>
          <t>AR22</t>
        </is>
      </c>
      <c r="E572" s="2" t="inlineStr">
        <is>
          <t>Hiện vật (E2)</t>
        </is>
      </c>
      <c r="F572" s="2" t="inlineStr">
        <is>
          <t>Changeset</t>
        </is>
      </c>
      <c r="G572" s="2" t="inlineStr">
        <is>
          <t>MDD-40 E2</t>
        </is>
      </c>
      <c r="H572" s="6" t="inlineStr"/>
    </row>
    <row r="573">
      <c r="A573" s="2" t="inlineStr">
        <is>
          <t>A11.2</t>
        </is>
      </c>
      <c r="B573" s="2" t="inlineStr">
        <is>
          <t>Snapshot (bản ưng ý)</t>
        </is>
      </c>
      <c r="C573" s="2" t="n">
        <v>2</v>
      </c>
      <c r="D573" s="2" t="inlineStr">
        <is>
          <t>AR23</t>
        </is>
      </c>
      <c r="E573" s="2" t="inlineStr">
        <is>
          <t>Hiện vật (E2)</t>
        </is>
      </c>
      <c r="F573" s="2" t="inlineStr">
        <is>
          <t>Snapshot</t>
        </is>
      </c>
      <c r="G573" s="2" t="inlineStr">
        <is>
          <t>MDD-40 E2</t>
        </is>
      </c>
      <c r="H573" s="6" t="inlineStr"/>
    </row>
    <row r="574">
      <c r="A574" s="2" t="inlineStr">
        <is>
          <t>A11.2</t>
        </is>
      </c>
      <c r="B574" s="2" t="inlineStr">
        <is>
          <t>Snapshot (bản ưng ý)</t>
        </is>
      </c>
      <c r="C574" s="2" t="n">
        <v>2</v>
      </c>
      <c r="D574" s="2" t="inlineStr">
        <is>
          <t>SN-human</t>
        </is>
      </c>
      <c r="E574" s="2" t="inlineStr">
        <is>
          <t>Snapshot</t>
        </is>
      </c>
      <c r="F574" s="2" t="inlineStr">
        <is>
          <t>Người ghi bản ưng ý bất cứ lúc nào</t>
        </is>
      </c>
      <c r="G574" s="2" t="inlineStr">
        <is>
          <t>MDD-40 E6</t>
        </is>
      </c>
      <c r="H574" s="6" t="inlineStr"/>
    </row>
    <row r="575">
      <c r="A575" s="2" t="inlineStr">
        <is>
          <t>A11.2</t>
        </is>
      </c>
      <c r="B575" s="2" t="inlineStr">
        <is>
          <t>Snapshot (bản ưng ý)</t>
        </is>
      </c>
      <c r="C575" s="2" t="n">
        <v>2</v>
      </c>
      <c r="D575" s="2" t="inlineStr">
        <is>
          <t>SN-propose</t>
        </is>
      </c>
      <c r="E575" s="2" t="inlineStr">
        <is>
          <t>Snapshot</t>
        </is>
      </c>
      <c r="F575" s="2" t="inlineStr">
        <is>
          <t>Tác tử đề xuất sau mốc (G-SNAP)</t>
        </is>
      </c>
      <c r="G575" s="2" t="inlineStr">
        <is>
          <t>MDD-40 E6</t>
        </is>
      </c>
      <c r="H575" s="6" t="inlineStr"/>
    </row>
    <row r="576">
      <c r="A576" s="2" t="inlineStr">
        <is>
          <t>A11.2.1</t>
        </is>
      </c>
      <c r="B576" s="2" t="inlineStr">
        <is>
          <t>Dấu ★: tên, ghi chú, chip, tài liệu, REQ đã đạt, bằng chứng, kind checkpoint/release</t>
        </is>
      </c>
      <c r="C576" s="2" t="n">
        <v>3</v>
      </c>
      <c r="D576" s="2" t="inlineStr">
        <is>
          <t>AR23</t>
        </is>
      </c>
      <c r="E576" s="2" t="inlineStr">
        <is>
          <t>Hiện vật (E2)</t>
        </is>
      </c>
      <c r="F576" s="2" t="inlineStr">
        <is>
          <t>Snapshot</t>
        </is>
      </c>
      <c r="G576" s="2" t="inlineStr">
        <is>
          <t>MDD-40 E2</t>
        </is>
      </c>
      <c r="H576" s="6" t="inlineStr"/>
    </row>
    <row r="577">
      <c r="A577" s="2" t="inlineStr">
        <is>
          <t>A11.2.1</t>
        </is>
      </c>
      <c r="B577" s="2" t="inlineStr">
        <is>
          <t>Dấu ★: tên, ghi chú, chip, tài liệu, REQ đã đạt, bằng chứng, kind checkpoint/release</t>
        </is>
      </c>
      <c r="C577" s="2" t="n">
        <v>3</v>
      </c>
      <c r="D577" s="2" t="inlineStr">
        <is>
          <t>SN-release</t>
        </is>
      </c>
      <c r="E577" s="2" t="inlineStr">
        <is>
          <t>Snapshot</t>
        </is>
      </c>
      <c r="F577" s="2" t="inlineStr">
        <is>
          <t>Snapshot release — điều kiện cho RDP/eFuse</t>
        </is>
      </c>
      <c r="G577" s="2" t="inlineStr">
        <is>
          <t>MDD-40 E6</t>
        </is>
      </c>
      <c r="H577" s="6" t="inlineStr"/>
    </row>
    <row r="578">
      <c r="A578" s="2" t="inlineStr">
        <is>
          <t>A11.2.2</t>
        </is>
      </c>
      <c r="B578" s="2" t="inlineStr">
        <is>
          <t>Ghi bản ưng ý (đặt tên, ghi chú, chọn gồm gì)</t>
        </is>
      </c>
      <c r="C578" s="2" t="n">
        <v>3</v>
      </c>
      <c r="D578" s="2" t="inlineStr">
        <is>
          <t>SN-human</t>
        </is>
      </c>
      <c r="E578" s="2" t="inlineStr">
        <is>
          <t>Snapshot</t>
        </is>
      </c>
      <c r="F578" s="2" t="inlineStr">
        <is>
          <t>Người ghi bản ưng ý bất cứ lúc nào</t>
        </is>
      </c>
      <c r="G578" s="2" t="inlineStr">
        <is>
          <t>MDD-40 E6</t>
        </is>
      </c>
      <c r="H578" s="6" t="inlineStr"/>
    </row>
    <row r="579">
      <c r="A579" s="2" t="inlineStr">
        <is>
          <t>A11.2.2</t>
        </is>
      </c>
      <c r="B579" s="2" t="inlineStr">
        <is>
          <t>Ghi bản ưng ý (đặt tên, ghi chú, chọn gồm gì)</t>
        </is>
      </c>
      <c r="C579" s="2" t="n">
        <v>3</v>
      </c>
      <c r="D579" s="2" t="inlineStr">
        <is>
          <t>HA-snapshot</t>
        </is>
      </c>
      <c r="E579" s="2" t="inlineStr">
        <is>
          <t>HumanAct</t>
        </is>
      </c>
      <c r="F579" s="2" t="inlineStr">
        <is>
          <t>Ghi bản ưng ý</t>
        </is>
      </c>
      <c r="G579" s="2" t="inlineStr">
        <is>
          <t>MDD-40 D2</t>
        </is>
      </c>
      <c r="H579" s="6" t="inlineStr"/>
    </row>
    <row r="580">
      <c r="A580" s="2" t="inlineStr">
        <is>
          <t>A11.2.3</t>
        </is>
      </c>
      <c r="B580" s="2" t="inlineStr">
        <is>
          <t>Khôi phục: thẻ G-HIST 'sẽ mất gì', gợi ý snapshot hiện tại, vào nhánh mới</t>
        </is>
      </c>
      <c r="C580" s="2" t="n">
        <v>3</v>
      </c>
      <c r="D580" s="2" t="inlineStr">
        <is>
          <t>SN-restore</t>
        </is>
      </c>
      <c r="E580" s="2" t="inlineStr">
        <is>
          <t>Snapshot</t>
        </is>
      </c>
      <c r="F580" s="2" t="inlineStr">
        <is>
          <t>Khôi phục: liệt kê sẽ mất gì, vào nhánh mới</t>
        </is>
      </c>
      <c r="G580" s="2" t="inlineStr">
        <is>
          <t>MDD-40 E6</t>
        </is>
      </c>
      <c r="H580" s="6" t="inlineStr"/>
    </row>
    <row r="581">
      <c r="A581" s="2" t="inlineStr">
        <is>
          <t>A11.2.3</t>
        </is>
      </c>
      <c r="B581" s="2" t="inlineStr">
        <is>
          <t>Khôi phục: thẻ G-HIST 'sẽ mất gì', gợi ý snapshot hiện tại, vào nhánh mới</t>
        </is>
      </c>
      <c r="C581" s="2" t="n">
        <v>3</v>
      </c>
      <c r="D581" s="2" t="inlineStr">
        <is>
          <t>CS-undo3</t>
        </is>
      </c>
      <c r="E581" s="2" t="inlineStr">
        <is>
          <t>Changeset &amp; rollback</t>
        </is>
      </c>
      <c r="F581" s="2" t="inlineStr">
        <is>
          <t>Về snapshot (G-HIST)</t>
        </is>
      </c>
      <c r="G581" s="2" t="inlineStr">
        <is>
          <t>MDD-40 E5</t>
        </is>
      </c>
      <c r="H581" s="6" t="inlineStr"/>
    </row>
    <row r="582">
      <c r="A582" s="2" t="inlineStr">
        <is>
          <t>A11.2.3</t>
        </is>
      </c>
      <c r="B582" s="2" t="inlineStr">
        <is>
          <t>Khôi phục: thẻ G-HIST 'sẽ mất gì', gợi ý snapshot hiện tại, vào nhánh mới</t>
        </is>
      </c>
      <c r="C582" s="2" t="n">
        <v>3</v>
      </c>
      <c r="D582" s="2" t="inlineStr">
        <is>
          <t>G-HIST</t>
        </is>
      </c>
      <c r="E582" s="2" t="inlineStr">
        <is>
          <t>Cổng</t>
        </is>
      </c>
      <c r="F582" s="2" t="inlineStr">
        <is>
          <t>Hoàn tác lượt / khôi phục snapshot</t>
        </is>
      </c>
      <c r="G582" s="2" t="inlineStr">
        <is>
          <t>MDD-40 B4/E7</t>
        </is>
      </c>
      <c r="H582" s="6" t="inlineStr"/>
    </row>
    <row r="583">
      <c r="A583" s="2" t="inlineStr">
        <is>
          <t>A11.2.4</t>
        </is>
      </c>
      <c r="B583" s="2" t="inlineStr">
        <is>
          <t>So sánh hai snapshot: REQ, Fact, mã, Flash/RAM, sim, tài liệu</t>
        </is>
      </c>
      <c r="C583" s="2" t="n">
        <v>3</v>
      </c>
      <c r="D583" s="2" t="inlineStr">
        <is>
          <t>SN-compare</t>
        </is>
      </c>
      <c r="E583" s="2" t="inlineStr">
        <is>
          <t>Snapshot</t>
        </is>
      </c>
      <c r="F583" s="2" t="inlineStr">
        <is>
          <t>So sánh hai snapshot</t>
        </is>
      </c>
      <c r="G583" s="2" t="inlineStr">
        <is>
          <t>MDD-40 E6</t>
        </is>
      </c>
      <c r="H583" s="6" t="inlineStr"/>
    </row>
    <row r="584">
      <c r="A584" s="2" t="inlineStr">
        <is>
          <t>A11.2.5</t>
        </is>
      </c>
      <c r="B584" s="2" t="inlineStr">
        <is>
          <t>Đánh dấu release / Xuất gói</t>
        </is>
      </c>
      <c r="C584" s="2" t="n">
        <v>3</v>
      </c>
      <c r="D584" s="2" t="inlineStr">
        <is>
          <t>SN-release</t>
        </is>
      </c>
      <c r="E584" s="2" t="inlineStr">
        <is>
          <t>Snapshot</t>
        </is>
      </c>
      <c r="F584" s="2" t="inlineStr">
        <is>
          <t>Snapshot release — điều kiện cho RDP/eFuse</t>
        </is>
      </c>
      <c r="G584" s="2" t="inlineStr">
        <is>
          <t>MDD-40 E6</t>
        </is>
      </c>
      <c r="H584" s="6" t="inlineStr"/>
    </row>
    <row r="585">
      <c r="A585" s="2" t="inlineStr">
        <is>
          <t>A11.2.5</t>
        </is>
      </c>
      <c r="B585" s="2" t="inlineStr">
        <is>
          <t>Đánh dấu release / Xuất gói</t>
        </is>
      </c>
      <c r="C585" s="2" t="n">
        <v>3</v>
      </c>
      <c r="D585" s="2" t="inlineStr">
        <is>
          <t>SN-export</t>
        </is>
      </c>
      <c r="E585" s="2" t="inlineStr">
        <is>
          <t>Snapshot</t>
        </is>
      </c>
      <c r="F585" s="2" t="inlineStr">
        <is>
          <t>Xuất gói release</t>
        </is>
      </c>
      <c r="G585" s="2" t="inlineStr">
        <is>
          <t>MDD-40 E6</t>
        </is>
      </c>
      <c r="H585" s="6" t="inlineStr"/>
    </row>
    <row r="586">
      <c r="A586" s="2" t="inlineStr">
        <is>
          <t>A11.2.6</t>
        </is>
      </c>
      <c r="B586" s="2" t="inlineStr">
        <is>
          <t>Checkpoint ngầm (ẩn mặc định, bật hiện)</t>
        </is>
      </c>
      <c r="C586" s="2" t="n">
        <v>3</v>
      </c>
      <c r="D586" s="2" t="inlineStr">
        <is>
          <t>SN-checkpoint</t>
        </is>
      </c>
      <c r="E586" s="2" t="inlineStr">
        <is>
          <t>Snapshot</t>
        </is>
      </c>
      <c r="F586" s="2" t="inlineStr">
        <is>
          <t>Checkpoint ngầm trước run/hoàn tác</t>
        </is>
      </c>
      <c r="G586" s="2" t="inlineStr">
        <is>
          <t>MDD-40 E6</t>
        </is>
      </c>
      <c r="H586" s="6" t="inlineStr"/>
    </row>
    <row r="587">
      <c r="A587" s="2" t="inlineStr">
        <is>
          <t>A11.3</t>
        </is>
      </c>
      <c r="B587" s="2" t="inlineStr">
        <is>
          <t>Nhánh</t>
        </is>
      </c>
      <c r="C587" s="2" t="n">
        <v>2</v>
      </c>
      <c r="D587" s="2" t="inlineStr">
        <is>
          <t>CS-branch</t>
        </is>
      </c>
      <c r="E587" s="2" t="inlineStr">
        <is>
          <t>Changeset &amp; rollback</t>
        </is>
      </c>
      <c r="F587" s="2" t="inlineStr">
        <is>
          <t>Rẽ nhánh phương án; so sánh; gộp</t>
        </is>
      </c>
      <c r="G587" s="2" t="inlineStr">
        <is>
          <t>MDD-40 E5</t>
        </is>
      </c>
      <c r="H587" s="6" t="inlineStr"/>
    </row>
    <row r="588">
      <c r="A588" s="2" t="inlineStr">
        <is>
          <t>A11.3</t>
        </is>
      </c>
      <c r="B588" s="2" t="inlineStr">
        <is>
          <t>Nhánh</t>
        </is>
      </c>
      <c r="C588" s="2" t="n">
        <v>2</v>
      </c>
      <c r="D588" s="2" t="inlineStr">
        <is>
          <t>HA-branch</t>
        </is>
      </c>
      <c r="E588" s="2" t="inlineStr">
        <is>
          <t>HumanAct</t>
        </is>
      </c>
      <c r="F588" s="2" t="inlineStr">
        <is>
          <t>Rẽ/chuyển/gộp nhánh</t>
        </is>
      </c>
      <c r="G588" s="2" t="inlineStr">
        <is>
          <t>MDD-40 D2</t>
        </is>
      </c>
      <c r="H588" s="6" t="inlineStr"/>
    </row>
    <row r="589">
      <c r="A589" s="2" t="inlineStr">
        <is>
          <t>A11.3.1</t>
        </is>
      </c>
      <c r="B589" s="2" t="inlineStr">
        <is>
          <t>Danh sách nhánh; tạo từ snapshot/changeset; chuyển</t>
        </is>
      </c>
      <c r="C589" s="2" t="n">
        <v>3</v>
      </c>
      <c r="D589" s="2" t="inlineStr">
        <is>
          <t>CS-branch</t>
        </is>
      </c>
      <c r="E589" s="2" t="inlineStr">
        <is>
          <t>Changeset &amp; rollback</t>
        </is>
      </c>
      <c r="F589" s="2" t="inlineStr">
        <is>
          <t>Rẽ nhánh phương án; so sánh; gộp</t>
        </is>
      </c>
      <c r="G589" s="2" t="inlineStr">
        <is>
          <t>MDD-40 E5</t>
        </is>
      </c>
      <c r="H589" s="6" t="inlineStr"/>
    </row>
    <row r="590">
      <c r="A590" s="2" t="inlineStr">
        <is>
          <t>A11.3.1</t>
        </is>
      </c>
      <c r="B590" s="2" t="inlineStr">
        <is>
          <t>Danh sách nhánh; tạo từ snapshot/changeset; chuyển</t>
        </is>
      </c>
      <c r="C590" s="2" t="n">
        <v>3</v>
      </c>
      <c r="D590" s="2" t="inlineStr">
        <is>
          <t>HA-branch</t>
        </is>
      </c>
      <c r="E590" s="2" t="inlineStr">
        <is>
          <t>HumanAct</t>
        </is>
      </c>
      <c r="F590" s="2" t="inlineStr">
        <is>
          <t>Rẽ/chuyển/gộp nhánh</t>
        </is>
      </c>
      <c r="G590" s="2" t="inlineStr">
        <is>
          <t>MDD-40 D2</t>
        </is>
      </c>
      <c r="H590" s="6" t="inlineStr"/>
    </row>
    <row r="591">
      <c r="A591" s="2" t="inlineStr">
        <is>
          <t>A11.3.2</t>
        </is>
      </c>
      <c r="B591" s="2" t="inlineStr">
        <is>
          <t>Gộp: hiện vật không xung đột tự gộp; còn lại chọn từng cái</t>
        </is>
      </c>
      <c r="C591" s="2" t="n">
        <v>3</v>
      </c>
      <c r="D591" s="2" t="inlineStr">
        <is>
          <t>CS-branch</t>
        </is>
      </c>
      <c r="E591" s="2" t="inlineStr">
        <is>
          <t>Changeset &amp; rollback</t>
        </is>
      </c>
      <c r="F591" s="2" t="inlineStr">
        <is>
          <t>Rẽ nhánh phương án; so sánh; gộp</t>
        </is>
      </c>
      <c r="G591" s="2" t="inlineStr">
        <is>
          <t>MDD-40 E5</t>
        </is>
      </c>
      <c r="H591" s="6" t="inlineStr"/>
    </row>
    <row r="592">
      <c r="A592" s="2" t="inlineStr">
        <is>
          <t>A11.3.2</t>
        </is>
      </c>
      <c r="B592" s="2" t="inlineStr">
        <is>
          <t>Gộp: hiện vật không xung đột tự gộp; còn lại chọn từng cái</t>
        </is>
      </c>
      <c r="C592" s="2" t="n">
        <v>3</v>
      </c>
      <c r="D592" s="2" t="inlineStr">
        <is>
          <t>ED3</t>
        </is>
      </c>
      <c r="E592" s="2" t="inlineStr">
        <is>
          <t>Đồng bộ khi người sửa</t>
        </is>
      </c>
      <c r="F592" s="2" t="inlineStr">
        <is>
          <t>Kiểm lược đồ + 3-way merge; xung đột → thẻ hai bản</t>
        </is>
      </c>
      <c r="G592" s="2" t="inlineStr">
        <is>
          <t>MDD-40 E4</t>
        </is>
      </c>
      <c r="H592" s="6" t="inlineStr"/>
    </row>
    <row r="593">
      <c r="A593" s="2" t="inlineStr">
        <is>
          <t>A11.4</t>
        </is>
      </c>
      <c r="B593" s="2" t="inlineStr">
        <is>
          <t>Hiện vật STALE</t>
        </is>
      </c>
      <c r="C593" s="2" t="n">
        <v>2</v>
      </c>
      <c r="D593" s="2" t="inlineStr">
        <is>
          <t>CS-stale</t>
        </is>
      </c>
      <c r="E593" s="2" t="inlineStr">
        <is>
          <t>Changeset &amp; rollback</t>
        </is>
      </c>
      <c r="F593" s="2" t="inlineStr">
        <is>
          <t>Đồ thị phụ thuộc + STALE + chấp nhận STALE</t>
        </is>
      </c>
      <c r="G593" s="2" t="inlineStr">
        <is>
          <t>MDD-40 E5</t>
        </is>
      </c>
      <c r="H593" s="6" t="inlineStr"/>
    </row>
    <row r="594">
      <c r="A594" s="2" t="inlineStr">
        <is>
          <t>A11.4.1</t>
        </is>
      </c>
      <c r="B594" s="2" t="inlineStr">
        <is>
          <t>Danh sách STALE + lý do (changeset) + nút 'Lập kế hoạch cập nhật' / 'Chấp nhận'</t>
        </is>
      </c>
      <c r="C594" s="2" t="n">
        <v>3</v>
      </c>
      <c r="D594" s="2" t="inlineStr">
        <is>
          <t>CS-stale</t>
        </is>
      </c>
      <c r="E594" s="2" t="inlineStr">
        <is>
          <t>Changeset &amp; rollback</t>
        </is>
      </c>
      <c r="F594" s="2" t="inlineStr">
        <is>
          <t>Đồ thị phụ thuộc + STALE + chấp nhận STALE</t>
        </is>
      </c>
      <c r="G594" s="2" t="inlineStr">
        <is>
          <t>MDD-40 E5</t>
        </is>
      </c>
      <c r="H594" s="6" t="inlineStr"/>
    </row>
    <row r="595">
      <c r="A595" s="2" t="inlineStr">
        <is>
          <t>A11.4.1</t>
        </is>
      </c>
      <c r="B595" s="2" t="inlineStr">
        <is>
          <t>Danh sách STALE + lý do (changeset) + nút 'Lập kế hoạch cập nhật' / 'Chấp nhận'</t>
        </is>
      </c>
      <c r="C595" s="2" t="n">
        <v>3</v>
      </c>
      <c r="D595" s="2" t="inlineStr">
        <is>
          <t>CX-plan</t>
        </is>
      </c>
      <c r="E595" s="2" t="inlineStr">
        <is>
          <t>Ngữ cảnh tác tử</t>
        </is>
      </c>
      <c r="F595" s="2" t="inlineStr">
        <is>
          <t>Plan mode: kế hoạch có checkbox, duyệt</t>
        </is>
      </c>
      <c r="G595" s="2" t="inlineStr">
        <is>
          <t>MDD-40 B2/B5</t>
        </is>
      </c>
      <c r="H595" s="6" t="inlineStr"/>
    </row>
    <row r="596">
      <c r="A596" s="2" t="inlineStr">
        <is>
          <t>A11.4.1</t>
        </is>
      </c>
      <c r="B596" s="2" t="inlineStr">
        <is>
          <t>Danh sách STALE + lý do (changeset) + nút 'Lập kế hoạch cập nhật' / 'Chấp nhận'</t>
        </is>
      </c>
      <c r="C596" s="2" t="n">
        <v>3</v>
      </c>
      <c r="D596" s="2" t="inlineStr">
        <is>
          <t>ED6</t>
        </is>
      </c>
      <c r="E596" s="2" t="inlineStr">
        <is>
          <t>Đồng bộ khi người sửa</t>
        </is>
      </c>
      <c r="F596" s="2" t="inlineStr">
        <is>
          <t>Tác tử phản hồi: nhắc, hệ quả, đề nghị; không ghi đè</t>
        </is>
      </c>
      <c r="G596" s="2" t="inlineStr">
        <is>
          <t>MDD-40 E4</t>
        </is>
      </c>
      <c r="H596" s="6" t="inlineStr"/>
    </row>
    <row r="597">
      <c r="A597" s="2" t="inlineStr">
        <is>
          <t>A12.1</t>
        </is>
      </c>
      <c r="B597" s="2" t="inlineStr">
        <is>
          <t>Thẻ cổng chung</t>
        </is>
      </c>
      <c r="C597" s="2" t="n">
        <v>2</v>
      </c>
      <c r="D597" s="2" t="inlineStr">
        <is>
          <t>LY-gatecards</t>
        </is>
      </c>
      <c r="E597" s="2" t="inlineStr">
        <is>
          <t>Bố cục</t>
        </is>
      </c>
      <c r="F597" s="2" t="inlineStr">
        <is>
          <t>Thẻ cổng 11 loại</t>
        </is>
      </c>
      <c r="G597" s="2" t="inlineStr">
        <is>
          <t>MDD-40 E7</t>
        </is>
      </c>
      <c r="H597" s="6" t="inlineStr"/>
    </row>
    <row r="598">
      <c r="A598" s="2" t="inlineStr">
        <is>
          <t>A12.1</t>
        </is>
      </c>
      <c r="B598" s="2" t="inlineStr">
        <is>
          <t>Thẻ cổng chung</t>
        </is>
      </c>
      <c r="C598" s="2" t="n">
        <v>2</v>
      </c>
      <c r="D598" s="2" t="inlineStr">
        <is>
          <t>I6</t>
        </is>
      </c>
      <c r="E598" s="2" t="inlineStr">
        <is>
          <t>Bất biến giao thức</t>
        </is>
      </c>
      <c r="F598" s="2" t="inlineStr">
        <is>
          <t>Cổng là thẻ riêng — text 'có' không mở cổng</t>
        </is>
      </c>
      <c r="G598" s="2" t="inlineStr">
        <is>
          <t>MDD-40 D1</t>
        </is>
      </c>
      <c r="H598" s="6" t="inlineStr"/>
    </row>
    <row r="599">
      <c r="A599" s="2" t="inlineStr">
        <is>
          <t>A12.1</t>
        </is>
      </c>
      <c r="B599" s="2" t="inlineStr">
        <is>
          <t>Thẻ cổng chung</t>
        </is>
      </c>
      <c r="C599" s="2" t="n">
        <v>2</v>
      </c>
      <c r="D599" s="2" t="inlineStr">
        <is>
          <t>HA-decide</t>
        </is>
      </c>
      <c r="E599" s="2" t="inlineStr">
        <is>
          <t>HumanAct</t>
        </is>
      </c>
      <c r="F599" s="2" t="inlineStr">
        <is>
          <t>Quyết định cổng</t>
        </is>
      </c>
      <c r="G599" s="2" t="inlineStr">
        <is>
          <t>MDD-40 D2</t>
        </is>
      </c>
      <c r="H599" s="6" t="inlineStr"/>
    </row>
    <row r="600">
      <c r="A600" s="2" t="inlineStr">
        <is>
          <t>A12.1.1</t>
        </is>
      </c>
      <c r="B600" s="2" t="inlineStr">
        <is>
          <t>Tiêu đề + mã cổng + mức rủi ro + hậu quả (consequences cố định từ hợp đồng tool)</t>
        </is>
      </c>
      <c r="C600" s="2" t="n">
        <v>3</v>
      </c>
      <c r="D600" s="2" t="inlineStr">
        <is>
          <t>I6</t>
        </is>
      </c>
      <c r="E600" s="2" t="inlineStr">
        <is>
          <t>Bất biến giao thức</t>
        </is>
      </c>
      <c r="F600" s="2" t="inlineStr">
        <is>
          <t>Cổng là thẻ riêng — text 'có' không mở cổng</t>
        </is>
      </c>
      <c r="G600" s="2" t="inlineStr">
        <is>
          <t>MDD-40 D1</t>
        </is>
      </c>
      <c r="H600" s="6" t="inlineStr"/>
    </row>
    <row r="601">
      <c r="A601" s="2" t="inlineStr">
        <is>
          <t>A12.1.1</t>
        </is>
      </c>
      <c r="B601" s="2" t="inlineStr">
        <is>
          <t>Tiêu đề + mã cổng + mức rủi ro + hậu quả (consequences cố định từ hợp đồng tool)</t>
        </is>
      </c>
      <c r="C601" s="2" t="n">
        <v>3</v>
      </c>
      <c r="D601" s="2" t="inlineStr">
        <is>
          <t>N5</t>
        </is>
      </c>
      <c r="E601" s="2" t="inlineStr">
        <is>
          <t>Nguyên tắc</t>
        </is>
      </c>
      <c r="F601" s="2" t="inlineStr">
        <is>
          <t>Cổng an toàn đứng trước phép đoán (S0, G-OPS never_auto)</t>
        </is>
      </c>
      <c r="G601" s="2" t="inlineStr">
        <is>
          <t>MDD-40 A3</t>
        </is>
      </c>
      <c r="H601" s="6" t="inlineStr"/>
    </row>
    <row r="602">
      <c r="A602" s="2" t="inlineStr">
        <is>
          <t>A12.1.2</t>
        </is>
      </c>
      <c r="B602" s="2" t="inlineStr">
        <is>
          <t>Duyệt / Từ chối (decide)</t>
        </is>
      </c>
      <c r="C602" s="2" t="n">
        <v>3</v>
      </c>
      <c r="D602" s="2" t="inlineStr">
        <is>
          <t>HA-decide</t>
        </is>
      </c>
      <c r="E602" s="2" t="inlineStr">
        <is>
          <t>HumanAct</t>
        </is>
      </c>
      <c r="F602" s="2" t="inlineStr">
        <is>
          <t>Quyết định cổng</t>
        </is>
      </c>
      <c r="G602" s="2" t="inlineStr">
        <is>
          <t>MDD-40 D2</t>
        </is>
      </c>
      <c r="H602" s="6" t="inlineStr"/>
    </row>
    <row r="603">
      <c r="A603" s="2" t="inlineStr">
        <is>
          <t>A12.1.2</t>
        </is>
      </c>
      <c r="B603" s="2" t="inlineStr">
        <is>
          <t>Duyệt / Từ chối (decide)</t>
        </is>
      </c>
      <c r="C603" s="2" t="n">
        <v>3</v>
      </c>
      <c r="D603" s="2" t="inlineStr">
        <is>
          <t>I6</t>
        </is>
      </c>
      <c r="E603" s="2" t="inlineStr">
        <is>
          <t>Bất biến giao thức</t>
        </is>
      </c>
      <c r="F603" s="2" t="inlineStr">
        <is>
          <t>Cổng là thẻ riêng — text 'có' không mở cổng</t>
        </is>
      </c>
      <c r="G603" s="2" t="inlineStr">
        <is>
          <t>MDD-40 D1</t>
        </is>
      </c>
      <c r="H603" s="6" t="inlineStr"/>
    </row>
    <row r="604">
      <c r="A604" s="2" t="inlineStr">
        <is>
          <t>A12.1.3</t>
        </is>
      </c>
      <c r="B604" s="2" t="inlineStr">
        <is>
          <t>'Tin' (chỉ R0–R2)</t>
        </is>
      </c>
      <c r="C604" s="2" t="n">
        <v>3</v>
      </c>
      <c r="D604" s="2" t="inlineStr">
        <is>
          <t>MM-remember</t>
        </is>
      </c>
      <c r="E604" s="2" t="inlineStr">
        <is>
          <t>Bộ nhớ người dùng</t>
        </is>
      </c>
      <c r="F604" s="2" t="inlineStr">
        <is>
          <t>'Tin' theo tool (R0–R2)</t>
        </is>
      </c>
      <c r="G604" s="2" t="inlineStr">
        <is>
          <t>MDD-40 B6/E3.4</t>
        </is>
      </c>
      <c r="H604" s="6" t="inlineStr"/>
    </row>
    <row r="605">
      <c r="A605" s="2" t="inlineStr">
        <is>
          <t>A12.1.4</t>
        </is>
      </c>
      <c r="B605" s="2" t="inlineStr">
        <is>
          <t>Hết hạn (R4: 10 phút) → mờ</t>
        </is>
      </c>
      <c r="C605" s="2" t="n">
        <v>3</v>
      </c>
      <c r="D605" s="2" t="inlineStr">
        <is>
          <t>UI-card.expire</t>
        </is>
      </c>
      <c r="E605" s="2" t="inlineStr">
        <is>
          <t>UICommand</t>
        </is>
      </c>
      <c r="F605" s="2" t="inlineStr">
        <is>
          <t>Thẻ hết hạn</t>
        </is>
      </c>
      <c r="G605" s="2" t="inlineStr">
        <is>
          <t>MDD-40 D2</t>
        </is>
      </c>
      <c r="H605" s="6" t="inlineStr"/>
    </row>
    <row r="606">
      <c r="A606" s="2" t="inlineStr">
        <is>
          <t>A12.1.5</t>
        </is>
      </c>
      <c r="B606" s="2" t="inlineStr">
        <is>
          <t>Biến thể G-DATA: Danh sách nguồn chọn/từ chối</t>
        </is>
      </c>
      <c r="C606" s="2" t="n">
        <v>3</v>
      </c>
      <c r="D606" s="2" t="inlineStr">
        <is>
          <t>G-DATA</t>
        </is>
      </c>
      <c r="E606" s="2" t="inlineStr">
        <is>
          <t>Cổng</t>
        </is>
      </c>
      <c r="F606" s="2" t="inlineStr">
        <is>
          <t>Duyệt nguồn tài liệu</t>
        </is>
      </c>
      <c r="G606" s="2" t="inlineStr">
        <is>
          <t>MDD-40 B4/E7</t>
        </is>
      </c>
      <c r="H606" s="6" t="inlineStr"/>
    </row>
    <row r="607">
      <c r="A607" s="2" t="inlineStr">
        <is>
          <t>A12.1.6</t>
        </is>
      </c>
      <c r="B607" s="2" t="inlineStr">
        <is>
          <t>Biến thể G-DESIGN: Phương án/thiết kế chốt</t>
        </is>
      </c>
      <c r="C607" s="2" t="n">
        <v>3</v>
      </c>
      <c r="D607" s="2" t="inlineStr">
        <is>
          <t>G-DESIGN</t>
        </is>
      </c>
      <c r="E607" s="2" t="inlineStr">
        <is>
          <t>Cổng</t>
        </is>
      </c>
      <c r="F607" s="2" t="inlineStr">
        <is>
          <t>Chốt phương án/thiết kế</t>
        </is>
      </c>
      <c r="G607" s="2" t="inlineStr">
        <is>
          <t>MDD-40 B4/E7</t>
        </is>
      </c>
      <c r="H607" s="6" t="inlineStr"/>
    </row>
    <row r="608">
      <c r="A608" s="2" t="inlineStr">
        <is>
          <t>A12.1.7</t>
        </is>
      </c>
      <c r="B608" s="2" t="inlineStr">
        <is>
          <t>Biến thể G-SCOPE: Kế hoạch bước + chi phí</t>
        </is>
      </c>
      <c r="C608" s="2" t="n">
        <v>3</v>
      </c>
      <c r="D608" s="2" t="inlineStr">
        <is>
          <t>G-SCOPE</t>
        </is>
      </c>
      <c r="E608" s="2" t="inlineStr">
        <is>
          <t>Cổng</t>
        </is>
      </c>
      <c r="F608" s="2" t="inlineStr">
        <is>
          <t>Duyệt kế hoạch việc lớn</t>
        </is>
      </c>
      <c r="G608" s="2" t="inlineStr">
        <is>
          <t>MDD-40 B4/E7</t>
        </is>
      </c>
      <c r="H608" s="6" t="inlineStr"/>
    </row>
    <row r="609">
      <c r="A609" s="2" t="inlineStr">
        <is>
          <t>A12.1.8</t>
        </is>
      </c>
      <c r="B609" s="2" t="inlineStr">
        <is>
          <t>Biến thể G-TOOL: Lệnh cài + nguồn</t>
        </is>
      </c>
      <c r="C609" s="2" t="n">
        <v>3</v>
      </c>
      <c r="D609" s="2" t="inlineStr">
        <is>
          <t>G-TOOL</t>
        </is>
      </c>
      <c r="E609" s="2" t="inlineStr">
        <is>
          <t>Cổng</t>
        </is>
      </c>
      <c r="F609" s="2" t="inlineStr">
        <is>
          <t>Cài công cụ</t>
        </is>
      </c>
      <c r="G609" s="2" t="inlineStr">
        <is>
          <t>MDD-40 B4/E7</t>
        </is>
      </c>
      <c r="H609" s="6" t="inlineStr"/>
    </row>
    <row r="610">
      <c r="A610" s="2" t="inlineStr">
        <is>
          <t>A12.1.9</t>
        </is>
      </c>
      <c r="B610" s="2" t="inlineStr">
        <is>
          <t>Biến thể G-QUAL: Từ – đến – vì sao (bắt buộc)</t>
        </is>
      </c>
      <c r="C610" s="2" t="n">
        <v>3</v>
      </c>
      <c r="D610" s="2" t="inlineStr">
        <is>
          <t>G-QUAL</t>
        </is>
      </c>
      <c r="E610" s="2" t="inlineStr">
        <is>
          <t>Cổng</t>
        </is>
      </c>
      <c r="F610" s="2" t="inlineStr">
        <is>
          <t>Đổi tiêu chí/test</t>
        </is>
      </c>
      <c r="G610" s="2" t="inlineStr">
        <is>
          <t>MDD-40 B4/E7</t>
        </is>
      </c>
      <c r="H610" s="6" t="inlineStr"/>
    </row>
    <row r="611">
      <c r="A611" s="2" t="inlineStr">
        <is>
          <t>A12.1.10</t>
        </is>
      </c>
      <c r="B611" s="2" t="inlineStr">
        <is>
          <t>Biến thể G-FILE: Diff sẽ ghi đè bản của người</t>
        </is>
      </c>
      <c r="C611" s="2" t="n">
        <v>3</v>
      </c>
      <c r="D611" s="2" t="inlineStr">
        <is>
          <t>G-FILE</t>
        </is>
      </c>
      <c r="E611" s="2" t="inlineStr">
        <is>
          <t>Cổng</t>
        </is>
      </c>
      <c r="F611" s="2" t="inlineStr">
        <is>
          <t>Ghi đè tệp người đã sửa</t>
        </is>
      </c>
      <c r="G611" s="2" t="inlineStr">
        <is>
          <t>MDD-40 B4/E7</t>
        </is>
      </c>
      <c r="H611" s="6" t="inlineStr"/>
    </row>
    <row r="612">
      <c r="A612" s="2" t="inlineStr">
        <is>
          <t>A12.1.11</t>
        </is>
      </c>
      <c r="B612" s="2" t="inlineStr">
        <is>
          <t>Biến thể G-FLASH: Gì → đâu, hash, có snapshot chưa</t>
        </is>
      </c>
      <c r="C612" s="2" t="n">
        <v>3</v>
      </c>
      <c r="D612" s="2" t="inlineStr">
        <is>
          <t>G-FLASH</t>
        </is>
      </c>
      <c r="E612" s="2" t="inlineStr">
        <is>
          <t>Cổng</t>
        </is>
      </c>
      <c r="F612" s="2" t="inlineStr">
        <is>
          <t>Nạp firmware</t>
        </is>
      </c>
      <c r="G612" s="2" t="inlineStr">
        <is>
          <t>MDD-40 B4/E7</t>
        </is>
      </c>
      <c r="H612" s="6" t="inlineStr"/>
    </row>
    <row r="613">
      <c r="A613" s="2" t="inlineStr">
        <is>
          <t>A12.1.12</t>
        </is>
      </c>
      <c r="B613" s="2" t="inlineStr">
        <is>
          <t>Biến thể G-OPS: Hậu quả vĩnh viễn; không auto; cần release</t>
        </is>
      </c>
      <c r="C613" s="2" t="n">
        <v>3</v>
      </c>
      <c r="D613" s="2" t="inlineStr">
        <is>
          <t>G-OPS</t>
        </is>
      </c>
      <c r="E613" s="2" t="inlineStr">
        <is>
          <t>Cổng</t>
        </is>
      </c>
      <c r="F613" s="2" t="inlineStr">
        <is>
          <t>Không đảo ngược (RDP/eFuse/erase)</t>
        </is>
      </c>
      <c r="G613" s="2" t="inlineStr">
        <is>
          <t>MDD-40 B4/E7</t>
        </is>
      </c>
      <c r="H613" s="6" t="inlineStr"/>
    </row>
    <row r="614">
      <c r="A614" s="2" t="inlineStr">
        <is>
          <t>A12.1.13</t>
        </is>
      </c>
      <c r="B614" s="2" t="inlineStr">
        <is>
          <t>Biến thể G-SAFE: Cảnh báo đứng đầu, không tắt được</t>
        </is>
      </c>
      <c r="C614" s="2" t="n">
        <v>3</v>
      </c>
      <c r="D614" s="2" t="inlineStr">
        <is>
          <t>G-SAFE</t>
        </is>
      </c>
      <c r="E614" s="2" t="inlineStr">
        <is>
          <t>Cổng</t>
        </is>
      </c>
      <c r="F614" s="2" t="inlineStr">
        <is>
          <t>Điện lưới/nhiệt — cảnh báo đứng đầu</t>
        </is>
      </c>
      <c r="G614" s="2" t="inlineStr">
        <is>
          <t>MDD-40 B4/E7</t>
        </is>
      </c>
      <c r="H614" s="6" t="inlineStr"/>
    </row>
    <row r="615">
      <c r="A615" s="2" t="inlineStr">
        <is>
          <t>A12.1.14</t>
        </is>
      </c>
      <c r="B615" s="2" t="inlineStr">
        <is>
          <t>Biến thể G-HIST: Sẽ mất gì / giữ gì</t>
        </is>
      </c>
      <c r="C615" s="2" t="n">
        <v>3</v>
      </c>
      <c r="D615" s="2" t="inlineStr">
        <is>
          <t>G-HIST</t>
        </is>
      </c>
      <c r="E615" s="2" t="inlineStr">
        <is>
          <t>Cổng</t>
        </is>
      </c>
      <c r="F615" s="2" t="inlineStr">
        <is>
          <t>Hoàn tác lượt / khôi phục snapshot</t>
        </is>
      </c>
      <c r="G615" s="2" t="inlineStr">
        <is>
          <t>MDD-40 B4/E7</t>
        </is>
      </c>
      <c r="H615" s="6" t="inlineStr"/>
    </row>
    <row r="616">
      <c r="A616" s="2" t="inlineStr">
        <is>
          <t>A12.1.15</t>
        </is>
      </c>
      <c r="B616" s="2" t="inlineStr">
        <is>
          <t>Biến thể G-SNAP: Người đặt tên/ghi chú</t>
        </is>
      </c>
      <c r="C616" s="2" t="n">
        <v>3</v>
      </c>
      <c r="D616" s="2" t="inlineStr">
        <is>
          <t>G-SNAP</t>
        </is>
      </c>
      <c r="E616" s="2" t="inlineStr">
        <is>
          <t>Cổng</t>
        </is>
      </c>
      <c r="F616" s="2" t="inlineStr">
        <is>
          <t>Tác tử đề xuất snapshot</t>
        </is>
      </c>
      <c r="G616" s="2" t="inlineStr">
        <is>
          <t>MDD-40 B4/E7</t>
        </is>
      </c>
      <c r="H616" s="6" t="inlineStr"/>
    </row>
    <row r="617">
      <c r="A617" s="2" t="inlineStr">
        <is>
          <t>A13.1</t>
        </is>
      </c>
      <c r="B617" s="2" t="inlineStr">
        <is>
          <t>Tự chủ &amp; cấp quyền</t>
        </is>
      </c>
      <c r="C617" s="2" t="n">
        <v>2</v>
      </c>
      <c r="D617" s="2" t="inlineStr">
        <is>
          <t>MM-autonomy</t>
        </is>
      </c>
      <c r="E617" s="2" t="inlineStr">
        <is>
          <t>Bộ nhớ người dùng</t>
        </is>
      </c>
      <c r="F617" s="2" t="inlineStr">
        <is>
          <t>Mức tự chủ A0–A4</t>
        </is>
      </c>
      <c r="G617" s="2" t="inlineStr">
        <is>
          <t>MDD-40 B6/E3.4</t>
        </is>
      </c>
      <c r="H617" s="6" t="inlineStr"/>
    </row>
    <row r="618">
      <c r="A618" s="2" t="inlineStr">
        <is>
          <t>A13.1</t>
        </is>
      </c>
      <c r="B618" s="2" t="inlineStr">
        <is>
          <t>Tự chủ &amp; cấp quyền</t>
        </is>
      </c>
      <c r="C618" s="2" t="n">
        <v>2</v>
      </c>
      <c r="D618" s="2" t="inlineStr">
        <is>
          <t>UC18</t>
        </is>
      </c>
      <c r="E618" s="2" t="inlineStr">
        <is>
          <t>Usecase</t>
        </is>
      </c>
      <c r="F618" s="2" t="inlineStr">
        <is>
          <t>An toàn thao tác &amp; kiểm soát quyền</t>
        </is>
      </c>
      <c r="G618" s="2" t="inlineStr">
        <is>
          <t>Excel 76 TC</t>
        </is>
      </c>
      <c r="H618" s="6" t="inlineStr"/>
    </row>
    <row r="619">
      <c r="A619" s="2" t="inlineStr">
        <is>
          <t>A13.1.1</t>
        </is>
      </c>
      <c r="B619" s="2" t="inlineStr">
        <is>
          <t>Mức tự chủ A0–A4 (mô tả từng mức)</t>
        </is>
      </c>
      <c r="C619" s="2" t="n">
        <v>3</v>
      </c>
      <c r="D619" s="2" t="inlineStr">
        <is>
          <t>MM-autonomy</t>
        </is>
      </c>
      <c r="E619" s="2" t="inlineStr">
        <is>
          <t>Bộ nhớ người dùng</t>
        </is>
      </c>
      <c r="F619" s="2" t="inlineStr">
        <is>
          <t>Mức tự chủ A0–A4</t>
        </is>
      </c>
      <c r="G619" s="2" t="inlineStr">
        <is>
          <t>MDD-40 B6/E3.4</t>
        </is>
      </c>
      <c r="H619" s="6" t="inlineStr"/>
    </row>
    <row r="620">
      <c r="A620" s="2" t="inlineStr">
        <is>
          <t>A13.1.1</t>
        </is>
      </c>
      <c r="B620" s="2" t="inlineStr">
        <is>
          <t>Mức tự chủ A0–A4 (mô tả từng mức)</t>
        </is>
      </c>
      <c r="C620" s="2" t="n">
        <v>3</v>
      </c>
      <c r="D620" s="2" t="inlineStr">
        <is>
          <t>HA-set</t>
        </is>
      </c>
      <c r="E620" s="2" t="inlineStr">
        <is>
          <t>HumanAct</t>
        </is>
      </c>
      <c r="F620" s="2" t="inlineStr">
        <is>
          <t>Đổi thiết lập</t>
        </is>
      </c>
      <c r="G620" s="2" t="inlineStr">
        <is>
          <t>MDD-40 D2</t>
        </is>
      </c>
      <c r="H620" s="6" t="inlineStr"/>
    </row>
    <row r="621">
      <c r="A621" s="2" t="inlineStr">
        <is>
          <t>A13.1.2</t>
        </is>
      </c>
      <c r="B621" s="2" t="inlineStr">
        <is>
          <t>Danh sách 'đã tin' theo tool/gói/nguồn — xoá được</t>
        </is>
      </c>
      <c r="C621" s="2" t="n">
        <v>3</v>
      </c>
      <c r="D621" s="2" t="inlineStr">
        <is>
          <t>MM-remember</t>
        </is>
      </c>
      <c r="E621" s="2" t="inlineStr">
        <is>
          <t>Bộ nhớ người dùng</t>
        </is>
      </c>
      <c r="F621" s="2" t="inlineStr">
        <is>
          <t>'Tin' theo tool (R0–R2)</t>
        </is>
      </c>
      <c r="G621" s="2" t="inlineStr">
        <is>
          <t>MDD-40 B6/E3.4</t>
        </is>
      </c>
      <c r="H621" s="6" t="inlineStr"/>
    </row>
    <row r="622">
      <c r="A622" s="2" t="inlineStr">
        <is>
          <t>A13.1.2</t>
        </is>
      </c>
      <c r="B622" s="2" t="inlineStr">
        <is>
          <t>Danh sách 'đã tin' theo tool/gói/nguồn — xoá được</t>
        </is>
      </c>
      <c r="C622" s="2" t="n">
        <v>3</v>
      </c>
      <c r="D622" s="2" t="inlineStr">
        <is>
          <t>HA-set</t>
        </is>
      </c>
      <c r="E622" s="2" t="inlineStr">
        <is>
          <t>HumanAct</t>
        </is>
      </c>
      <c r="F622" s="2" t="inlineStr">
        <is>
          <t>Đổi thiết lập</t>
        </is>
      </c>
      <c r="G622" s="2" t="inlineStr">
        <is>
          <t>MDD-40 D2</t>
        </is>
      </c>
      <c r="H622" s="6" t="inlineStr"/>
    </row>
    <row r="623">
      <c r="A623" s="2" t="inlineStr">
        <is>
          <t>A13.1.3</t>
        </is>
      </c>
      <c r="B623" s="2" t="inlineStr">
        <is>
          <t>Nguồn tin cậy (tên miền nhà sản xuất)</t>
        </is>
      </c>
      <c r="C623" s="2" t="n">
        <v>3</v>
      </c>
      <c r="D623" s="2" t="inlineStr">
        <is>
          <t>MM-trusted</t>
        </is>
      </c>
      <c r="E623" s="2" t="inlineStr">
        <is>
          <t>Bộ nhớ người dùng</t>
        </is>
      </c>
      <c r="F623" s="2" t="inlineStr">
        <is>
          <t>Danh sách nguồn tin cậy</t>
        </is>
      </c>
      <c r="G623" s="2" t="inlineStr">
        <is>
          <t>MDD-40 B6/E3.4</t>
        </is>
      </c>
      <c r="H623" s="6" t="inlineStr"/>
    </row>
    <row r="624">
      <c r="A624" s="2" t="inlineStr">
        <is>
          <t>A13.1.3</t>
        </is>
      </c>
      <c r="B624" s="2" t="inlineStr">
        <is>
          <t>Nguồn tin cậy (tên miền nhà sản xuất)</t>
        </is>
      </c>
      <c r="C624" s="2" t="n">
        <v>3</v>
      </c>
      <c r="D624" s="2" t="inlineStr">
        <is>
          <t>HA-set</t>
        </is>
      </c>
      <c r="E624" s="2" t="inlineStr">
        <is>
          <t>HumanAct</t>
        </is>
      </c>
      <c r="F624" s="2" t="inlineStr">
        <is>
          <t>Đổi thiết lập</t>
        </is>
      </c>
      <c r="G624" s="2" t="inlineStr">
        <is>
          <t>MDD-40 D2</t>
        </is>
      </c>
      <c r="H624" s="6" t="inlineStr"/>
    </row>
    <row r="625">
      <c r="A625" s="2" t="inlineStr">
        <is>
          <t>A13.2</t>
        </is>
      </c>
      <c r="B625" s="2" t="inlineStr">
        <is>
          <t>Mô hình</t>
        </is>
      </c>
      <c r="C625" s="2" t="n">
        <v>2</v>
      </c>
      <c r="D625" s="2" t="inlineStr">
        <is>
          <t>MM-model</t>
        </is>
      </c>
      <c r="E625" s="2" t="inlineStr">
        <is>
          <t>Bộ nhớ người dùng</t>
        </is>
      </c>
      <c r="F625" s="2" t="inlineStr">
        <is>
          <t>Chọn mô hình theo vai trò</t>
        </is>
      </c>
      <c r="G625" s="2" t="inlineStr">
        <is>
          <t>MDD-40 B6/E3.4</t>
        </is>
      </c>
      <c r="H625" s="6" t="inlineStr"/>
    </row>
    <row r="626">
      <c r="A626" s="2" t="inlineStr">
        <is>
          <t>A13.2.1</t>
        </is>
      </c>
      <c r="B626" s="2" t="inlineStr">
        <is>
          <t>Chọn mô hình theo vai trò (chính, subagent, tóm tắt, embed)</t>
        </is>
      </c>
      <c r="C626" s="2" t="n">
        <v>3</v>
      </c>
      <c r="D626" s="2" t="inlineStr">
        <is>
          <t>MM-model</t>
        </is>
      </c>
      <c r="E626" s="2" t="inlineStr">
        <is>
          <t>Bộ nhớ người dùng</t>
        </is>
      </c>
      <c r="F626" s="2" t="inlineStr">
        <is>
          <t>Chọn mô hình theo vai trò</t>
        </is>
      </c>
      <c r="G626" s="2" t="inlineStr">
        <is>
          <t>MDD-40 B6/E3.4</t>
        </is>
      </c>
      <c r="H626" s="6" t="inlineStr"/>
    </row>
    <row r="627">
      <c r="A627" s="2" t="inlineStr">
        <is>
          <t>A13.2.1</t>
        </is>
      </c>
      <c r="B627" s="2" t="inlineStr">
        <is>
          <t>Chọn mô hình theo vai trò (chính, subagent, tóm tắt, embed)</t>
        </is>
      </c>
      <c r="C627" s="2" t="n">
        <v>3</v>
      </c>
      <c r="D627" s="2" t="inlineStr">
        <is>
          <t>HA-set</t>
        </is>
      </c>
      <c r="E627" s="2" t="inlineStr">
        <is>
          <t>HumanAct</t>
        </is>
      </c>
      <c r="F627" s="2" t="inlineStr">
        <is>
          <t>Đổi thiết lập</t>
        </is>
      </c>
      <c r="G627" s="2" t="inlineStr">
        <is>
          <t>MDD-40 D2</t>
        </is>
      </c>
      <c r="H627" s="6" t="inlineStr"/>
    </row>
    <row r="628">
      <c r="A628" s="2" t="inlineStr">
        <is>
          <t>A13.3</t>
        </is>
      </c>
      <c r="B628" s="2" t="inlineStr">
        <is>
          <t>Trình bày</t>
        </is>
      </c>
      <c r="C628" s="2" t="n">
        <v>2</v>
      </c>
      <c r="D628" s="2" t="inlineStr">
        <is>
          <t>EX-habit</t>
        </is>
      </c>
      <c r="E628" s="2" t="inlineStr">
        <is>
          <t>Lớp giải thích</t>
        </is>
      </c>
      <c r="F628" s="2" t="inlineStr">
        <is>
          <t>Thói quen trình bày theo người dùng</t>
        </is>
      </c>
      <c r="G628" s="2" t="inlineStr">
        <is>
          <t>MDD-40 E3.3–3.4</t>
        </is>
      </c>
      <c r="H628" s="6" t="inlineStr"/>
    </row>
    <row r="629">
      <c r="A629" s="2" t="inlineStr">
        <is>
          <t>A13.3</t>
        </is>
      </c>
      <c r="B629" s="2" t="inlineStr">
        <is>
          <t>Trình bày</t>
        </is>
      </c>
      <c r="C629" s="2" t="n">
        <v>2</v>
      </c>
      <c r="D629" s="2" t="inlineStr">
        <is>
          <t>MM-habit</t>
        </is>
      </c>
      <c r="E629" s="2" t="inlineStr">
        <is>
          <t>Bộ nhớ người dùng</t>
        </is>
      </c>
      <c r="F629" s="2" t="inlineStr">
        <is>
          <t>Thói quen trình bày</t>
        </is>
      </c>
      <c r="G629" s="2" t="inlineStr">
        <is>
          <t>MDD-40 B6/E3.4</t>
        </is>
      </c>
      <c r="H629" s="6" t="inlineStr"/>
    </row>
    <row r="630">
      <c r="A630" s="2" t="inlineStr">
        <is>
          <t>A13.3.1</t>
        </is>
      </c>
      <c r="B630" s="2" t="inlineStr">
        <is>
          <t>Mức chi tiết mặc định; diff nguyên văn?; thuật ngữ; tab mở theo chặng</t>
        </is>
      </c>
      <c r="C630" s="2" t="n">
        <v>3</v>
      </c>
      <c r="D630" s="2" t="inlineStr">
        <is>
          <t>EX-habit</t>
        </is>
      </c>
      <c r="E630" s="2" t="inlineStr">
        <is>
          <t>Lớp giải thích</t>
        </is>
      </c>
      <c r="F630" s="2" t="inlineStr">
        <is>
          <t>Thói quen trình bày theo người dùng</t>
        </is>
      </c>
      <c r="G630" s="2" t="inlineStr">
        <is>
          <t>MDD-40 E3.3–3.4</t>
        </is>
      </c>
      <c r="H630" s="6" t="inlineStr"/>
    </row>
    <row r="631">
      <c r="A631" s="2" t="inlineStr">
        <is>
          <t>A13.3.1</t>
        </is>
      </c>
      <c r="B631" s="2" t="inlineStr">
        <is>
          <t>Mức chi tiết mặc định; diff nguyên văn?; thuật ngữ; tab mở theo chặng</t>
        </is>
      </c>
      <c r="C631" s="2" t="n">
        <v>3</v>
      </c>
      <c r="D631" s="2" t="inlineStr">
        <is>
          <t>MM-habit</t>
        </is>
      </c>
      <c r="E631" s="2" t="inlineStr">
        <is>
          <t>Bộ nhớ người dùng</t>
        </is>
      </c>
      <c r="F631" s="2" t="inlineStr">
        <is>
          <t>Thói quen trình bày</t>
        </is>
      </c>
      <c r="G631" s="2" t="inlineStr">
        <is>
          <t>MDD-40 B6/E3.4</t>
        </is>
      </c>
      <c r="H631" s="6" t="inlineStr"/>
    </row>
    <row r="632">
      <c r="A632" s="2" t="inlineStr">
        <is>
          <t>A13.3.1</t>
        </is>
      </c>
      <c r="B632" s="2" t="inlineStr">
        <is>
          <t>Mức chi tiết mặc định; diff nguyên văn?; thuật ngữ; tab mở theo chặng</t>
        </is>
      </c>
      <c r="C632" s="2" t="n">
        <v>3</v>
      </c>
      <c r="D632" s="2" t="inlineStr">
        <is>
          <t>HA-set</t>
        </is>
      </c>
      <c r="E632" s="2" t="inlineStr">
        <is>
          <t>HumanAct</t>
        </is>
      </c>
      <c r="F632" s="2" t="inlineStr">
        <is>
          <t>Đổi thiết lập</t>
        </is>
      </c>
      <c r="G632" s="2" t="inlineStr">
        <is>
          <t>MDD-40 D2</t>
        </is>
      </c>
      <c r="H632" s="6" t="inlineStr"/>
    </row>
    <row r="633">
      <c r="A633" s="2" t="inlineStr">
        <is>
          <t>A13.5</t>
        </is>
      </c>
      <c r="B633" s="2" t="inlineStr">
        <is>
          <t>Chẩn đoán giao thức (dành cho phát triển)</t>
        </is>
      </c>
      <c r="C633" s="2" t="n">
        <v>2</v>
      </c>
      <c r="D633" s="2" t="inlineStr">
        <is>
          <t>I3</t>
        </is>
      </c>
      <c r="E633" s="2" t="inlineStr">
        <is>
          <t>Bất biến giao thức</t>
        </is>
      </c>
      <c r="F633" s="2" t="inlineStr">
        <is>
          <t>Giao diện không quyết — chỉ render SurfaceModel/Card</t>
        </is>
      </c>
      <c r="G633" s="2" t="inlineStr">
        <is>
          <t>MDD-40 D1</t>
        </is>
      </c>
      <c r="H633" s="6" t="inlineStr"/>
    </row>
    <row r="634">
      <c r="A634" s="2" t="inlineStr">
        <is>
          <t>A13.5</t>
        </is>
      </c>
      <c r="B634" s="2" t="inlineStr">
        <is>
          <t>Chẩn đoán giao thức (dành cho phát triển)</t>
        </is>
      </c>
      <c r="C634" s="2" t="n">
        <v>2</v>
      </c>
      <c r="D634" s="2" t="inlineStr">
        <is>
          <t>I4</t>
        </is>
      </c>
      <c r="E634" s="2" t="inlineStr">
        <is>
          <t>Bất biến giao thức</t>
        </is>
      </c>
      <c r="F634" s="2" t="inlineStr">
        <is>
          <t>Lõi không biết giao diện — chỉ thấy HumanAct + origin</t>
        </is>
      </c>
      <c r="G634" s="2" t="inlineStr">
        <is>
          <t>MDD-40 D1</t>
        </is>
      </c>
      <c r="H634" s="6" t="inlineStr"/>
    </row>
    <row r="635">
      <c r="A635" s="2" t="inlineStr">
        <is>
          <t>A13.5</t>
        </is>
      </c>
      <c r="B635" s="2" t="inlineStr">
        <is>
          <t>Chẩn đoán giao thức (dành cho phát triển)</t>
        </is>
      </c>
      <c r="C635" s="2" t="n">
        <v>2</v>
      </c>
      <c r="D635" s="2" t="inlineStr">
        <is>
          <t>I5</t>
        </is>
      </c>
      <c r="E635" s="2" t="inlineStr">
        <is>
          <t>Bất biến giao thức</t>
        </is>
      </c>
      <c r="F635" s="2" t="inlineStr">
        <is>
          <t>Có thứ tự, không trùng, khôi phục được (seq/resume)</t>
        </is>
      </c>
      <c r="G635" s="2" t="inlineStr">
        <is>
          <t>MDD-40 D1</t>
        </is>
      </c>
      <c r="H635" s="6" t="inlineStr"/>
    </row>
    <row r="636">
      <c r="A636" s="2" t="inlineStr">
        <is>
          <t>A13.5.1</t>
        </is>
      </c>
      <c r="B636" s="2" t="inlineStr">
        <is>
          <t>Bộ xem UAP: HumanAct đã gửi / UICommand đã nhận (id, seq, surface.set/patch/append…)</t>
        </is>
      </c>
      <c r="C636" s="2" t="n">
        <v>3</v>
      </c>
      <c r="D636" s="2" t="inlineStr">
        <is>
          <t>I3</t>
        </is>
      </c>
      <c r="E636" s="2" t="inlineStr">
        <is>
          <t>Bất biến giao thức</t>
        </is>
      </c>
      <c r="F636" s="2" t="inlineStr">
        <is>
          <t>Giao diện không quyết — chỉ render SurfaceModel/Card</t>
        </is>
      </c>
      <c r="G636" s="2" t="inlineStr">
        <is>
          <t>MDD-40 D1</t>
        </is>
      </c>
      <c r="H636" s="6" t="inlineStr"/>
    </row>
    <row r="637">
      <c r="A637" s="2" t="inlineStr">
        <is>
          <t>A13.5.1</t>
        </is>
      </c>
      <c r="B637" s="2" t="inlineStr">
        <is>
          <t>Bộ xem UAP: HumanAct đã gửi / UICommand đã nhận (id, seq, surface.set/patch/append…)</t>
        </is>
      </c>
      <c r="C637" s="2" t="n">
        <v>3</v>
      </c>
      <c r="D637" s="2" t="inlineStr">
        <is>
          <t>I4</t>
        </is>
      </c>
      <c r="E637" s="2" t="inlineStr">
        <is>
          <t>Bất biến giao thức</t>
        </is>
      </c>
      <c r="F637" s="2" t="inlineStr">
        <is>
          <t>Lõi không biết giao diện — chỉ thấy HumanAct + origin</t>
        </is>
      </c>
      <c r="G637" s="2" t="inlineStr">
        <is>
          <t>MDD-40 D1</t>
        </is>
      </c>
      <c r="H637" s="6" t="inlineStr"/>
    </row>
    <row r="638">
      <c r="A638" s="2" t="inlineStr">
        <is>
          <t>A13.5.1</t>
        </is>
      </c>
      <c r="B638" s="2" t="inlineStr">
        <is>
          <t>Bộ xem UAP: HumanAct đã gửi / UICommand đã nhận (id, seq, surface.set/patch/append…)</t>
        </is>
      </c>
      <c r="C638" s="2" t="n">
        <v>3</v>
      </c>
      <c r="D638" s="2" t="inlineStr">
        <is>
          <t>I5</t>
        </is>
      </c>
      <c r="E638" s="2" t="inlineStr">
        <is>
          <t>Bất biến giao thức</t>
        </is>
      </c>
      <c r="F638" s="2" t="inlineStr">
        <is>
          <t>Có thứ tự, không trùng, khôi phục được (seq/resume)</t>
        </is>
      </c>
      <c r="G638" s="2" t="inlineStr">
        <is>
          <t>MDD-40 D1</t>
        </is>
      </c>
      <c r="H638" s="6" t="inlineStr"/>
    </row>
    <row r="639">
      <c r="A639" s="2" t="inlineStr">
        <is>
          <t>A13.5.1</t>
        </is>
      </c>
      <c r="B639" s="2" t="inlineStr">
        <is>
          <t>Bộ xem UAP: HumanAct đã gửi / UICommand đã nhận (id, seq, surface.set/patch/append…)</t>
        </is>
      </c>
      <c r="C639" s="2" t="n">
        <v>3</v>
      </c>
      <c r="D639" s="2" t="inlineStr">
        <is>
          <t>UI-surface.set</t>
        </is>
      </c>
      <c r="E639" s="2" t="inlineStr">
        <is>
          <t>UICommand</t>
        </is>
      </c>
      <c r="F639" s="2" t="inlineStr">
        <is>
          <t>Thay mô hình bề mặt</t>
        </is>
      </c>
      <c r="G639" s="2" t="inlineStr">
        <is>
          <t>MDD-40 D2</t>
        </is>
      </c>
      <c r="H639" s="6" t="inlineStr"/>
    </row>
    <row r="640">
      <c r="A640" s="2" t="inlineStr">
        <is>
          <t>A13.5.1</t>
        </is>
      </c>
      <c r="B640" s="2" t="inlineStr">
        <is>
          <t>Bộ xem UAP: HumanAct đã gửi / UICommand đã nhận (id, seq, surface.set/patch/append…)</t>
        </is>
      </c>
      <c r="C640" s="2" t="n">
        <v>3</v>
      </c>
      <c r="D640" s="2" t="inlineStr">
        <is>
          <t>UI-surface.patch</t>
        </is>
      </c>
      <c r="E640" s="2" t="inlineStr">
        <is>
          <t>UICommand</t>
        </is>
      </c>
      <c r="F640" s="2" t="inlineStr">
        <is>
          <t>Vá bề mặt</t>
        </is>
      </c>
      <c r="G640" s="2" t="inlineStr">
        <is>
          <t>MDD-40 D2</t>
        </is>
      </c>
      <c r="H640" s="6" t="inlineStr"/>
    </row>
    <row r="641">
      <c r="A641" s="2" t="inlineStr">
        <is>
          <t>A13.5.2</t>
        </is>
      </c>
      <c r="B641" s="2" t="inlineStr">
        <is>
          <t>Chế độ truy vết: hiện mã UI (Ax.y.z) và yêu cầu ánh xạ trên mọi phần tử</t>
        </is>
      </c>
      <c r="C641" s="2" t="n">
        <v>3</v>
      </c>
      <c r="D641" s="2" t="inlineStr">
        <is>
          <t>I3</t>
        </is>
      </c>
      <c r="E641" s="2" t="inlineStr">
        <is>
          <t>Bất biến giao thức</t>
        </is>
      </c>
      <c r="F641" s="2" t="inlineStr">
        <is>
          <t>Giao diện không quyết — chỉ render SurfaceModel/Card</t>
        </is>
      </c>
      <c r="G641" s="2" t="inlineStr">
        <is>
          <t>MDD-40 D1</t>
        </is>
      </c>
      <c r="H641" s="6" t="inlineStr"/>
    </row>
    <row r="642">
      <c r="A642" s="2" t="inlineStr">
        <is>
          <t>A13.5.2</t>
        </is>
      </c>
      <c r="B642" s="2" t="inlineStr">
        <is>
          <t>Chế độ truy vết: hiện mã UI (Ax.y.z) và yêu cầu ánh xạ trên mọi phần tử</t>
        </is>
      </c>
      <c r="C642" s="2" t="n">
        <v>3</v>
      </c>
      <c r="D642" s="2" t="inlineStr">
        <is>
          <t>N8</t>
        </is>
      </c>
      <c r="E642" s="2" t="inlineStr">
        <is>
          <t>Nguyên tắc</t>
        </is>
      </c>
      <c r="F642" s="2" t="inlineStr">
        <is>
          <t>Mọi thứ tác tử làm ra có dạng người hiểu được (lớp giải thích 6 trường)</t>
        </is>
      </c>
      <c r="G642" s="2" t="inlineStr">
        <is>
          <t>MDD-40 A3</t>
        </is>
      </c>
      <c r="H642" s="6" t="inlineStr"/>
    </row>
    <row r="643">
      <c r="A643" s="2" t="inlineStr">
        <is>
          <t>A13.4</t>
        </is>
      </c>
      <c r="B643" s="2" t="inlineStr">
        <is>
          <t>Sandbox &amp; ngân sách</t>
        </is>
      </c>
      <c r="C643" s="2" t="n">
        <v>2</v>
      </c>
      <c r="D643" s="2" t="inlineStr">
        <is>
          <t>CX-budget</t>
        </is>
      </c>
      <c r="E643" s="2" t="inlineStr">
        <is>
          <t>Ngữ cảnh tác tử</t>
        </is>
      </c>
      <c r="F643" s="2" t="inlineStr">
        <is>
          <t>Ngân sách: tool/lượt, thời gian, ngữ cảnh</t>
        </is>
      </c>
      <c r="G643" s="2" t="inlineStr">
        <is>
          <t>MDD-40 B2/B5</t>
        </is>
      </c>
      <c r="H643" s="6" t="inlineStr"/>
    </row>
    <row r="644">
      <c r="A644" s="2" t="inlineStr">
        <is>
          <t>A13.4</t>
        </is>
      </c>
      <c r="B644" s="2" t="inlineStr">
        <is>
          <t>Sandbox &amp; ngân sách</t>
        </is>
      </c>
      <c r="C644" s="2" t="n">
        <v>2</v>
      </c>
      <c r="D644" s="2" t="inlineStr">
        <is>
          <t>UC18</t>
        </is>
      </c>
      <c r="E644" s="2" t="inlineStr">
        <is>
          <t>Usecase</t>
        </is>
      </c>
      <c r="F644" s="2" t="inlineStr">
        <is>
          <t>An toàn thao tác &amp; kiểm soát quyền</t>
        </is>
      </c>
      <c r="G644" s="2" t="inlineStr">
        <is>
          <t>Excel 76 TC</t>
        </is>
      </c>
      <c r="H644" s="6" t="inlineStr"/>
    </row>
    <row r="645">
      <c r="A645" s="2" t="inlineStr">
        <is>
          <t>A13.4.1</t>
        </is>
      </c>
      <c r="B645" s="2" t="inlineStr">
        <is>
          <t>Thư mục cho phép; mạng theo tool; tool/lượt; giây/lượt</t>
        </is>
      </c>
      <c r="C645" s="2" t="n">
        <v>3</v>
      </c>
      <c r="D645" s="2" t="inlineStr">
        <is>
          <t>CX-budget</t>
        </is>
      </c>
      <c r="E645" s="2" t="inlineStr">
        <is>
          <t>Ngữ cảnh tác tử</t>
        </is>
      </c>
      <c r="F645" s="2" t="inlineStr">
        <is>
          <t>Ngân sách: tool/lượt, thời gian, ngữ cảnh</t>
        </is>
      </c>
      <c r="G645" s="2" t="inlineStr">
        <is>
          <t>MDD-40 B2/B5</t>
        </is>
      </c>
      <c r="H645" s="6" t="inlineStr"/>
    </row>
    <row r="646">
      <c r="A646" s="2" t="inlineStr">
        <is>
          <t>A13.4.1</t>
        </is>
      </c>
      <c r="B646" s="2" t="inlineStr">
        <is>
          <t>Thư mục cho phép; mạng theo tool; tool/lượt; giây/lượt</t>
        </is>
      </c>
      <c r="C646" s="2" t="n">
        <v>3</v>
      </c>
      <c r="D646" s="2" t="inlineStr">
        <is>
          <t>HA-set</t>
        </is>
      </c>
      <c r="E646" s="2" t="inlineStr">
        <is>
          <t>HumanAct</t>
        </is>
      </c>
      <c r="F646" s="2" t="inlineStr">
        <is>
          <t>Đổi thiết lập</t>
        </is>
      </c>
      <c r="G646" s="2" t="inlineStr">
        <is>
          <t>MDD-40 D2</t>
        </is>
      </c>
      <c r="H646" s="6" t="inlineStr"/>
    </row>
    <row r="647">
      <c r="A647" s="2" t="inlineStr">
        <is>
          <t>A13.4.1</t>
        </is>
      </c>
      <c r="B647" s="2" t="inlineStr">
        <is>
          <t>Thư mục cho phép; mạng theo tool; tool/lượt; giây/lượt</t>
        </is>
      </c>
      <c r="C647" s="2" t="n">
        <v>3</v>
      </c>
      <c r="D647" s="2" t="inlineStr">
        <is>
          <t>UC18</t>
        </is>
      </c>
      <c r="E647" s="2" t="inlineStr">
        <is>
          <t>Usecase</t>
        </is>
      </c>
      <c r="F647" s="2" t="inlineStr">
        <is>
          <t>An toàn thao tác &amp; kiểm soát quyền</t>
        </is>
      </c>
      <c r="G647" s="2" t="inlineStr">
        <is>
          <t>Excel 76 TC</t>
        </is>
      </c>
      <c r="H647" s="6" t="inlineStr"/>
    </row>
    <row r="648">
      <c r="A648" s="2" t="inlineStr">
        <is>
          <t>A13.4.2</t>
        </is>
      </c>
      <c r="B648" s="2" t="inlineStr">
        <is>
          <t>Cờ tính năng: features.schematic (mặc định tắt)</t>
        </is>
      </c>
      <c r="C648" s="2" t="n">
        <v>3</v>
      </c>
      <c r="D648" s="2" t="inlineStr">
        <is>
          <t>SCH-17</t>
        </is>
      </c>
      <c r="E648" s="2" t="inlineStr">
        <is>
          <t>Sơ đồ KiCad (SCH-44)</t>
        </is>
      </c>
      <c r="F648" s="2" t="inlineStr">
        <is>
          <t>Cờ features.schematic mặc định tắt; tắt = không có nhánh mã sch nào chạy</t>
        </is>
      </c>
      <c r="G648" s="2" t="inlineStr">
        <is>
          <t>EIDE-SCH-44</t>
        </is>
      </c>
      <c r="H648" s="6" t="inlineStr"/>
    </row>
    <row r="649">
      <c r="A649" s="2" t="inlineStr">
        <is>
          <t>A13.4.2</t>
        </is>
      </c>
      <c r="B649" s="2" t="inlineStr">
        <is>
          <t>Cờ tính năng: features.schematic (mặc định tắt)</t>
        </is>
      </c>
      <c r="C649" s="2" t="n">
        <v>3</v>
      </c>
      <c r="D649" s="2" t="inlineStr">
        <is>
          <t>HA-set</t>
        </is>
      </c>
      <c r="E649" s="2" t="inlineStr">
        <is>
          <t>HumanAct</t>
        </is>
      </c>
      <c r="F649" s="2" t="inlineStr">
        <is>
          <t>Đổi thiết lập</t>
        </is>
      </c>
      <c r="G649" s="2" t="inlineStr">
        <is>
          <t>MDD-40 D2</t>
        </is>
      </c>
      <c r="H649" s="6" t="inlineStr"/>
    </row>
    <row r="650">
      <c r="A650" s="2" t="inlineStr">
        <is>
          <t>A14.1</t>
        </is>
      </c>
      <c r="B650" s="2" t="inlineStr">
        <is>
          <t>Dự án</t>
        </is>
      </c>
      <c r="C650" s="2" t="n">
        <v>2</v>
      </c>
      <c r="D650" s="2" t="inlineStr">
        <is>
          <t>UC17</t>
        </is>
      </c>
      <c r="E650" s="2" t="inlineStr">
        <is>
          <t>Usecase</t>
        </is>
      </c>
      <c r="F650" s="2" t="inlineStr">
        <is>
          <t>Quản lý phiên/dự án</t>
        </is>
      </c>
      <c r="G650" s="2" t="inlineStr">
        <is>
          <t>Excel 76 TC</t>
        </is>
      </c>
      <c r="H650" s="6" t="inlineStr"/>
    </row>
    <row r="651">
      <c r="A651" s="2" t="inlineStr">
        <is>
          <t>A14.1.1</t>
        </is>
      </c>
      <c r="B651" s="2" t="inlineStr">
        <is>
          <t>Mở / tạo dự án; không tạo lồng khi đang mở</t>
        </is>
      </c>
      <c r="C651" s="2" t="n">
        <v>3</v>
      </c>
      <c r="D651" s="2" t="inlineStr">
        <is>
          <t>UC17</t>
        </is>
      </c>
      <c r="E651" s="2" t="inlineStr">
        <is>
          <t>Usecase</t>
        </is>
      </c>
      <c r="F651" s="2" t="inlineStr">
        <is>
          <t>Quản lý phiên/dự án</t>
        </is>
      </c>
      <c r="G651" s="2" t="inlineStr">
        <is>
          <t>Excel 76 TC</t>
        </is>
      </c>
      <c r="H651" s="6" t="inlineStr"/>
    </row>
    <row r="652">
      <c r="A652" s="2" t="inlineStr">
        <is>
          <t>A14.1.1</t>
        </is>
      </c>
      <c r="B652" s="2" t="inlineStr">
        <is>
          <t>Mở / tạo dự án; không tạo lồng khi đang mở</t>
        </is>
      </c>
      <c r="C652" s="2" t="n">
        <v>3</v>
      </c>
      <c r="D652" s="2" t="inlineStr">
        <is>
          <t>N3</t>
        </is>
      </c>
      <c r="E652" s="2" t="inlineStr">
        <is>
          <t>Nguyên tắc</t>
        </is>
      </c>
      <c r="F652" s="2" t="inlineStr">
        <is>
          <t>Kiểm kê xác định — tình trạng dự án do mã dựng, hiển thị cho người</t>
        </is>
      </c>
      <c r="G652" s="2" t="inlineStr">
        <is>
          <t>MDD-40 A3</t>
        </is>
      </c>
      <c r="H652" s="6" t="inlineStr"/>
    </row>
    <row r="653">
      <c r="A653" s="2" t="inlineStr">
        <is>
          <t>A14.1.2</t>
        </is>
      </c>
      <c r="B653" s="2" t="inlineStr">
        <is>
          <t>Mở lại: tác tử tự thuật 'đang ở đâu, đã quyết gì, làm gì tiếp' + snapshot gần nhất</t>
        </is>
      </c>
      <c r="C653" s="2" t="n">
        <v>3</v>
      </c>
      <c r="D653" s="2" t="inlineStr">
        <is>
          <t>UC17</t>
        </is>
      </c>
      <c r="E653" s="2" t="inlineStr">
        <is>
          <t>Usecase</t>
        </is>
      </c>
      <c r="F653" s="2" t="inlineStr">
        <is>
          <t>Quản lý phiên/dự án</t>
        </is>
      </c>
      <c r="G653" s="2" t="inlineStr">
        <is>
          <t>Excel 76 TC</t>
        </is>
      </c>
      <c r="H653" s="6" t="inlineStr"/>
    </row>
    <row r="654">
      <c r="A654" s="2" t="inlineStr">
        <is>
          <t>A14.1.2</t>
        </is>
      </c>
      <c r="B654" s="2" t="inlineStr">
        <is>
          <t>Mở lại: tác tử tự thuật 'đang ở đâu, đã quyết gì, làm gì tiếp' + snapshot gần nhất</t>
        </is>
      </c>
      <c r="C654" s="2" t="n">
        <v>3</v>
      </c>
      <c r="D654" s="2" t="inlineStr">
        <is>
          <t>SN-resume-info</t>
        </is>
      </c>
      <c r="E654" s="2" t="inlineStr">
        <is>
          <t>Snapshot</t>
        </is>
      </c>
      <c r="F654" s="2" t="inlineStr">
        <is>
          <t>Mở lại dự án nêu snapshot gần nhất + khoảng cách</t>
        </is>
      </c>
      <c r="G654" s="2" t="inlineStr">
        <is>
          <t>MDD-40 E6</t>
        </is>
      </c>
      <c r="H654" s="6" t="inlineStr"/>
    </row>
    <row r="655">
      <c r="A655" s="2" t="inlineStr">
        <is>
          <t>A14.1.2</t>
        </is>
      </c>
      <c r="B655" s="2" t="inlineStr">
        <is>
          <t>Mở lại: tác tử tự thuật 'đang ở đâu, đã quyết gì, làm gì tiếp' + snapshot gần nhất</t>
        </is>
      </c>
      <c r="C655" s="2" t="n">
        <v>3</v>
      </c>
      <c r="D655" s="2" t="inlineStr">
        <is>
          <t>HA-resume</t>
        </is>
      </c>
      <c r="E655" s="2" t="inlineStr">
        <is>
          <t>HumanAct</t>
        </is>
      </c>
      <c r="F655" s="2" t="inlineStr">
        <is>
          <t>Tiếp tục sau sự cố/mở lại</t>
        </is>
      </c>
      <c r="G655" s="2" t="inlineStr">
        <is>
          <t>MDD-40 D2</t>
        </is>
      </c>
      <c r="H655" s="6" t="inlineStr"/>
    </row>
    <row r="656">
      <c r="A656" s="2" t="inlineStr">
        <is>
          <t>A14.1.3</t>
        </is>
      </c>
      <c r="B656" s="2" t="inlineStr">
        <is>
          <t>Xuất toàn bộ dự án</t>
        </is>
      </c>
      <c r="C656" s="2" t="n">
        <v>3</v>
      </c>
      <c r="D656" s="2" t="inlineStr">
        <is>
          <t>UC17</t>
        </is>
      </c>
      <c r="E656" s="2" t="inlineStr">
        <is>
          <t>Usecase</t>
        </is>
      </c>
      <c r="F656" s="2" t="inlineStr">
        <is>
          <t>Quản lý phiên/dự án</t>
        </is>
      </c>
      <c r="G656" s="2" t="inlineStr">
        <is>
          <t>Excel 76 TC</t>
        </is>
      </c>
      <c r="H656" s="6" t="inlineStr"/>
    </row>
    <row r="657">
      <c r="A657" s="2" t="inlineStr">
        <is>
          <t>A14.1.3</t>
        </is>
      </c>
      <c r="B657" s="2" t="inlineStr">
        <is>
          <t>Xuất toàn bộ dự án</t>
        </is>
      </c>
      <c r="C657" s="2" t="n">
        <v>3</v>
      </c>
      <c r="D657" s="2" t="inlineStr">
        <is>
          <t>SN-export</t>
        </is>
      </c>
      <c r="E657" s="2" t="inlineStr">
        <is>
          <t>Snapshot</t>
        </is>
      </c>
      <c r="F657" s="2" t="inlineStr">
        <is>
          <t>Xuất gói release</t>
        </is>
      </c>
      <c r="G657" s="2" t="inlineStr">
        <is>
          <t>MDD-40 E6</t>
        </is>
      </c>
      <c r="H657" s="6" t="inlineStr"/>
    </row>
    <row r="658">
      <c r="A658" s="2" t="inlineStr">
        <is>
          <t>A14.2</t>
        </is>
      </c>
      <c r="B658" s="2" t="inlineStr">
        <is>
          <t>EIDE.md</t>
        </is>
      </c>
      <c r="C658" s="2" t="n">
        <v>2</v>
      </c>
      <c r="D658" s="2" t="inlineStr">
        <is>
          <t>CX-eide-md</t>
        </is>
      </c>
      <c r="E658" s="2" t="inlineStr">
        <is>
          <t>Ngữ cảnh tác tử</t>
        </is>
      </c>
      <c r="F658" s="2" t="inlineStr">
        <is>
          <t>EIDE.md xem/sửa được (người &amp; tác tử)</t>
        </is>
      </c>
      <c r="G658" s="2" t="inlineStr">
        <is>
          <t>MDD-40 B2/B5</t>
        </is>
      </c>
      <c r="H658" s="6" t="inlineStr"/>
    </row>
    <row r="659">
      <c r="A659" s="2" t="inlineStr">
        <is>
          <t>A14.2.1</t>
        </is>
      </c>
      <c r="B659" s="2" t="inlineStr">
        <is>
          <t>Xem/sửa EIDE.md (mục tiêu, chip, ADR, giả định, quy ước, Đừng, Người vừa sửa)</t>
        </is>
      </c>
      <c r="C659" s="2" t="n">
        <v>3</v>
      </c>
      <c r="D659" s="2" t="inlineStr">
        <is>
          <t>CX-eide-md</t>
        </is>
      </c>
      <c r="E659" s="2" t="inlineStr">
        <is>
          <t>Ngữ cảnh tác tử</t>
        </is>
      </c>
      <c r="F659" s="2" t="inlineStr">
        <is>
          <t>EIDE.md xem/sửa được (người &amp; tác tử)</t>
        </is>
      </c>
      <c r="G659" s="2" t="inlineStr">
        <is>
          <t>MDD-40 B2/B5</t>
        </is>
      </c>
      <c r="H659" s="6" t="inlineStr"/>
    </row>
    <row r="660">
      <c r="A660" s="2" t="inlineStr">
        <is>
          <t>A14.2.1</t>
        </is>
      </c>
      <c r="B660" s="2" t="inlineStr">
        <is>
          <t>Xem/sửa EIDE.md (mục tiêu, chip, ADR, giả định, quy ước, Đừng, Người vừa sửa)</t>
        </is>
      </c>
      <c r="C660" s="2" t="n">
        <v>3</v>
      </c>
      <c r="D660" s="2" t="inlineStr">
        <is>
          <t>HA-edit</t>
        </is>
      </c>
      <c r="E660" s="2" t="inlineStr">
        <is>
          <t>HumanAct</t>
        </is>
      </c>
      <c r="F660" s="2" t="inlineStr">
        <is>
          <t>Sửa hiện vật rồi lưu</t>
        </is>
      </c>
      <c r="G660" s="2" t="inlineStr">
        <is>
          <t>MDD-40 D2</t>
        </is>
      </c>
      <c r="H660" s="6" t="inlineStr"/>
    </row>
    <row r="661">
      <c r="A661" s="2" t="inlineStr">
        <is>
          <t>A14.2.1</t>
        </is>
      </c>
      <c r="B661" s="2" t="inlineStr">
        <is>
          <t>Xem/sửa EIDE.md (mục tiêu, chip, ADR, giả định, quy ước, Đừng, Người vừa sửa)</t>
        </is>
      </c>
      <c r="C661" s="2" t="n">
        <v>3</v>
      </c>
      <c r="D661" s="2" t="inlineStr">
        <is>
          <t>ED5</t>
        </is>
      </c>
      <c r="E661" s="2" t="inlineStr">
        <is>
          <t>Đồng bộ khi người sửa</t>
        </is>
      </c>
      <c r="F661" s="2" t="inlineStr">
        <is>
          <t>Đồng bộ: EIDE.md §Người vừa sửa; &lt;human_edits&gt;; Fact NGƯỜI</t>
        </is>
      </c>
      <c r="G661" s="2" t="inlineStr">
        <is>
          <t>MDD-40 E4</t>
        </is>
      </c>
      <c r="H661" s="6" t="inlineStr"/>
    </row>
    <row r="662">
      <c r="A662" s="2" t="inlineStr">
        <is>
          <t>A14.2.2</t>
        </is>
      </c>
      <c r="B662" s="2" t="inlineStr">
        <is>
          <t>§'Người vừa sửa' — tác tử đã nhắc chưa (acknowledged)</t>
        </is>
      </c>
      <c r="C662" s="2" t="n">
        <v>3</v>
      </c>
      <c r="D662" s="2" t="inlineStr">
        <is>
          <t>ED5</t>
        </is>
      </c>
      <c r="E662" s="2" t="inlineStr">
        <is>
          <t>Đồng bộ khi người sửa</t>
        </is>
      </c>
      <c r="F662" s="2" t="inlineStr">
        <is>
          <t>Đồng bộ: EIDE.md §Người vừa sửa; &lt;human_edits&gt;; Fact NGƯỜI</t>
        </is>
      </c>
      <c r="G662" s="2" t="inlineStr">
        <is>
          <t>MDD-40 E4</t>
        </is>
      </c>
      <c r="H662" s="6" t="inlineStr"/>
    </row>
    <row r="663">
      <c r="A663" s="2" t="inlineStr">
        <is>
          <t>A14.2.2</t>
        </is>
      </c>
      <c r="B663" s="2" t="inlineStr">
        <is>
          <t>§'Người vừa sửa' — tác tử đã nhắc chưa (acknowledged)</t>
        </is>
      </c>
      <c r="C663" s="2" t="n">
        <v>3</v>
      </c>
      <c r="D663" s="2" t="inlineStr">
        <is>
          <t>ED6</t>
        </is>
      </c>
      <c r="E663" s="2" t="inlineStr">
        <is>
          <t>Đồng bộ khi người sửa</t>
        </is>
      </c>
      <c r="F663" s="2" t="inlineStr">
        <is>
          <t>Tác tử phản hồi: nhắc, hệ quả, đề nghị; không ghi đè</t>
        </is>
      </c>
      <c r="G663" s="2" t="inlineStr">
        <is>
          <t>MDD-40 E4</t>
        </is>
      </c>
      <c r="H663" s="6" t="inlineStr"/>
    </row>
    <row r="664">
      <c r="A664" s="2" t="inlineStr">
        <is>
          <t>A14.2.2</t>
        </is>
      </c>
      <c r="B664" s="2" t="inlineStr">
        <is>
          <t>§'Người vừa sửa' — tác tử đã nhắc chưa (acknowledged)</t>
        </is>
      </c>
      <c r="C664" s="2" t="n">
        <v>3</v>
      </c>
      <c r="D664" s="2" t="inlineStr">
        <is>
          <t>N9</t>
        </is>
      </c>
      <c r="E664" s="2" t="inlineStr">
        <is>
          <t>Nguyên tắc</t>
        </is>
      </c>
      <c r="F664" s="2" t="inlineStr">
        <is>
          <t>Mọi thay đổi là changeset hoàn tác được; sửa của người được tác tử biết; snapshot bất biến</t>
        </is>
      </c>
      <c r="G664" s="2" t="inlineStr">
        <is>
          <t>MDD-40 A3</t>
        </is>
      </c>
      <c r="H664" s="6" t="inlineStr"/>
    </row>
    <row r="665">
      <c r="A665" s="2" t="inlineStr">
        <is>
          <t>A14.3</t>
        </is>
      </c>
      <c r="B665" s="2" t="inlineStr">
        <is>
          <t>Kiểm kê (inventory) &amp; giả định</t>
        </is>
      </c>
      <c r="C665" s="2" t="n">
        <v>2</v>
      </c>
      <c r="D665" s="2" t="inlineStr">
        <is>
          <t>CX-inventory</t>
        </is>
      </c>
      <c r="E665" s="2" t="inlineStr">
        <is>
          <t>Ngữ cảnh tác tử</t>
        </is>
      </c>
      <c r="F665" s="2" t="inlineStr">
        <is>
          <t>&lt;inventory&gt; hiển thị cho người</t>
        </is>
      </c>
      <c r="G665" s="2" t="inlineStr">
        <is>
          <t>MDD-40 B2/B5</t>
        </is>
      </c>
      <c r="H665" s="6" t="inlineStr"/>
    </row>
    <row r="666">
      <c r="A666" s="2" t="inlineStr">
        <is>
          <t>A14.3</t>
        </is>
      </c>
      <c r="B666" s="2" t="inlineStr">
        <is>
          <t>Kiểm kê (inventory) &amp; giả định</t>
        </is>
      </c>
      <c r="C666" s="2" t="n">
        <v>2</v>
      </c>
      <c r="D666" s="2" t="inlineStr">
        <is>
          <t>CX-assumptions</t>
        </is>
      </c>
      <c r="E666" s="2" t="inlineStr">
        <is>
          <t>Ngữ cảnh tác tử</t>
        </is>
      </c>
      <c r="F666" s="2" t="inlineStr">
        <is>
          <t>Giả định đang dùng: xác nhận/bác bỏ</t>
        </is>
      </c>
      <c r="G666" s="2" t="inlineStr">
        <is>
          <t>MDD-40 B2/B5</t>
        </is>
      </c>
      <c r="H666" s="6" t="inlineStr"/>
    </row>
    <row r="667">
      <c r="A667" s="2" t="inlineStr">
        <is>
          <t>A14.3.1</t>
        </is>
      </c>
      <c r="B667" s="2" t="inlineStr">
        <is>
          <t>Bảng &lt;inventory&gt; đúng như tác tử thấy</t>
        </is>
      </c>
      <c r="C667" s="2" t="n">
        <v>3</v>
      </c>
      <c r="D667" s="2" t="inlineStr">
        <is>
          <t>CX-inventory</t>
        </is>
      </c>
      <c r="E667" s="2" t="inlineStr">
        <is>
          <t>Ngữ cảnh tác tử</t>
        </is>
      </c>
      <c r="F667" s="2" t="inlineStr">
        <is>
          <t>&lt;inventory&gt; hiển thị cho người</t>
        </is>
      </c>
      <c r="G667" s="2" t="inlineStr">
        <is>
          <t>MDD-40 B2/B5</t>
        </is>
      </c>
      <c r="H667" s="6" t="inlineStr"/>
    </row>
    <row r="668">
      <c r="A668" s="2" t="inlineStr">
        <is>
          <t>A14.3.1</t>
        </is>
      </c>
      <c r="B668" s="2" t="inlineStr">
        <is>
          <t>Bảng &lt;inventory&gt; đúng như tác tử thấy</t>
        </is>
      </c>
      <c r="C668" s="2" t="n">
        <v>3</v>
      </c>
      <c r="D668" s="2" t="inlineStr">
        <is>
          <t>N3</t>
        </is>
      </c>
      <c r="E668" s="2" t="inlineStr">
        <is>
          <t>Nguyên tắc</t>
        </is>
      </c>
      <c r="F668" s="2" t="inlineStr">
        <is>
          <t>Kiểm kê xác định — tình trạng dự án do mã dựng, hiển thị cho người</t>
        </is>
      </c>
      <c r="G668" s="2" t="inlineStr">
        <is>
          <t>MDD-40 A3</t>
        </is>
      </c>
      <c r="H668" s="6" t="inlineStr"/>
    </row>
    <row r="669">
      <c r="A669" s="2" t="inlineStr">
        <is>
          <t>A14.3.2</t>
        </is>
      </c>
      <c r="B669" s="2" t="inlineStr">
        <is>
          <t>Giả định đang dùng: xác nhận thành sự thật / bác bỏ</t>
        </is>
      </c>
      <c r="C669" s="2" t="n">
        <v>3</v>
      </c>
      <c r="D669" s="2" t="inlineStr">
        <is>
          <t>CX-assumptions</t>
        </is>
      </c>
      <c r="E669" s="2" t="inlineStr">
        <is>
          <t>Ngữ cảnh tác tử</t>
        </is>
      </c>
      <c r="F669" s="2" t="inlineStr">
        <is>
          <t>Giả định đang dùng: xác nhận/bác bỏ</t>
        </is>
      </c>
      <c r="G669" s="2" t="inlineStr">
        <is>
          <t>MDD-40 B2/B5</t>
        </is>
      </c>
      <c r="H669" s="6" t="inlineStr"/>
    </row>
    <row r="670">
      <c r="A670" s="2" t="inlineStr">
        <is>
          <t>A14.3.2</t>
        </is>
      </c>
      <c r="B670" s="2" t="inlineStr">
        <is>
          <t>Giả định đang dùng: xác nhận thành sự thật / bác bỏ</t>
        </is>
      </c>
      <c r="C670" s="2" t="n">
        <v>3</v>
      </c>
      <c r="D670" s="2" t="inlineStr">
        <is>
          <t>AR20</t>
        </is>
      </c>
      <c r="E670" s="2" t="inlineStr">
        <is>
          <t>Hiện vật (E2)</t>
        </is>
      </c>
      <c r="F670" s="2" t="inlineStr">
        <is>
          <t>Giả định đang dùng</t>
        </is>
      </c>
      <c r="G670" s="2" t="inlineStr">
        <is>
          <t>MDD-40 E2</t>
        </is>
      </c>
      <c r="H670" s="6" t="inlineStr"/>
    </row>
    <row r="671">
      <c r="A671" s="2" t="inlineStr">
        <is>
          <t>A14.3.2</t>
        </is>
      </c>
      <c r="B671" s="2" t="inlineStr">
        <is>
          <t>Giả định đang dùng: xác nhận thành sự thật / bác bỏ</t>
        </is>
      </c>
      <c r="C671" s="2" t="n">
        <v>3</v>
      </c>
      <c r="D671" s="2" t="inlineStr">
        <is>
          <t>HA-confirm</t>
        </is>
      </c>
      <c r="E671" s="2" t="inlineStr">
        <is>
          <t>HumanAct</t>
        </is>
      </c>
      <c r="F671" s="2" t="inlineStr">
        <is>
          <t>Xác nhận/từ chối/sửa Fact hoặc nguồn</t>
        </is>
      </c>
      <c r="G671" s="2" t="inlineStr">
        <is>
          <t>MDD-40 D2</t>
        </is>
      </c>
      <c r="H671" s="6" t="inlineStr"/>
    </row>
    <row r="672">
      <c r="A672" s="2" t="inlineStr">
        <is>
          <t>A14.4</t>
        </is>
      </c>
      <c r="B672" s="2" t="inlineStr">
        <is>
          <t>Kế hoạch (plan mode)</t>
        </is>
      </c>
      <c r="C672" s="2" t="n">
        <v>2</v>
      </c>
      <c r="D672" s="2" t="inlineStr">
        <is>
          <t>CX-plan</t>
        </is>
      </c>
      <c r="E672" s="2" t="inlineStr">
        <is>
          <t>Ngữ cảnh tác tử</t>
        </is>
      </c>
      <c r="F672" s="2" t="inlineStr">
        <is>
          <t>Plan mode: kế hoạch có checkbox, duyệt</t>
        </is>
      </c>
      <c r="G672" s="2" t="inlineStr">
        <is>
          <t>MDD-40 B2/B5</t>
        </is>
      </c>
      <c r="H672" s="6" t="inlineStr"/>
    </row>
    <row r="673">
      <c r="A673" s="2" t="inlineStr">
        <is>
          <t>A14.4</t>
        </is>
      </c>
      <c r="B673" s="2" t="inlineStr">
        <is>
          <t>Kế hoạch (plan mode)</t>
        </is>
      </c>
      <c r="C673" s="2" t="n">
        <v>2</v>
      </c>
      <c r="D673" s="2" t="inlineStr">
        <is>
          <t>G-SCOPE</t>
        </is>
      </c>
      <c r="E673" s="2" t="inlineStr">
        <is>
          <t>Cổng</t>
        </is>
      </c>
      <c r="F673" s="2" t="inlineStr">
        <is>
          <t>Duyệt kế hoạch việc lớn</t>
        </is>
      </c>
      <c r="G673" s="2" t="inlineStr">
        <is>
          <t>MDD-40 B4/E7</t>
        </is>
      </c>
      <c r="H673" s="6" t="inlineStr"/>
    </row>
    <row r="674">
      <c r="A674" s="2" t="inlineStr">
        <is>
          <t>A14.4.1</t>
        </is>
      </c>
      <c r="B674" s="2" t="inlineStr">
        <is>
          <t>Kế hoạch đã duyệt: bước ✓/đang/chưa; đối chiếu 'đã làm'</t>
        </is>
      </c>
      <c r="C674" s="2" t="n">
        <v>3</v>
      </c>
      <c r="D674" s="2" t="inlineStr">
        <is>
          <t>CX-plan</t>
        </is>
      </c>
      <c r="E674" s="2" t="inlineStr">
        <is>
          <t>Ngữ cảnh tác tử</t>
        </is>
      </c>
      <c r="F674" s="2" t="inlineStr">
        <is>
          <t>Plan mode: kế hoạch có checkbox, duyệt</t>
        </is>
      </c>
      <c r="G674" s="2" t="inlineStr">
        <is>
          <t>MDD-40 B2/B5</t>
        </is>
      </c>
      <c r="H674" s="6" t="inlineStr"/>
    </row>
    <row r="675">
      <c r="A675" s="2" t="inlineStr">
        <is>
          <t>A14.4.1</t>
        </is>
      </c>
      <c r="B675" s="2" t="inlineStr">
        <is>
          <t>Kế hoạch đã duyệt: bước ✓/đang/chưa; đối chiếu 'đã làm'</t>
        </is>
      </c>
      <c r="C675" s="2" t="n">
        <v>3</v>
      </c>
      <c r="D675" s="2" t="inlineStr">
        <is>
          <t>AR12</t>
        </is>
      </c>
      <c r="E675" s="2" t="inlineStr">
        <is>
          <t>Hiện vật (E2)</t>
        </is>
      </c>
      <c r="F675" s="2" t="inlineStr">
        <is>
          <t>Kế hoạch (plan mode)</t>
        </is>
      </c>
      <c r="G675" s="2" t="inlineStr">
        <is>
          <t>MDD-40 E2</t>
        </is>
      </c>
      <c r="H675" s="6" t="inlineStr"/>
    </row>
    <row r="676">
      <c r="A676" s="2" t="inlineStr">
        <is>
          <t>A14.4.2</t>
        </is>
      </c>
      <c r="B676" s="2" t="inlineStr">
        <is>
          <t>Bỏ/thêm bước; sửa giả định</t>
        </is>
      </c>
      <c r="C676" s="2" t="n">
        <v>3</v>
      </c>
      <c r="D676" s="2" t="inlineStr">
        <is>
          <t>HA-edit</t>
        </is>
      </c>
      <c r="E676" s="2" t="inlineStr">
        <is>
          <t>HumanAct</t>
        </is>
      </c>
      <c r="F676" s="2" t="inlineStr">
        <is>
          <t>Sửa hiện vật rồi lưu</t>
        </is>
      </c>
      <c r="G676" s="2" t="inlineStr">
        <is>
          <t>MDD-40 D2</t>
        </is>
      </c>
      <c r="H676" s="6" t="inlineStr"/>
    </row>
    <row r="677">
      <c r="A677" s="2" t="inlineStr">
        <is>
          <t>A14.4.2</t>
        </is>
      </c>
      <c r="B677" s="2" t="inlineStr">
        <is>
          <t>Bỏ/thêm bước; sửa giả định</t>
        </is>
      </c>
      <c r="C677" s="2" t="n">
        <v>3</v>
      </c>
      <c r="D677" s="2" t="inlineStr">
        <is>
          <t>CX-plan</t>
        </is>
      </c>
      <c r="E677" s="2" t="inlineStr">
        <is>
          <t>Ngữ cảnh tác tử</t>
        </is>
      </c>
      <c r="F677" s="2" t="inlineStr">
        <is>
          <t>Plan mode: kế hoạch có checkbox, duyệt</t>
        </is>
      </c>
      <c r="G677" s="2" t="inlineStr">
        <is>
          <t>MDD-40 B2/B5</t>
        </is>
      </c>
      <c r="H677" s="6" t="inlineStr"/>
    </row>
    <row r="678">
      <c r="A678" s="2" t="inlineStr">
        <is>
          <t>A14.6</t>
        </is>
      </c>
      <c r="B678" s="2" t="inlineStr">
        <is>
          <t>Bộ nhớ tác tử (MEM-42)</t>
        </is>
      </c>
      <c r="C678" s="2" t="n">
        <v>2</v>
      </c>
      <c r="D678" s="2" t="inlineStr">
        <is>
          <t>MEM-12</t>
        </is>
      </c>
      <c r="E678" s="2" t="inlineStr">
        <is>
          <t>Bộ nhớ &amp; nén (MEM-42)</t>
        </is>
      </c>
      <c r="F678" s="2" t="inlineStr">
        <is>
          <t>Người thấy cửa sổ ngữ cảnh hiện tại (khối, token, ghim)</t>
        </is>
      </c>
      <c r="G678" s="2" t="inlineStr">
        <is>
          <t>EIDE-MEM-42</t>
        </is>
      </c>
      <c r="H678" s="6" t="inlineStr"/>
    </row>
    <row r="679">
      <c r="A679" s="2" t="inlineStr">
        <is>
          <t>A14.6</t>
        </is>
      </c>
      <c r="B679" s="2" t="inlineStr">
        <is>
          <t>Bộ nhớ tác tử (MEM-42)</t>
        </is>
      </c>
      <c r="C679" s="2" t="n">
        <v>2</v>
      </c>
      <c r="D679" s="2" t="inlineStr">
        <is>
          <t>MEM-02</t>
        </is>
      </c>
      <c r="E679" s="2" t="inlineStr">
        <is>
          <t>Bộ nhớ &amp; nén (MEM-42)</t>
        </is>
      </c>
      <c r="F679" s="2" t="inlineStr">
        <is>
          <t>Đồng hồ token theo khối hiển thị cho người; 4 ngưỡng 60/70/85/95 %</t>
        </is>
      </c>
      <c r="G679" s="2" t="inlineStr">
        <is>
          <t>EIDE-MEM-42</t>
        </is>
      </c>
      <c r="H679" s="6" t="inlineStr"/>
    </row>
    <row r="680">
      <c r="A680" s="2" t="inlineStr">
        <is>
          <t>A14.6.1</t>
        </is>
      </c>
      <c r="B680" s="2" t="inlineStr">
        <is>
          <t>Đồng hồ ngữ cảnh theo 10 khối (% và token, màu theo ngưỡng 60/70/85/95)</t>
        </is>
      </c>
      <c r="C680" s="2" t="n">
        <v>3</v>
      </c>
      <c r="D680" s="2" t="inlineStr">
        <is>
          <t>MEM-01</t>
        </is>
      </c>
      <c r="E680" s="2" t="inlineStr">
        <is>
          <t>Bộ nhớ &amp; nén (MEM-42)</t>
        </is>
      </c>
      <c r="F680" s="2" t="inlineStr">
        <is>
          <t>Ngân sách ngữ cảnh cố định theo 10 khối; dự trữ 20 %</t>
        </is>
      </c>
      <c r="G680" s="2" t="inlineStr">
        <is>
          <t>EIDE-MEM-42</t>
        </is>
      </c>
      <c r="H680" s="6" t="inlineStr"/>
    </row>
    <row r="681">
      <c r="A681" s="2" t="inlineStr">
        <is>
          <t>A14.6.1</t>
        </is>
      </c>
      <c r="B681" s="2" t="inlineStr">
        <is>
          <t>Đồng hồ ngữ cảnh theo 10 khối (% và token, màu theo ngưỡng 60/70/85/95)</t>
        </is>
      </c>
      <c r="C681" s="2" t="n">
        <v>3</v>
      </c>
      <c r="D681" s="2" t="inlineStr">
        <is>
          <t>MEM-02</t>
        </is>
      </c>
      <c r="E681" s="2" t="inlineStr">
        <is>
          <t>Bộ nhớ &amp; nén (MEM-42)</t>
        </is>
      </c>
      <c r="F681" s="2" t="inlineStr">
        <is>
          <t>Đồng hồ token theo khối hiển thị cho người; 4 ngưỡng 60/70/85/95 %</t>
        </is>
      </c>
      <c r="G681" s="2" t="inlineStr">
        <is>
          <t>EIDE-MEM-42</t>
        </is>
      </c>
      <c r="H681" s="6" t="inlineStr"/>
    </row>
    <row r="682">
      <c r="A682" s="2" t="inlineStr">
        <is>
          <t>A14.6.1</t>
        </is>
      </c>
      <c r="B682" s="2" t="inlineStr">
        <is>
          <t>Đồng hồ ngữ cảnh theo 10 khối (% và token, màu theo ngưỡng 60/70/85/95)</t>
        </is>
      </c>
      <c r="C682" s="2" t="n">
        <v>3</v>
      </c>
      <c r="D682" s="2" t="inlineStr">
        <is>
          <t>CX-budget</t>
        </is>
      </c>
      <c r="E682" s="2" t="inlineStr">
        <is>
          <t>Ngữ cảnh tác tử</t>
        </is>
      </c>
      <c r="F682" s="2" t="inlineStr">
        <is>
          <t>Ngân sách: tool/lượt, thời gian, ngữ cảnh</t>
        </is>
      </c>
      <c r="G682" s="2" t="inlineStr">
        <is>
          <t>MDD-40 B2/B5</t>
        </is>
      </c>
      <c r="H682" s="6" t="inlineStr"/>
    </row>
    <row r="683">
      <c r="A683" s="2" t="inlineStr">
        <is>
          <t>A14.6.2</t>
        </is>
      </c>
      <c r="B683" s="2" t="inlineStr">
        <is>
          <t>Bản tóm tắt phiên hiện tại (10 mục): xem, sửa, ghim mục</t>
        </is>
      </c>
      <c r="C683" s="2" t="n">
        <v>3</v>
      </c>
      <c r="D683" s="2" t="inlineStr">
        <is>
          <t>MEM-06</t>
        </is>
      </c>
      <c r="E683" s="2" t="inlineStr">
        <is>
          <t>Bộ nhớ &amp; nén (MEM-42)</t>
        </is>
      </c>
      <c r="F683" s="2" t="inlineStr">
        <is>
          <t>C2: PreCompact rút cấu trúc vào M2; tóm tắt 10 mục có trần; giữ K lượt + ghim; atomic swap</t>
        </is>
      </c>
      <c r="G683" s="2" t="inlineStr">
        <is>
          <t>EIDE-MEM-42</t>
        </is>
      </c>
      <c r="H683" s="6" t="inlineStr"/>
    </row>
    <row r="684">
      <c r="A684" s="2" t="inlineStr">
        <is>
          <t>A14.6.2</t>
        </is>
      </c>
      <c r="B684" s="2" t="inlineStr">
        <is>
          <t>Bản tóm tắt phiên hiện tại (10 mục): xem, sửa, ghim mục</t>
        </is>
      </c>
      <c r="C684" s="2" t="n">
        <v>3</v>
      </c>
      <c r="D684" s="2" t="inlineStr">
        <is>
          <t>MEM-11</t>
        </is>
      </c>
      <c r="E684" s="2" t="inlineStr">
        <is>
          <t>Bộ nhớ &amp; nén (MEM-42)</t>
        </is>
      </c>
      <c r="F684" s="2" t="inlineStr">
        <is>
          <t>Bản tóm tắt phiên xem/sửa được trên UI</t>
        </is>
      </c>
      <c r="G684" s="2" t="inlineStr">
        <is>
          <t>EIDE-MEM-42</t>
        </is>
      </c>
      <c r="H684" s="6" t="inlineStr"/>
    </row>
    <row r="685">
      <c r="A685" s="2" t="inlineStr">
        <is>
          <t>A14.6.2</t>
        </is>
      </c>
      <c r="B685" s="2" t="inlineStr">
        <is>
          <t>Bản tóm tắt phiên hiện tại (10 mục): xem, sửa, ghim mục</t>
        </is>
      </c>
      <c r="C685" s="2" t="n">
        <v>3</v>
      </c>
      <c r="D685" s="2" t="inlineStr">
        <is>
          <t>HA-edit</t>
        </is>
      </c>
      <c r="E685" s="2" t="inlineStr">
        <is>
          <t>HumanAct</t>
        </is>
      </c>
      <c r="F685" s="2" t="inlineStr">
        <is>
          <t>Sửa hiện vật rồi lưu</t>
        </is>
      </c>
      <c r="G685" s="2" t="inlineStr">
        <is>
          <t>MDD-40 D2</t>
        </is>
      </c>
      <c r="H685" s="6" t="inlineStr"/>
    </row>
    <row r="686">
      <c r="A686" s="2" t="inlineStr">
        <is>
          <t>A14.6.3</t>
        </is>
      </c>
      <c r="B686" s="2" t="inlineStr">
        <is>
          <t>Danh sách message ghim; ghim/bỏ ghim thủ công</t>
        </is>
      </c>
      <c r="C686" s="2" t="n">
        <v>3</v>
      </c>
      <c r="D686" s="2" t="inlineStr">
        <is>
          <t>MEM-07</t>
        </is>
      </c>
      <c r="E686" s="2" t="inlineStr">
        <is>
          <t>Bộ nhớ &amp; nén (MEM-42)</t>
        </is>
      </c>
      <c r="F686" s="2" t="inlineStr">
        <is>
          <t>Ghim tự động (decide/confirm/edit/snapshot/set, trả lời thẻ, kế hoạch duyệt, không đảo ngược); ghim thủ công</t>
        </is>
      </c>
      <c r="G686" s="2" t="inlineStr">
        <is>
          <t>EIDE-MEM-42</t>
        </is>
      </c>
      <c r="H686" s="6" t="inlineStr"/>
    </row>
    <row r="687">
      <c r="A687" s="2" t="inlineStr">
        <is>
          <t>A14.6.3</t>
        </is>
      </c>
      <c r="B687" s="2" t="inlineStr">
        <is>
          <t>Danh sách message ghim; ghim/bỏ ghim thủ công</t>
        </is>
      </c>
      <c r="C687" s="2" t="n">
        <v>3</v>
      </c>
      <c r="D687" s="2" t="inlineStr">
        <is>
          <t>HA-set</t>
        </is>
      </c>
      <c r="E687" s="2" t="inlineStr">
        <is>
          <t>HumanAct</t>
        </is>
      </c>
      <c r="F687" s="2" t="inlineStr">
        <is>
          <t>Đổi thiết lập</t>
        </is>
      </c>
      <c r="G687" s="2" t="inlineStr">
        <is>
          <t>MDD-40 D2</t>
        </is>
      </c>
      <c r="H687" s="6" t="inlineStr"/>
    </row>
    <row r="688">
      <c r="A688" s="2" t="inlineStr">
        <is>
          <t>A14.6.4</t>
        </is>
      </c>
      <c r="B688" s="2" t="inlineStr">
        <is>
          <t>Nén ngay (C1/C2) · Huỷ nén gần nhất (24 h)</t>
        </is>
      </c>
      <c r="C688" s="2" t="n">
        <v>3</v>
      </c>
      <c r="D688" s="2" t="inlineStr">
        <is>
          <t>MEM-05</t>
        </is>
      </c>
      <c r="E688" s="2" t="inlineStr">
        <is>
          <t>Bộ nhớ &amp; nén (MEM-42)</t>
        </is>
      </c>
      <c r="F688" s="2" t="inlineStr">
        <is>
          <t>C1: stub/dedup/supersede/hết hạn 8 lượt; 0 token</t>
        </is>
      </c>
      <c r="G688" s="2" t="inlineStr">
        <is>
          <t>EIDE-MEM-42</t>
        </is>
      </c>
      <c r="H688" s="6" t="inlineStr"/>
    </row>
    <row r="689">
      <c r="A689" s="2" t="inlineStr">
        <is>
          <t>A14.6.4</t>
        </is>
      </c>
      <c r="B689" s="2" t="inlineStr">
        <is>
          <t>Nén ngay (C1/C2) · Huỷ nén gần nhất (24 h)</t>
        </is>
      </c>
      <c r="C689" s="2" t="n">
        <v>3</v>
      </c>
      <c r="D689" s="2" t="inlineStr">
        <is>
          <t>MEM-09</t>
        </is>
      </c>
      <c r="E689" s="2" t="inlineStr">
        <is>
          <t>Bộ nhớ &amp; nén (MEM-42)</t>
        </is>
      </c>
      <c r="F689" s="2" t="inlineStr">
        <is>
          <t>C3 bậc thang có chuỗi hash; C4 khẩn cấp; thông báo [Hệ thống] sau nén; huỷ nén trong 24 h</t>
        </is>
      </c>
      <c r="G689" s="2" t="inlineStr">
        <is>
          <t>EIDE-MEM-42</t>
        </is>
      </c>
      <c r="H689" s="6" t="inlineStr"/>
    </row>
    <row r="690">
      <c r="A690" s="2" t="inlineStr">
        <is>
          <t>A14.6.4</t>
        </is>
      </c>
      <c r="B690" s="2" t="inlineStr">
        <is>
          <t>Nén ngay (C1/C2) · Huỷ nén gần nhất (24 h)</t>
        </is>
      </c>
      <c r="C690" s="2" t="n">
        <v>3</v>
      </c>
      <c r="D690" s="2" t="inlineStr">
        <is>
          <t>HA-say</t>
        </is>
      </c>
      <c r="E690" s="2" t="inlineStr">
        <is>
          <t>HumanAct</t>
        </is>
      </c>
      <c r="F690" s="2" t="inlineStr">
        <is>
          <t>Gõ tự do</t>
        </is>
      </c>
      <c r="G690" s="2" t="inlineStr">
        <is>
          <t>MDD-40 D2</t>
        </is>
      </c>
      <c r="H690" s="6" t="inlineStr"/>
    </row>
    <row r="691">
      <c r="A691" s="2" t="inlineStr">
        <is>
          <t>A14.6.5</t>
        </is>
      </c>
      <c r="B691" s="2" t="inlineStr">
        <is>
          <t>Nhật ký nén: trước/sau, kiểm 3/3, chuỗi tóm tắt (C3)</t>
        </is>
      </c>
      <c r="C691" s="2" t="n">
        <v>3</v>
      </c>
      <c r="D691" s="2" t="inlineStr">
        <is>
          <t>MEM-08</t>
        </is>
      </c>
      <c r="E691" s="2" t="inlineStr">
        <is>
          <t>Bộ nhớ &amp; nén (MEM-42)</t>
        </is>
      </c>
      <c r="F691" s="2" t="inlineStr">
        <is>
          <t>PostCompact: 3 câu hỏi ngược từ ledger; sai → huỷ, K += 4, tối đa 2 lần</t>
        </is>
      </c>
      <c r="G691" s="2" t="inlineStr">
        <is>
          <t>EIDE-MEM-42</t>
        </is>
      </c>
      <c r="H691" s="6" t="inlineStr"/>
    </row>
    <row r="692">
      <c r="A692" s="2" t="inlineStr">
        <is>
          <t>A14.6.5</t>
        </is>
      </c>
      <c r="B692" s="2" t="inlineStr">
        <is>
          <t>Nhật ký nén: trước/sau, kiểm 3/3, chuỗi tóm tắt (C3)</t>
        </is>
      </c>
      <c r="C692" s="2" t="n">
        <v>3</v>
      </c>
      <c r="D692" s="2" t="inlineStr">
        <is>
          <t>MEM-09</t>
        </is>
      </c>
      <c r="E692" s="2" t="inlineStr">
        <is>
          <t>Bộ nhớ &amp; nén (MEM-42)</t>
        </is>
      </c>
      <c r="F692" s="2" t="inlineStr">
        <is>
          <t>C3 bậc thang có chuỗi hash; C4 khẩn cấp; thông báo [Hệ thống] sau nén; huỷ nén trong 24 h</t>
        </is>
      </c>
      <c r="G692" s="2" t="inlineStr">
        <is>
          <t>EIDE-MEM-42</t>
        </is>
      </c>
      <c r="H692" s="6" t="inlineStr"/>
    </row>
    <row r="693">
      <c r="A693" s="2" t="inlineStr">
        <is>
          <t>A14.6.5</t>
        </is>
      </c>
      <c r="B693" s="2" t="inlineStr">
        <is>
          <t>Nhật ký nén: trước/sau, kiểm 3/3, chuỗi tóm tắt (C3)</t>
        </is>
      </c>
      <c r="C693" s="2" t="n">
        <v>3</v>
      </c>
      <c r="D693" s="2" t="inlineStr">
        <is>
          <t>MEM-18</t>
        </is>
      </c>
      <c r="E693" s="2" t="inlineStr">
        <is>
          <t>Bộ nhớ &amp; nén (MEM-42)</t>
        </is>
      </c>
      <c r="F693" s="2" t="inlineStr">
        <is>
          <t>Write-ahead transcript; nén là giao dịch; hash chuỗi ledger/changeset</t>
        </is>
      </c>
      <c r="G693" s="2" t="inlineStr">
        <is>
          <t>EIDE-MEM-42</t>
        </is>
      </c>
      <c r="H693" s="6" t="inlineStr"/>
    </row>
    <row r="694">
      <c r="A694" s="2" t="inlineStr">
        <is>
          <t>A14.6.6</t>
        </is>
      </c>
      <c r="B694" s="2" t="inlineStr">
        <is>
          <t>Bộ nhớ người dùng (memory.md): xem, sửa, quên từng dòng, xoá toàn bộ</t>
        </is>
      </c>
      <c r="C694" s="2" t="n">
        <v>3</v>
      </c>
      <c r="D694" s="2" t="inlineStr">
        <is>
          <t>MEM-13</t>
        </is>
      </c>
      <c r="E694" s="2" t="inlineStr">
        <is>
          <t>Bộ nhớ &amp; nén (MEM-42)</t>
        </is>
      </c>
      <c r="F694" s="2" t="inlineStr">
        <is>
          <t>Quên có chủ đích: memory.forget → tombstone; không hồi sinh</t>
        </is>
      </c>
      <c r="G694" s="2" t="inlineStr">
        <is>
          <t>EIDE-MEM-42</t>
        </is>
      </c>
      <c r="H694" s="6" t="inlineStr"/>
    </row>
    <row r="695">
      <c r="A695" s="2" t="inlineStr">
        <is>
          <t>A14.6.6</t>
        </is>
      </c>
      <c r="B695" s="2" t="inlineStr">
        <is>
          <t>Bộ nhớ người dùng (memory.md): xem, sửa, quên từng dòng, xoá toàn bộ</t>
        </is>
      </c>
      <c r="C695" s="2" t="n">
        <v>3</v>
      </c>
      <c r="D695" s="2" t="inlineStr">
        <is>
          <t>MEM-14</t>
        </is>
      </c>
      <c r="E695" s="2" t="inlineStr">
        <is>
          <t>Bộ nhớ &amp; nén (MEM-42)</t>
        </is>
      </c>
      <c r="F695" s="2" t="inlineStr">
        <is>
          <t>M3: danh sách trắng category; đề xuất ghi nhớ phải người đồng ý; không nhớ bí mật/suy đoán</t>
        </is>
      </c>
      <c r="G695" s="2" t="inlineStr">
        <is>
          <t>EIDE-MEM-42</t>
        </is>
      </c>
      <c r="H695" s="6" t="inlineStr"/>
    </row>
    <row r="696">
      <c r="A696" s="2" t="inlineStr">
        <is>
          <t>A14.6.6</t>
        </is>
      </c>
      <c r="B696" s="2" t="inlineStr">
        <is>
          <t>Bộ nhớ người dùng (memory.md): xem, sửa, quên từng dòng, xoá toàn bộ</t>
        </is>
      </c>
      <c r="C696" s="2" t="n">
        <v>3</v>
      </c>
      <c r="D696" s="2" t="inlineStr">
        <is>
          <t>MM-habit</t>
        </is>
      </c>
      <c r="E696" s="2" t="inlineStr">
        <is>
          <t>Bộ nhớ người dùng</t>
        </is>
      </c>
      <c r="F696" s="2" t="inlineStr">
        <is>
          <t>Thói quen trình bày</t>
        </is>
      </c>
      <c r="G696" s="2" t="inlineStr">
        <is>
          <t>MDD-40 B6/E3.4</t>
        </is>
      </c>
      <c r="H696" s="6" t="inlineStr"/>
    </row>
    <row r="697">
      <c r="A697" s="2" t="inlineStr">
        <is>
          <t>A14.6.6</t>
        </is>
      </c>
      <c r="B697" s="2" t="inlineStr">
        <is>
          <t>Bộ nhớ người dùng (memory.md): xem, sửa, quên từng dòng, xoá toàn bộ</t>
        </is>
      </c>
      <c r="C697" s="2" t="n">
        <v>3</v>
      </c>
      <c r="D697" s="2" t="inlineStr">
        <is>
          <t>MM-remember</t>
        </is>
      </c>
      <c r="E697" s="2" t="inlineStr">
        <is>
          <t>Bộ nhớ người dùng</t>
        </is>
      </c>
      <c r="F697" s="2" t="inlineStr">
        <is>
          <t>'Tin' theo tool (R0–R2)</t>
        </is>
      </c>
      <c r="G697" s="2" t="inlineStr">
        <is>
          <t>MDD-40 B6/E3.4</t>
        </is>
      </c>
      <c r="H697" s="6" t="inlineStr"/>
    </row>
    <row r="698">
      <c r="A698" s="2" t="inlineStr">
        <is>
          <t>A14.6.7</t>
        </is>
      </c>
      <c r="B698" s="2" t="inlineStr">
        <is>
          <t>Đề xuất ghi nhớ của tác tử — Đồng ý / Không</t>
        </is>
      </c>
      <c r="C698" s="2" t="n">
        <v>3</v>
      </c>
      <c r="D698" s="2" t="inlineStr">
        <is>
          <t>MEM-14</t>
        </is>
      </c>
      <c r="E698" s="2" t="inlineStr">
        <is>
          <t>Bộ nhớ &amp; nén (MEM-42)</t>
        </is>
      </c>
      <c r="F698" s="2" t="inlineStr">
        <is>
          <t>M3: danh sách trắng category; đề xuất ghi nhớ phải người đồng ý; không nhớ bí mật/suy đoán</t>
        </is>
      </c>
      <c r="G698" s="2" t="inlineStr">
        <is>
          <t>EIDE-MEM-42</t>
        </is>
      </c>
      <c r="H698" s="6" t="inlineStr"/>
    </row>
    <row r="699">
      <c r="A699" s="2" t="inlineStr">
        <is>
          <t>A14.6.7</t>
        </is>
      </c>
      <c r="B699" s="2" t="inlineStr">
        <is>
          <t>Đề xuất ghi nhớ của tác tử — Đồng ý / Không</t>
        </is>
      </c>
      <c r="C699" s="2" t="n">
        <v>3</v>
      </c>
      <c r="D699" s="2" t="inlineStr">
        <is>
          <t>HA-choose</t>
        </is>
      </c>
      <c r="E699" s="2" t="inlineStr">
        <is>
          <t>HumanAct</t>
        </is>
      </c>
      <c r="F699" s="2" t="inlineStr">
        <is>
          <t>Chọn mục trong thẻ</t>
        </is>
      </c>
      <c r="G699" s="2" t="inlineStr">
        <is>
          <t>MDD-40 D2</t>
        </is>
      </c>
      <c r="H699" s="6" t="inlineStr"/>
    </row>
    <row r="700">
      <c r="A700" s="2" t="inlineStr">
        <is>
          <t>A14.6.8</t>
        </is>
      </c>
      <c r="B700" s="2" t="inlineStr">
        <is>
          <t>Tìm trong lịch sử (ledger.query) — kết quả có ref</t>
        </is>
      </c>
      <c r="C700" s="2" t="n">
        <v>3</v>
      </c>
      <c r="D700" s="2" t="inlineStr">
        <is>
          <t>MEM-16</t>
        </is>
      </c>
      <c r="E700" s="2" t="inlineStr">
        <is>
          <t>Bộ nhớ &amp; nén (MEM-42)</t>
        </is>
      </c>
      <c r="F700" s="2" t="inlineStr">
        <is>
          <t>ledger.query cho câu hỏi về quá khứ; tra trước khi trả lời</t>
        </is>
      </c>
      <c r="G700" s="2" t="inlineStr">
        <is>
          <t>EIDE-MEM-42</t>
        </is>
      </c>
      <c r="H700" s="6" t="inlineStr"/>
    </row>
    <row r="701">
      <c r="A701" s="2" t="inlineStr">
        <is>
          <t>A14.6.8</t>
        </is>
      </c>
      <c r="B701" s="2" t="inlineStr">
        <is>
          <t>Tìm trong lịch sử (ledger.query) — kết quả có ref</t>
        </is>
      </c>
      <c r="C701" s="2" t="n">
        <v>3</v>
      </c>
      <c r="D701" s="2" t="inlineStr">
        <is>
          <t>UC17</t>
        </is>
      </c>
      <c r="E701" s="2" t="inlineStr">
        <is>
          <t>Usecase</t>
        </is>
      </c>
      <c r="F701" s="2" t="inlineStr">
        <is>
          <t>Quản lý phiên/dự án</t>
        </is>
      </c>
      <c r="G701" s="2" t="inlineStr">
        <is>
          <t>Excel 76 TC</t>
        </is>
      </c>
      <c r="H701" s="6" t="inlineStr"/>
    </row>
    <row r="702">
      <c r="A702" s="2" t="inlineStr">
        <is>
          <t>A14.6.9</t>
        </is>
      </c>
      <c r="B702" s="2" t="inlineStr">
        <is>
          <t>Cảnh báo EIDE.md vượt trần + đề xuất lược (memory.prune) — duyệt</t>
        </is>
      </c>
      <c r="C702" s="2" t="n">
        <v>3</v>
      </c>
      <c r="D702" s="2" t="inlineStr">
        <is>
          <t>MEM-10</t>
        </is>
      </c>
      <c r="E702" s="2" t="inlineStr">
        <is>
          <t>Bộ nhớ &amp; nén (MEM-42)</t>
        </is>
      </c>
      <c r="F702" s="2" t="inlineStr">
        <is>
          <t>EIDE.md: trần 3 k, cấu trúc cố định, nguồn gốc dòng, quyền ghi theo mục, memory.prune</t>
        </is>
      </c>
      <c r="G702" s="2" t="inlineStr">
        <is>
          <t>EIDE-MEM-42</t>
        </is>
      </c>
      <c r="H702" s="6" t="inlineStr"/>
    </row>
    <row r="703">
      <c r="A703" s="2" t="inlineStr">
        <is>
          <t>A14.6.9</t>
        </is>
      </c>
      <c r="B703" s="2" t="inlineStr">
        <is>
          <t>Cảnh báo EIDE.md vượt trần + đề xuất lược (memory.prune) — duyệt</t>
        </is>
      </c>
      <c r="C703" s="2" t="n">
        <v>3</v>
      </c>
      <c r="D703" s="2" t="inlineStr">
        <is>
          <t>MEM-03</t>
        </is>
      </c>
      <c r="E703" s="2" t="inlineStr">
        <is>
          <t>Bộ nhớ &amp; nén (MEM-42)</t>
        </is>
      </c>
      <c r="F703" s="2" t="inlineStr">
        <is>
          <t>Mọi ghi M2/M3 qua tool memory.note/store.* có changeset + provenance; fs.write EIDE.md bị deny</t>
        </is>
      </c>
      <c r="G703" s="2" t="inlineStr">
        <is>
          <t>EIDE-MEM-42</t>
        </is>
      </c>
      <c r="H703" s="6" t="inlineStr"/>
    </row>
    <row r="704">
      <c r="A704" s="2" t="inlineStr">
        <is>
          <t>A14.6.9</t>
        </is>
      </c>
      <c r="B704" s="2" t="inlineStr">
        <is>
          <t>Cảnh báo EIDE.md vượt trần + đề xuất lược (memory.prune) — duyệt</t>
        </is>
      </c>
      <c r="C704" s="2" t="n">
        <v>3</v>
      </c>
      <c r="D704" s="2" t="inlineStr">
        <is>
          <t>CX-eide-md</t>
        </is>
      </c>
      <c r="E704" s="2" t="inlineStr">
        <is>
          <t>Ngữ cảnh tác tử</t>
        </is>
      </c>
      <c r="F704" s="2" t="inlineStr">
        <is>
          <t>EIDE.md xem/sửa được (người &amp; tác tử)</t>
        </is>
      </c>
      <c r="G704" s="2" t="inlineStr">
        <is>
          <t>MDD-40 B2/B5</t>
        </is>
      </c>
      <c r="H704" s="6" t="inlineStr"/>
    </row>
    <row r="705">
      <c r="A705" s="2" t="inlineStr">
        <is>
          <t>A14.6.10</t>
        </is>
      </c>
      <c r="B705" s="2" t="inlineStr">
        <is>
          <t>Dòng [Hệ thống] sau mỗi lần nén; tool_result lớn hiện 'đã cắt, xem blob'</t>
        </is>
      </c>
      <c r="C705" s="2" t="n">
        <v>3</v>
      </c>
      <c r="D705" s="2" t="inlineStr">
        <is>
          <t>MEM-04</t>
        </is>
      </c>
      <c r="E705" s="2" t="inlineStr">
        <is>
          <t>Bộ nhớ &amp; nén (MEM-42)</t>
        </is>
      </c>
      <c r="F705" s="2" t="inlineStr">
        <is>
          <t>C0: cắt theo chính sách tool, blob content-addressed, tham chiếu artefact id+version</t>
        </is>
      </c>
      <c r="G705" s="2" t="inlineStr">
        <is>
          <t>EIDE-MEM-42</t>
        </is>
      </c>
      <c r="H705" s="6" t="inlineStr"/>
    </row>
    <row r="706">
      <c r="A706" s="2" t="inlineStr">
        <is>
          <t>A14.6.10</t>
        </is>
      </c>
      <c r="B706" s="2" t="inlineStr">
        <is>
          <t>Dòng [Hệ thống] sau mỗi lần nén; tool_result lớn hiện 'đã cắt, xem blob'</t>
        </is>
      </c>
      <c r="C706" s="2" t="n">
        <v>3</v>
      </c>
      <c r="D706" s="2" t="inlineStr">
        <is>
          <t>MEM-09</t>
        </is>
      </c>
      <c r="E706" s="2" t="inlineStr">
        <is>
          <t>Bộ nhớ &amp; nén (MEM-42)</t>
        </is>
      </c>
      <c r="F706" s="2" t="inlineStr">
        <is>
          <t>C3 bậc thang có chuỗi hash; C4 khẩn cấp; thông báo [Hệ thống] sau nén; huỷ nén trong 24 h</t>
        </is>
      </c>
      <c r="G706" s="2" t="inlineStr">
        <is>
          <t>EIDE-MEM-42</t>
        </is>
      </c>
      <c r="H706" s="6" t="inlineStr"/>
    </row>
    <row r="707">
      <c r="A707" s="2" t="inlineStr">
        <is>
          <t>A14.6.10</t>
        </is>
      </c>
      <c r="B707" s="2" t="inlineStr">
        <is>
          <t>Dòng [Hệ thống] sau mỗi lần nén; tool_result lớn hiện 'đã cắt, xem blob'</t>
        </is>
      </c>
      <c r="C707" s="2" t="n">
        <v>3</v>
      </c>
      <c r="D707" s="2" t="inlineStr">
        <is>
          <t>UI-notice</t>
        </is>
      </c>
      <c r="E707" s="2" t="inlineStr">
        <is>
          <t>UICommand</t>
        </is>
      </c>
      <c r="F707" s="2" t="inlineStr">
        <is>
          <t>Thông báo ngắn</t>
        </is>
      </c>
      <c r="G707" s="2" t="inlineStr">
        <is>
          <t>MDD-40 D2</t>
        </is>
      </c>
      <c r="H707" s="6" t="inlineStr"/>
    </row>
    <row r="708">
      <c r="A708" s="2" t="inlineStr">
        <is>
          <t>A14.6.11</t>
        </is>
      </c>
      <c r="B708" s="2" t="inlineStr">
        <is>
          <t>Khoá dự án khi phiên khác đang mở (chỉ đọc)</t>
        </is>
      </c>
      <c r="C708" s="2" t="n">
        <v>3</v>
      </c>
      <c r="D708" s="2" t="inlineStr">
        <is>
          <t>MEM-23</t>
        </is>
      </c>
      <c r="E708" s="2" t="inlineStr">
        <is>
          <t>Bộ nhớ &amp; nén (MEM-42)</t>
        </is>
      </c>
      <c r="F708" s="2" t="inlineStr">
        <is>
          <t>Nhiều phiên cùng dự án: khoá tệp, phiên sau chỉ đọc</t>
        </is>
      </c>
      <c r="G708" s="2" t="inlineStr">
        <is>
          <t>EIDE-MEM-42</t>
        </is>
      </c>
      <c r="H708" s="6" t="inlineStr"/>
    </row>
    <row r="709">
      <c r="A709" s="2" t="inlineStr">
        <is>
          <t>A14.6.11</t>
        </is>
      </c>
      <c r="B709" s="2" t="inlineStr">
        <is>
          <t>Khoá dự án khi phiên khác đang mở (chỉ đọc)</t>
        </is>
      </c>
      <c r="C709" s="2" t="n">
        <v>3</v>
      </c>
      <c r="D709" s="2" t="inlineStr">
        <is>
          <t>UC17</t>
        </is>
      </c>
      <c r="E709" s="2" t="inlineStr">
        <is>
          <t>Usecase</t>
        </is>
      </c>
      <c r="F709" s="2" t="inlineStr">
        <is>
          <t>Quản lý phiên/dự án</t>
        </is>
      </c>
      <c r="G709" s="2" t="inlineStr">
        <is>
          <t>Excel 76 TC</t>
        </is>
      </c>
      <c r="H709" s="6" t="inlineStr"/>
    </row>
    <row r="710">
      <c r="A710" s="2" t="inlineStr">
        <is>
          <t>A14.6.12</t>
        </is>
      </c>
      <c r="B710" s="2" t="inlineStr">
        <is>
          <t>Chỉ số bộ nhớ: token/lượt, tần suất nén, kiểm đạt, số lần 'quên'</t>
        </is>
      </c>
      <c r="C710" s="2" t="n">
        <v>3</v>
      </c>
      <c r="D710" s="2" t="inlineStr">
        <is>
          <t>MEM-24</t>
        </is>
      </c>
      <c r="E710" s="2" t="inlineStr">
        <is>
          <t>Bộ nhớ &amp; nén (MEM-42)</t>
        </is>
      </c>
      <c r="F710" s="2" t="inlineStr">
        <is>
          <t>Đo lường bộ nhớ ghi ledger và hiển thị trong Thiết lập</t>
        </is>
      </c>
      <c r="G710" s="2" t="inlineStr">
        <is>
          <t>EIDE-MEM-42</t>
        </is>
      </c>
      <c r="H710" s="6" t="inlineStr"/>
    </row>
    <row r="711">
      <c r="A711" s="2" t="inlineStr">
        <is>
          <t>A14.6.12</t>
        </is>
      </c>
      <c r="B711" s="2" t="inlineStr">
        <is>
          <t>Chỉ số bộ nhớ: token/lượt, tần suất nén, kiểm đạt, số lần 'quên'</t>
        </is>
      </c>
      <c r="C711" s="2" t="n">
        <v>3</v>
      </c>
      <c r="D711" s="2" t="inlineStr">
        <is>
          <t>CX-budget</t>
        </is>
      </c>
      <c r="E711" s="2" t="inlineStr">
        <is>
          <t>Ngữ cảnh tác tử</t>
        </is>
      </c>
      <c r="F711" s="2" t="inlineStr">
        <is>
          <t>Ngân sách: tool/lượt, thời gian, ngữ cảnh</t>
        </is>
      </c>
      <c r="G711" s="2" t="inlineStr">
        <is>
          <t>MDD-40 B2/B5</t>
        </is>
      </c>
      <c r="H711" s="6" t="inlineStr"/>
    </row>
    <row r="712">
      <c r="A712" s="2" t="inlineStr">
        <is>
          <t>A14.6.13</t>
        </is>
      </c>
      <c r="B712" s="2" t="inlineStr">
        <is>
          <t>Resume: tác tử tự thuật + snapshot gần nhất + thẻ chờ (không summary rỗng)</t>
        </is>
      </c>
      <c r="C712" s="2" t="n">
        <v>3</v>
      </c>
      <c r="D712" s="2" t="inlineStr">
        <is>
          <t>MEM-17</t>
        </is>
      </c>
      <c r="E712" s="2" t="inlineStr">
        <is>
          <t>Bộ nhớ &amp; nén (MEM-42)</t>
        </is>
      </c>
      <c r="F712" s="2" t="inlineStr">
        <is>
          <t>Resume 5 bước; mô hình tự thuật; không summary null</t>
        </is>
      </c>
      <c r="G712" s="2" t="inlineStr">
        <is>
          <t>EIDE-MEM-42</t>
        </is>
      </c>
      <c r="H712" s="6" t="inlineStr"/>
    </row>
    <row r="713">
      <c r="A713" s="2" t="inlineStr">
        <is>
          <t>A14.6.13</t>
        </is>
      </c>
      <c r="B713" s="2" t="inlineStr">
        <is>
          <t>Resume: tác tử tự thuật + snapshot gần nhất + thẻ chờ (không summary rỗng)</t>
        </is>
      </c>
      <c r="C713" s="2" t="n">
        <v>3</v>
      </c>
      <c r="D713" s="2" t="inlineStr">
        <is>
          <t>SN-resume-info</t>
        </is>
      </c>
      <c r="E713" s="2" t="inlineStr">
        <is>
          <t>Snapshot</t>
        </is>
      </c>
      <c r="F713" s="2" t="inlineStr">
        <is>
          <t>Mở lại dự án nêu snapshot gần nhất + khoảng cách</t>
        </is>
      </c>
      <c r="G713" s="2" t="inlineStr">
        <is>
          <t>MDD-40 E6</t>
        </is>
      </c>
      <c r="H713" s="6" t="inlineStr"/>
    </row>
    <row r="714">
      <c r="A714" s="2" t="inlineStr">
        <is>
          <t>A14.6.14</t>
        </is>
      </c>
      <c r="B714" s="2" t="inlineStr">
        <is>
          <t>Subagent: báo cáo ≤ 800 token, trạng thái 'dở dang' nếu chạm ngân sách</t>
        </is>
      </c>
      <c r="C714" s="2" t="n">
        <v>3</v>
      </c>
      <c r="D714" s="2" t="inlineStr">
        <is>
          <t>MEM-15</t>
        </is>
      </c>
      <c r="E714" s="2" t="inlineStr">
        <is>
          <t>Bộ nhớ &amp; nén (MEM-42)</t>
        </is>
      </c>
      <c r="F714" s="2" t="inlineStr">
        <is>
          <t>Subagent ngữ cảnh sạch, báo cáo ≤ 800 token; không C2</t>
        </is>
      </c>
      <c r="G714" s="2" t="inlineStr">
        <is>
          <t>EIDE-MEM-42</t>
        </is>
      </c>
      <c r="H714" s="6" t="inlineStr"/>
    </row>
    <row r="715">
      <c r="A715" s="2" t="inlineStr">
        <is>
          <t>A14.6.14</t>
        </is>
      </c>
      <c r="B715" s="2" t="inlineStr">
        <is>
          <t>Subagent: báo cáo ≤ 800 token, trạng thái 'dở dang' nếu chạm ngân sách</t>
        </is>
      </c>
      <c r="C715" s="2" t="n">
        <v>3</v>
      </c>
      <c r="D715" s="2" t="inlineStr">
        <is>
          <t>CX-subagent</t>
        </is>
      </c>
      <c r="E715" s="2" t="inlineStr">
        <is>
          <t>Ngữ cảnh tác tử</t>
        </is>
      </c>
      <c r="F715" s="2" t="inlineStr">
        <is>
          <t>Subagent đang chạy hiển thị trong Run</t>
        </is>
      </c>
      <c r="G715" s="2" t="inlineStr">
        <is>
          <t>MDD-40 B2/B5</t>
        </is>
      </c>
      <c r="H715" s="6" t="inlineStr"/>
    </row>
    <row r="716">
      <c r="A716" s="2" t="inlineStr">
        <is>
          <t>A14.6.15</t>
        </is>
      </c>
      <c r="B716" s="2" t="inlineStr">
        <is>
          <t>Dùng lại Fact đã xác nhận từ dự án khác (→ BẠC có nguồn gốc); retention/gc blob</t>
        </is>
      </c>
      <c r="C716" s="2" t="n">
        <v>3</v>
      </c>
      <c r="D716" s="2" t="inlineStr">
        <is>
          <t>MEM-20</t>
        </is>
      </c>
      <c r="E716" s="2" t="inlineStr">
        <is>
          <t>Bộ nhớ &amp; nén (MEM-42)</t>
        </is>
      </c>
      <c r="F716" s="2" t="inlineStr">
        <is>
          <t>Cache tài liệu M4 theo hash; Fact không đi theo cache; 'dùng lại Fact' tạo BẠC</t>
        </is>
      </c>
      <c r="G716" s="2" t="inlineStr">
        <is>
          <t>EIDE-MEM-42</t>
        </is>
      </c>
      <c r="H716" s="6" t="inlineStr"/>
    </row>
    <row r="717">
      <c r="A717" s="2" t="inlineStr">
        <is>
          <t>A14.6.15</t>
        </is>
      </c>
      <c r="B717" s="2" t="inlineStr">
        <is>
          <t>Dùng lại Fact đã xác nhận từ dự án khác (→ BẠC có nguồn gốc); retention/gc blob</t>
        </is>
      </c>
      <c r="C717" s="2" t="n">
        <v>3</v>
      </c>
      <c r="D717" s="2" t="inlineStr">
        <is>
          <t>MEM-19</t>
        </is>
      </c>
      <c r="E717" s="2" t="inlineStr">
        <is>
          <t>Bộ nhớ &amp; nén (MEM-42)</t>
        </is>
      </c>
      <c r="F717" s="2" t="inlineStr">
        <is>
          <t>Retention và gc blob theo tham chiếu</t>
        </is>
      </c>
      <c r="G717" s="2" t="inlineStr">
        <is>
          <t>EIDE-MEM-42</t>
        </is>
      </c>
      <c r="H717" s="6" t="inlineStr"/>
    </row>
    <row r="718">
      <c r="A718" s="2" t="inlineStr">
        <is>
          <t>A14.6.15</t>
        </is>
      </c>
      <c r="B718" s="2" t="inlineStr">
        <is>
          <t>Dùng lại Fact đã xác nhận từ dự án khác (→ BẠC có nguồn gốc); retention/gc blob</t>
        </is>
      </c>
      <c r="C718" s="2" t="n">
        <v>3</v>
      </c>
      <c r="D718" s="2" t="inlineStr">
        <is>
          <t>HA-confirm</t>
        </is>
      </c>
      <c r="E718" s="2" t="inlineStr">
        <is>
          <t>HumanAct</t>
        </is>
      </c>
      <c r="F718" s="2" t="inlineStr">
        <is>
          <t>Xác nhận/từ chối/sửa Fact hoặc nguồn</t>
        </is>
      </c>
      <c r="G718" s="2" t="inlineStr">
        <is>
          <t>MDD-40 D2</t>
        </is>
      </c>
      <c r="H718" s="6" t="inlineStr"/>
    </row>
    <row r="719">
      <c r="A719" s="2" t="inlineStr">
        <is>
          <t>A14.6.16</t>
        </is>
      </c>
      <c r="B719" s="2" t="inlineStr">
        <is>
          <t>Cửa sổ &lt;facts&gt; hiện thực thể được chọn và lý do; skill hết hạn 5 lượt được báo</t>
        </is>
      </c>
      <c r="C719" s="2" t="n">
        <v>3</v>
      </c>
      <c r="D719" s="2" t="inlineStr">
        <is>
          <t>MEM-21</t>
        </is>
      </c>
      <c r="E719" s="2" t="inlineStr">
        <is>
          <t>Bộ nhớ &amp; nén (MEM-42)</t>
        </is>
      </c>
      <c r="F719" s="2" t="inlineStr">
        <is>
          <t>&lt;facts&gt; chọn theo thực thể 3 lượt gần, ưu tiên tầng và độ gần</t>
        </is>
      </c>
      <c r="G719" s="2" t="inlineStr">
        <is>
          <t>EIDE-MEM-42</t>
        </is>
      </c>
      <c r="H719" s="6" t="inlineStr"/>
    </row>
    <row r="720">
      <c r="A720" s="2" t="inlineStr">
        <is>
          <t>A14.6.16</t>
        </is>
      </c>
      <c r="B720" s="2" t="inlineStr">
        <is>
          <t>Cửa sổ &lt;facts&gt; hiện thực thể được chọn và lý do; skill hết hạn 5 lượt được báo</t>
        </is>
      </c>
      <c r="C720" s="2" t="n">
        <v>3</v>
      </c>
      <c r="D720" s="2" t="inlineStr">
        <is>
          <t>MEM-22</t>
        </is>
      </c>
      <c r="E720" s="2" t="inlineStr">
        <is>
          <t>Bộ nhớ &amp; nén (MEM-42)</t>
        </is>
      </c>
      <c r="F720" s="2" t="inlineStr">
        <is>
          <t>Skill không dùng 5 lượt bị bỏ khỏi ngữ cảnh</t>
        </is>
      </c>
      <c r="G720" s="2" t="inlineStr">
        <is>
          <t>EIDE-MEM-42</t>
        </is>
      </c>
      <c r="H720" s="6" t="inlineStr"/>
    </row>
    <row r="721">
      <c r="A721" s="2" t="inlineStr">
        <is>
          <t>A14.6.16</t>
        </is>
      </c>
      <c r="B721" s="2" t="inlineStr">
        <is>
          <t>Cửa sổ &lt;facts&gt; hiện thực thể được chọn và lý do; skill hết hạn 5 lượt được báo</t>
        </is>
      </c>
      <c r="C721" s="2" t="n">
        <v>3</v>
      </c>
      <c r="D721" s="2" t="inlineStr">
        <is>
          <t>CX-skills</t>
        </is>
      </c>
      <c r="E721" s="2" t="inlineStr">
        <is>
          <t>Ngữ cảnh tác tử</t>
        </is>
      </c>
      <c r="F721" s="2" t="inlineStr">
        <is>
          <t>Skill đang nạp / gợi ý</t>
        </is>
      </c>
      <c r="G721" s="2" t="inlineStr">
        <is>
          <t>MDD-40 B2/B5</t>
        </is>
      </c>
      <c r="H721" s="6" t="inlineStr"/>
    </row>
    <row r="722">
      <c r="A722" s="2" t="inlineStr">
        <is>
          <t>A14.5</t>
        </is>
      </c>
      <c r="B722" s="2" t="inlineStr">
        <is>
          <t>Tài liệu &amp; truy vết</t>
        </is>
      </c>
      <c r="C722" s="2" t="n">
        <v>2</v>
      </c>
      <c r="D722" s="2" t="inlineStr">
        <is>
          <t>UC16</t>
        </is>
      </c>
      <c r="E722" s="2" t="inlineStr">
        <is>
          <t>Usecase</t>
        </is>
      </c>
      <c r="F722" s="2" t="inlineStr">
        <is>
          <t>Tài liệu &amp; truy vết</t>
        </is>
      </c>
      <c r="G722" s="2" t="inlineStr">
        <is>
          <t>Excel 76 TC</t>
        </is>
      </c>
      <c r="H722" s="6" t="inlineStr"/>
    </row>
    <row r="723">
      <c r="A723" s="2" t="inlineStr">
        <is>
          <t>A14.5.1</t>
        </is>
      </c>
      <c r="B723" s="2" t="inlineStr">
        <is>
          <t>Sinh tài liệu thiết kế/hướng dẫn; đánh dấu phần lỗi thời sau khi sửa</t>
        </is>
      </c>
      <c r="C723" s="2" t="n">
        <v>3</v>
      </c>
      <c r="D723" s="2" t="inlineStr">
        <is>
          <t>UC16</t>
        </is>
      </c>
      <c r="E723" s="2" t="inlineStr">
        <is>
          <t>Usecase</t>
        </is>
      </c>
      <c r="F723" s="2" t="inlineStr">
        <is>
          <t>Tài liệu &amp; truy vết</t>
        </is>
      </c>
      <c r="G723" s="2" t="inlineStr">
        <is>
          <t>Excel 76 TC</t>
        </is>
      </c>
      <c r="H723" s="6" t="inlineStr"/>
    </row>
    <row r="724">
      <c r="A724" s="2" t="inlineStr">
        <is>
          <t>A14.5.1</t>
        </is>
      </c>
      <c r="B724" s="2" t="inlineStr">
        <is>
          <t>Sinh tài liệu thiết kế/hướng dẫn; đánh dấu phần lỗi thời sau khi sửa</t>
        </is>
      </c>
      <c r="C724" s="2" t="n">
        <v>3</v>
      </c>
      <c r="D724" s="2" t="inlineStr">
        <is>
          <t>CS-stale</t>
        </is>
      </c>
      <c r="E724" s="2" t="inlineStr">
        <is>
          <t>Changeset &amp; rollback</t>
        </is>
      </c>
      <c r="F724" s="2" t="inlineStr">
        <is>
          <t>Đồ thị phụ thuộc + STALE + chấp nhận STALE</t>
        </is>
      </c>
      <c r="G724" s="2" t="inlineStr">
        <is>
          <t>MDD-40 E5</t>
        </is>
      </c>
      <c r="H724" s="6" t="inlineStr"/>
    </row>
    <row r="725">
      <c r="A725" s="2" t="inlineStr">
        <is>
          <t>A14.5.1</t>
        </is>
      </c>
      <c r="B725" s="2" t="inlineStr">
        <is>
          <t>Sinh tài liệu thiết kế/hướng dẫn; đánh dấu phần lỗi thời sau khi sửa</t>
        </is>
      </c>
      <c r="C725" s="2" t="n">
        <v>3</v>
      </c>
      <c r="D725" s="2" t="inlineStr">
        <is>
          <t>TL-trace</t>
        </is>
      </c>
      <c r="E725" s="2" t="inlineStr">
        <is>
          <t>Năng lực chuyên môn</t>
        </is>
      </c>
      <c r="F725" s="2" t="inlineStr">
        <is>
          <t>Ma trận truy vết yêu cầu↔thiết kế↔mã↔test</t>
        </is>
      </c>
      <c r="G725" s="2" t="inlineStr">
        <is>
          <t>MDD-40 B3/UC</t>
        </is>
      </c>
      <c r="H725"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3"/>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70" customWidth="1" min="3" max="3"/>
    <col width="18" customWidth="1" min="4" max="4"/>
    <col width="14" customWidth="1" min="5" max="5"/>
    <col width="14" customWidth="1" min="6" max="6"/>
    <col width="18" customWidth="1" min="7" max="7"/>
    <col width="30" customWidth="1" min="8" max="8"/>
  </cols>
  <sheetData>
    <row r="1" ht="30" customHeight="1">
      <c r="A1" s="1" t="inlineStr">
        <is>
          <t>Mã yêu cầu</t>
        </is>
      </c>
      <c r="B1" s="1" t="inlineStr">
        <is>
          <t>Nhóm</t>
        </is>
      </c>
      <c r="C1" s="1" t="inlineStr">
        <is>
          <t>Mô tả</t>
        </is>
      </c>
      <c r="D1" s="1" t="inlineStr">
        <is>
          <t>Nguồn §</t>
        </is>
      </c>
      <c r="E1" s="1" t="inlineStr">
        <is>
          <t>Số UI ánh xạ (công thức)</t>
        </is>
      </c>
      <c r="F1" s="1" t="inlineStr">
        <is>
          <t>Trạng thái phủ</t>
        </is>
      </c>
      <c r="G1" s="1" t="inlineStr">
        <is>
          <t>Trạng thái hiện thực</t>
        </is>
      </c>
      <c r="H1" s="1" t="inlineStr">
        <is>
          <t>Ghi chú rà soát</t>
        </is>
      </c>
    </row>
    <row r="2">
      <c r="A2" s="2" t="inlineStr">
        <is>
          <t>N1</t>
        </is>
      </c>
      <c r="B2" s="2" t="inlineStr">
        <is>
          <t>Nguyên tắc</t>
        </is>
      </c>
      <c r="C2" s="2" t="inlineStr">
        <is>
          <t>Datasheet là nguồn sự thật — mọi con số truy vết tới tài liệu/trang</t>
        </is>
      </c>
      <c r="D2" s="2" t="inlineStr">
        <is>
          <t>MDD-40 A3</t>
        </is>
      </c>
      <c r="E2" s="2">
        <f>COUNTIF('Anh xa'!$D$2:$D$725,A2)</f>
        <v/>
      </c>
      <c r="F2" s="2">
        <f>IF(E2&gt;0,"Đã phủ","THIẾU")</f>
        <v/>
      </c>
      <c r="G2" s="6" t="inlineStr">
        <is>
          <t>Chưa làm</t>
        </is>
      </c>
      <c r="H2" s="6" t="inlineStr"/>
    </row>
    <row r="3">
      <c r="A3" s="2" t="inlineStr">
        <is>
          <t>N2</t>
        </is>
      </c>
      <c r="B3" s="2" t="inlineStr">
        <is>
          <t>Nguyên tắc</t>
        </is>
      </c>
      <c r="C3" s="2" t="inlineStr">
        <is>
          <t>Bốn tầng tin cậy VÀNG/BẠC/NGƯỜI/ĐỒNG; ĐỒNG không là vế so sánh</t>
        </is>
      </c>
      <c r="D3" s="2" t="inlineStr">
        <is>
          <t>MDD-40 A3</t>
        </is>
      </c>
      <c r="E3" s="2">
        <f>COUNTIF('Anh xa'!$D$2:$D$725,A3)</f>
        <v/>
      </c>
      <c r="F3" s="2">
        <f>IF(E3&gt;0,"Đã phủ","THIẾU")</f>
        <v/>
      </c>
      <c r="G3" s="6" t="inlineStr">
        <is>
          <t>Chưa làm</t>
        </is>
      </c>
      <c r="H3" s="6" t="inlineStr"/>
    </row>
    <row r="4">
      <c r="A4" s="2" t="inlineStr">
        <is>
          <t>N3</t>
        </is>
      </c>
      <c r="B4" s="2" t="inlineStr">
        <is>
          <t>Nguyên tắc</t>
        </is>
      </c>
      <c r="C4" s="2" t="inlineStr">
        <is>
          <t>Kiểm kê xác định — tình trạng dự án do mã dựng, hiển thị cho người</t>
        </is>
      </c>
      <c r="D4" s="2" t="inlineStr">
        <is>
          <t>MDD-40 A3</t>
        </is>
      </c>
      <c r="E4" s="2">
        <f>COUNTIF('Anh xa'!$D$2:$D$725,A4)</f>
        <v/>
      </c>
      <c r="F4" s="2">
        <f>IF(E4&gt;0,"Đã phủ","THIẾU")</f>
        <v/>
      </c>
      <c r="G4" s="6" t="inlineStr">
        <is>
          <t>Chưa làm</t>
        </is>
      </c>
      <c r="H4" s="6" t="inlineStr"/>
    </row>
    <row r="5">
      <c r="A5" s="2" t="inlineStr">
        <is>
          <t>N4</t>
        </is>
      </c>
      <c r="B5" s="2" t="inlineStr">
        <is>
          <t>Nguyên tắc</t>
        </is>
      </c>
      <c r="C5" s="2" t="inlineStr">
        <is>
          <t>Hỏi một cụm, ≤ 2 lần/lượt, nói ra giả định</t>
        </is>
      </c>
      <c r="D5" s="2" t="inlineStr">
        <is>
          <t>MDD-40 A3</t>
        </is>
      </c>
      <c r="E5" s="2">
        <f>COUNTIF('Anh xa'!$D$2:$D$725,A5)</f>
        <v/>
      </c>
      <c r="F5" s="2">
        <f>IF(E5&gt;0,"Đã phủ","THIẾU")</f>
        <v/>
      </c>
      <c r="G5" s="6" t="inlineStr">
        <is>
          <t>Chưa làm</t>
        </is>
      </c>
      <c r="H5" s="6" t="inlineStr"/>
    </row>
    <row r="6">
      <c r="A6" s="2" t="inlineStr">
        <is>
          <t>N5</t>
        </is>
      </c>
      <c r="B6" s="2" t="inlineStr">
        <is>
          <t>Nguyên tắc</t>
        </is>
      </c>
      <c r="C6" s="2" t="inlineStr">
        <is>
          <t>Cổng an toàn đứng trước phép đoán (S0, G-OPS never_auto)</t>
        </is>
      </c>
      <c r="D6" s="2" t="inlineStr">
        <is>
          <t>MDD-40 A3</t>
        </is>
      </c>
      <c r="E6" s="2">
        <f>COUNTIF('Anh xa'!$D$2:$D$725,A6)</f>
        <v/>
      </c>
      <c r="F6" s="2">
        <f>IF(E6&gt;0,"Đã phủ","THIẾU")</f>
        <v/>
      </c>
      <c r="G6" s="6" t="inlineStr">
        <is>
          <t>Chưa làm</t>
        </is>
      </c>
      <c r="H6" s="6" t="inlineStr"/>
    </row>
    <row r="7">
      <c r="A7" s="2" t="inlineStr">
        <is>
          <t>N6</t>
        </is>
      </c>
      <c r="B7" s="2" t="inlineStr">
        <is>
          <t>Nguyên tắc</t>
        </is>
      </c>
      <c r="C7" s="2" t="inlineStr">
        <is>
          <t>Không đạt giả — tiêu chí của người; log rỗng ≠ đạt; phần chưa mô phỏng nói rõ</t>
        </is>
      </c>
      <c r="D7" s="2" t="inlineStr">
        <is>
          <t>MDD-40 A3</t>
        </is>
      </c>
      <c r="E7" s="2">
        <f>COUNTIF('Anh xa'!$D$2:$D$725,A7)</f>
        <v/>
      </c>
      <c r="F7" s="2">
        <f>IF(E7&gt;0,"Đã phủ","THIẾU")</f>
        <v/>
      </c>
      <c r="G7" s="6" t="inlineStr">
        <is>
          <t>Chưa làm</t>
        </is>
      </c>
      <c r="H7" s="6" t="inlineStr"/>
    </row>
    <row r="8">
      <c r="A8" s="2" t="inlineStr">
        <is>
          <t>N7</t>
        </is>
      </c>
      <c r="B8" s="2" t="inlineStr">
        <is>
          <t>Nguyên tắc</t>
        </is>
      </c>
      <c r="C8" s="2" t="inlineStr">
        <is>
          <t>Chỉ thị cho tác tử ≠ yêu cầu sản phẩm; rủi ro tách riêng</t>
        </is>
      </c>
      <c r="D8" s="2" t="inlineStr">
        <is>
          <t>MDD-40 A3</t>
        </is>
      </c>
      <c r="E8" s="2">
        <f>COUNTIF('Anh xa'!$D$2:$D$725,A8)</f>
        <v/>
      </c>
      <c r="F8" s="2">
        <f>IF(E8&gt;0,"Đã phủ","THIẾU")</f>
        <v/>
      </c>
      <c r="G8" s="6" t="inlineStr">
        <is>
          <t>Chưa làm</t>
        </is>
      </c>
      <c r="H8" s="6" t="inlineStr"/>
    </row>
    <row r="9">
      <c r="A9" s="2" t="inlineStr">
        <is>
          <t>N8</t>
        </is>
      </c>
      <c r="B9" s="2" t="inlineStr">
        <is>
          <t>Nguyên tắc</t>
        </is>
      </c>
      <c r="C9" s="2" t="inlineStr">
        <is>
          <t>Mọi thứ tác tử làm ra có dạng người hiểu được (lớp giải thích 6 trường)</t>
        </is>
      </c>
      <c r="D9" s="2" t="inlineStr">
        <is>
          <t>MDD-40 A3</t>
        </is>
      </c>
      <c r="E9" s="2">
        <f>COUNTIF('Anh xa'!$D$2:$D$725,A9)</f>
        <v/>
      </c>
      <c r="F9" s="2">
        <f>IF(E9&gt;0,"Đã phủ","THIẾU")</f>
        <v/>
      </c>
      <c r="G9" s="6" t="inlineStr">
        <is>
          <t>Chưa làm</t>
        </is>
      </c>
      <c r="H9" s="6" t="inlineStr"/>
    </row>
    <row r="10">
      <c r="A10" s="2" t="inlineStr">
        <is>
          <t>N9</t>
        </is>
      </c>
      <c r="B10" s="2" t="inlineStr">
        <is>
          <t>Nguyên tắc</t>
        </is>
      </c>
      <c r="C10" s="2" t="inlineStr">
        <is>
          <t>Mọi thay đổi là changeset hoàn tác được; sửa của người được tác tử biết; snapshot bất biến</t>
        </is>
      </c>
      <c r="D10" s="2" t="inlineStr">
        <is>
          <t>MDD-40 A3</t>
        </is>
      </c>
      <c r="E10" s="2">
        <f>COUNTIF('Anh xa'!$D$2:$D$725,A10)</f>
        <v/>
      </c>
      <c r="F10" s="2">
        <f>IF(E10&gt;0,"Đã phủ","THIẾU")</f>
        <v/>
      </c>
      <c r="G10" s="6" t="inlineStr">
        <is>
          <t>Chưa làm</t>
        </is>
      </c>
      <c r="H10" s="6" t="inlineStr"/>
    </row>
    <row r="11">
      <c r="A11" s="2" t="inlineStr">
        <is>
          <t>I1</t>
        </is>
      </c>
      <c r="B11" s="2" t="inlineStr">
        <is>
          <t>Bất biến giao thức</t>
        </is>
      </c>
      <c r="C11" s="2" t="inlineStr">
        <is>
          <t>Một cửa vào: console.act / HumanAct</t>
        </is>
      </c>
      <c r="D11" s="2" t="inlineStr">
        <is>
          <t>MDD-40 D1</t>
        </is>
      </c>
      <c r="E11" s="2">
        <f>COUNTIF('Anh xa'!$D$2:$D$725,A11)</f>
        <v/>
      </c>
      <c r="F11" s="2">
        <f>IF(E11&gt;0,"Đã phủ","THIẾU")</f>
        <v/>
      </c>
      <c r="G11" s="6" t="inlineStr">
        <is>
          <t>Chưa làm</t>
        </is>
      </c>
      <c r="H11" s="6" t="inlineStr"/>
    </row>
    <row r="12">
      <c r="A12" s="2" t="inlineStr">
        <is>
          <t>I2</t>
        </is>
      </c>
      <c r="B12" s="2" t="inlineStr">
        <is>
          <t>Bất biến giao thức</t>
        </is>
      </c>
      <c r="C12" s="2" t="inlineStr">
        <is>
          <t>Một dòng hội thoại: mọi HumanAct và lời tác tử trong transcript</t>
        </is>
      </c>
      <c r="D12" s="2" t="inlineStr">
        <is>
          <t>MDD-40 D1</t>
        </is>
      </c>
      <c r="E12" s="2">
        <f>COUNTIF('Anh xa'!$D$2:$D$725,A12)</f>
        <v/>
      </c>
      <c r="F12" s="2">
        <f>IF(E12&gt;0,"Đã phủ","THIẾU")</f>
        <v/>
      </c>
      <c r="G12" s="6" t="inlineStr">
        <is>
          <t>Chưa làm</t>
        </is>
      </c>
      <c r="H12" s="6" t="inlineStr"/>
    </row>
    <row r="13">
      <c r="A13" s="2" t="inlineStr">
        <is>
          <t>I3</t>
        </is>
      </c>
      <c r="B13" s="2" t="inlineStr">
        <is>
          <t>Bất biến giao thức</t>
        </is>
      </c>
      <c r="C13" s="2" t="inlineStr">
        <is>
          <t>Giao diện không quyết — chỉ render SurfaceModel/Card</t>
        </is>
      </c>
      <c r="D13" s="2" t="inlineStr">
        <is>
          <t>MDD-40 D1</t>
        </is>
      </c>
      <c r="E13" s="2">
        <f>COUNTIF('Anh xa'!$D$2:$D$725,A13)</f>
        <v/>
      </c>
      <c r="F13" s="2">
        <f>IF(E13&gt;0,"Đã phủ","THIẾU")</f>
        <v/>
      </c>
      <c r="G13" s="6" t="inlineStr">
        <is>
          <t>Chưa làm</t>
        </is>
      </c>
      <c r="H13" s="6" t="inlineStr"/>
    </row>
    <row r="14">
      <c r="A14" s="2" t="inlineStr">
        <is>
          <t>I4</t>
        </is>
      </c>
      <c r="B14" s="2" t="inlineStr">
        <is>
          <t>Bất biến giao thức</t>
        </is>
      </c>
      <c r="C14" s="2" t="inlineStr">
        <is>
          <t>Lõi không biết giao diện — chỉ thấy HumanAct + origin</t>
        </is>
      </c>
      <c r="D14" s="2" t="inlineStr">
        <is>
          <t>MDD-40 D1</t>
        </is>
      </c>
      <c r="E14" s="2">
        <f>COUNTIF('Anh xa'!$D$2:$D$725,A14)</f>
        <v/>
      </c>
      <c r="F14" s="2">
        <f>IF(E14&gt;0,"Đã phủ","THIẾU")</f>
        <v/>
      </c>
      <c r="G14" s="6" t="inlineStr">
        <is>
          <t>Chưa làm</t>
        </is>
      </c>
      <c r="H14" s="6" t="inlineStr"/>
    </row>
    <row r="15">
      <c r="A15" s="2" t="inlineStr">
        <is>
          <t>I5</t>
        </is>
      </c>
      <c r="B15" s="2" t="inlineStr">
        <is>
          <t>Bất biến giao thức</t>
        </is>
      </c>
      <c r="C15" s="2" t="inlineStr">
        <is>
          <t>Có thứ tự, không trùng, khôi phục được (seq/resume)</t>
        </is>
      </c>
      <c r="D15" s="2" t="inlineStr">
        <is>
          <t>MDD-40 D1</t>
        </is>
      </c>
      <c r="E15" s="2">
        <f>COUNTIF('Anh xa'!$D$2:$D$725,A15)</f>
        <v/>
      </c>
      <c r="F15" s="2">
        <f>IF(E15&gt;0,"Đã phủ","THIẾU")</f>
        <v/>
      </c>
      <c r="G15" s="6" t="inlineStr">
        <is>
          <t>Chưa làm</t>
        </is>
      </c>
      <c r="H15" s="6" t="inlineStr"/>
    </row>
    <row r="16">
      <c r="A16" s="2" t="inlineStr">
        <is>
          <t>I6</t>
        </is>
      </c>
      <c r="B16" s="2" t="inlineStr">
        <is>
          <t>Bất biến giao thức</t>
        </is>
      </c>
      <c r="C16" s="2" t="inlineStr">
        <is>
          <t>Cổng là thẻ riêng — text 'có' không mở cổng</t>
        </is>
      </c>
      <c r="D16" s="2" t="inlineStr">
        <is>
          <t>MDD-40 D1</t>
        </is>
      </c>
      <c r="E16" s="2">
        <f>COUNTIF('Anh xa'!$D$2:$D$725,A16)</f>
        <v/>
      </c>
      <c r="F16" s="2">
        <f>IF(E16&gt;0,"Đã phủ","THIẾU")</f>
        <v/>
      </c>
      <c r="G16" s="6" t="inlineStr">
        <is>
          <t>Chưa làm</t>
        </is>
      </c>
      <c r="H16" s="6" t="inlineStr"/>
    </row>
    <row r="17">
      <c r="A17" s="2" t="inlineStr">
        <is>
          <t>C1</t>
        </is>
      </c>
      <c r="B17" s="2" t="inlineStr">
        <is>
          <t>Chặng</t>
        </is>
      </c>
      <c r="C17" s="2" t="inlineStr">
        <is>
          <t>Làm rõ ý tưởng &amp; đề xuất giải pháp</t>
        </is>
      </c>
      <c r="D17" s="2" t="inlineStr">
        <is>
          <t>MDD-40 A4</t>
        </is>
      </c>
      <c r="E17" s="2">
        <f>COUNTIF('Anh xa'!$D$2:$D$725,A17)</f>
        <v/>
      </c>
      <c r="F17" s="2">
        <f>IF(E17&gt;0,"Đã phủ","THIẾU")</f>
        <v/>
      </c>
      <c r="G17" s="6" t="inlineStr">
        <is>
          <t>Chưa làm</t>
        </is>
      </c>
      <c r="H17" s="6" t="inlineStr"/>
    </row>
    <row r="18">
      <c r="A18" s="2" t="inlineStr">
        <is>
          <t>C2</t>
        </is>
      </c>
      <c r="B18" s="2" t="inlineStr">
        <is>
          <t>Chặng</t>
        </is>
      </c>
      <c r="C18" s="2" t="inlineStr">
        <is>
          <t>Tài liệu &amp; Bản đồ tri thức mạch</t>
        </is>
      </c>
      <c r="D18" s="2" t="inlineStr">
        <is>
          <t>MDD-40 A4</t>
        </is>
      </c>
      <c r="E18" s="2">
        <f>COUNTIF('Anh xa'!$D$2:$D$725,A18)</f>
        <v/>
      </c>
      <c r="F18" s="2">
        <f>IF(E18&gt;0,"Đã phủ","THIẾU")</f>
        <v/>
      </c>
      <c r="G18" s="6" t="inlineStr">
        <is>
          <t>Chưa làm</t>
        </is>
      </c>
      <c r="H18" s="6" t="inlineStr"/>
    </row>
    <row r="19">
      <c r="A19" s="2" t="inlineStr">
        <is>
          <t>C3</t>
        </is>
      </c>
      <c r="B19" s="2" t="inlineStr">
        <is>
          <t>Chặng</t>
        </is>
      </c>
      <c r="C19" s="2" t="inlineStr">
        <is>
          <t>Môi trường công cụ</t>
        </is>
      </c>
      <c r="D19" s="2" t="inlineStr">
        <is>
          <t>MDD-40 A4</t>
        </is>
      </c>
      <c r="E19" s="2">
        <f>COUNTIF('Anh xa'!$D$2:$D$725,A19)</f>
        <v/>
      </c>
      <c r="F19" s="2">
        <f>IF(E19&gt;0,"Đã phủ","THIẾU")</f>
        <v/>
      </c>
      <c r="G19" s="6" t="inlineStr">
        <is>
          <t>Chưa làm</t>
        </is>
      </c>
      <c r="H19" s="6" t="inlineStr"/>
    </row>
    <row r="20">
      <c r="A20" s="2" t="inlineStr">
        <is>
          <t>C4</t>
        </is>
      </c>
      <c r="B20" s="2" t="inlineStr">
        <is>
          <t>Chặng</t>
        </is>
      </c>
      <c r="C20" s="2" t="inlineStr">
        <is>
          <t>Firmware</t>
        </is>
      </c>
      <c r="D20" s="2" t="inlineStr">
        <is>
          <t>MDD-40 A4</t>
        </is>
      </c>
      <c r="E20" s="2">
        <f>COUNTIF('Anh xa'!$D$2:$D$725,A20)</f>
        <v/>
      </c>
      <c r="F20" s="2">
        <f>IF(E20&gt;0,"Đã phủ","THIẾU")</f>
        <v/>
      </c>
      <c r="G20" s="6" t="inlineStr">
        <is>
          <t>Chưa làm</t>
        </is>
      </c>
      <c r="H20" s="6" t="inlineStr"/>
    </row>
    <row r="21">
      <c r="A21" s="2" t="inlineStr">
        <is>
          <t>C5</t>
        </is>
      </c>
      <c r="B21" s="2" t="inlineStr">
        <is>
          <t>Chặng</t>
        </is>
      </c>
      <c r="C21" s="2" t="inlineStr">
        <is>
          <t>Mô phỏng</t>
        </is>
      </c>
      <c r="D21" s="2" t="inlineStr">
        <is>
          <t>MDD-40 A4</t>
        </is>
      </c>
      <c r="E21" s="2">
        <f>COUNTIF('Anh xa'!$D$2:$D$725,A21)</f>
        <v/>
      </c>
      <c r="F21" s="2">
        <f>IF(E21&gt;0,"Đã phủ","THIẾU")</f>
        <v/>
      </c>
      <c r="G21" s="6" t="inlineStr">
        <is>
          <t>Chưa làm</t>
        </is>
      </c>
      <c r="H21" s="6" t="inlineStr"/>
    </row>
    <row r="22">
      <c r="A22" s="2" t="inlineStr">
        <is>
          <t>C6</t>
        </is>
      </c>
      <c r="B22" s="2" t="inlineStr">
        <is>
          <t>Chặng</t>
        </is>
      </c>
      <c r="C22" s="2" t="inlineStr">
        <is>
          <t>Mạch thật</t>
        </is>
      </c>
      <c r="D22" s="2" t="inlineStr">
        <is>
          <t>MDD-40 A4</t>
        </is>
      </c>
      <c r="E22" s="2">
        <f>COUNTIF('Anh xa'!$D$2:$D$725,A22)</f>
        <v/>
      </c>
      <c r="F22" s="2">
        <f>IF(E22&gt;0,"Đã phủ","THIẾU")</f>
        <v/>
      </c>
      <c r="G22" s="6" t="inlineStr">
        <is>
          <t>Chưa làm</t>
        </is>
      </c>
      <c r="H22" s="6" t="inlineStr"/>
    </row>
    <row r="23">
      <c r="A23" s="2" t="inlineStr">
        <is>
          <t>C7</t>
        </is>
      </c>
      <c r="B23" s="2" t="inlineStr">
        <is>
          <t>Chặng</t>
        </is>
      </c>
      <c r="C23" s="2" t="inlineStr">
        <is>
          <t>Xuyên suốt (lịch sử, snapshot, sổ cái, tài liệu, báo cáo)</t>
        </is>
      </c>
      <c r="D23" s="2" t="inlineStr">
        <is>
          <t>MDD-40 A4</t>
        </is>
      </c>
      <c r="E23" s="2">
        <f>COUNTIF('Anh xa'!$D$2:$D$725,A23)</f>
        <v/>
      </c>
      <c r="F23" s="2">
        <f>IF(E23&gt;0,"Đã phủ","THIẾU")</f>
        <v/>
      </c>
      <c r="G23" s="6" t="inlineStr">
        <is>
          <t>Chưa làm</t>
        </is>
      </c>
      <c r="H23" s="6" t="inlineStr"/>
    </row>
    <row r="24">
      <c r="A24" s="2" t="inlineStr">
        <is>
          <t>UC01</t>
        </is>
      </c>
      <c r="B24" s="2" t="inlineStr">
        <is>
          <t>Usecase</t>
        </is>
      </c>
      <c r="C24" s="2" t="inlineStr">
        <is>
          <t>Làm rõ ý tưởng và đề xuất phương án</t>
        </is>
      </c>
      <c r="D24" s="2" t="inlineStr">
        <is>
          <t>Excel 76 TC</t>
        </is>
      </c>
      <c r="E24" s="2">
        <f>COUNTIF('Anh xa'!$D$2:$D$725,A24)</f>
        <v/>
      </c>
      <c r="F24" s="2">
        <f>IF(E24&gt;0,"Đã phủ","THIẾU")</f>
        <v/>
      </c>
      <c r="G24" s="6" t="inlineStr">
        <is>
          <t>Chưa làm</t>
        </is>
      </c>
      <c r="H24" s="6" t="inlineStr"/>
    </row>
    <row r="25">
      <c r="A25" s="2" t="inlineStr">
        <is>
          <t>UC02</t>
        </is>
      </c>
      <c r="B25" s="2" t="inlineStr">
        <is>
          <t>Usecase</t>
        </is>
      </c>
      <c r="C25" s="2" t="inlineStr">
        <is>
          <t>Từ phương án đến thiết kế mạch</t>
        </is>
      </c>
      <c r="D25" s="2" t="inlineStr">
        <is>
          <t>Excel 76 TC</t>
        </is>
      </c>
      <c r="E25" s="2">
        <f>COUNTIF('Anh xa'!$D$2:$D$725,A25)</f>
        <v/>
      </c>
      <c r="F25" s="2">
        <f>IF(E25&gt;0,"Đã phủ","THIẾU")</f>
        <v/>
      </c>
      <c r="G25" s="6" t="inlineStr">
        <is>
          <t>Chưa làm</t>
        </is>
      </c>
      <c r="H25" s="6" t="inlineStr"/>
    </row>
    <row r="26">
      <c r="A26" s="2" t="inlineStr">
        <is>
          <t>UC03</t>
        </is>
      </c>
      <c r="B26" s="2" t="inlineStr">
        <is>
          <t>Usecase</t>
        </is>
      </c>
      <c r="C26" s="2" t="inlineStr">
        <is>
          <t>Sinh firmware, biên dịch, mô phỏng</t>
        </is>
      </c>
      <c r="D26" s="2" t="inlineStr">
        <is>
          <t>Excel 76 TC</t>
        </is>
      </c>
      <c r="E26" s="2">
        <f>COUNTIF('Anh xa'!$D$2:$D$725,A26)</f>
        <v/>
      </c>
      <c r="F26" s="2">
        <f>IF(E26&gt;0,"Đã phủ","THIẾU")</f>
        <v/>
      </c>
      <c r="G26" s="6" t="inlineStr">
        <is>
          <t>Chưa làm</t>
        </is>
      </c>
      <c r="H26" s="6" t="inlineStr"/>
    </row>
    <row r="27">
      <c r="A27" s="2" t="inlineStr">
        <is>
          <t>UC04</t>
        </is>
      </c>
      <c r="B27" s="2" t="inlineStr">
        <is>
          <t>Usecase</t>
        </is>
      </c>
      <c r="C27" s="2" t="inlineStr">
        <is>
          <t>Nhập thiết kế có sẵn → mô phỏng → sửa code</t>
        </is>
      </c>
      <c r="D27" s="2" t="inlineStr">
        <is>
          <t>Excel 76 TC</t>
        </is>
      </c>
      <c r="E27" s="2">
        <f>COUNTIF('Anh xa'!$D$2:$D$725,A27)</f>
        <v/>
      </c>
      <c r="F27" s="2">
        <f>IF(E27&gt;0,"Đã phủ","THIẾU")</f>
        <v/>
      </c>
      <c r="G27" s="6" t="inlineStr">
        <is>
          <t>Chưa làm</t>
        </is>
      </c>
      <c r="H27" s="6" t="inlineStr"/>
    </row>
    <row r="28">
      <c r="A28" s="2" t="inlineStr">
        <is>
          <t>UC05</t>
        </is>
      </c>
      <c r="B28" s="2" t="inlineStr">
        <is>
          <t>Usecase</t>
        </is>
      </c>
      <c r="C28" s="2" t="inlineStr">
        <is>
          <t>Nạp mạch thật và gỡ lỗi</t>
        </is>
      </c>
      <c r="D28" s="2" t="inlineStr">
        <is>
          <t>Excel 76 TC</t>
        </is>
      </c>
      <c r="E28" s="2">
        <f>COUNTIF('Anh xa'!$D$2:$D$725,A28)</f>
        <v/>
      </c>
      <c r="F28" s="2">
        <f>IF(E28&gt;0,"Đã phủ","THIẾU")</f>
        <v/>
      </c>
      <c r="G28" s="6" t="inlineStr">
        <is>
          <t>Chưa làm</t>
        </is>
      </c>
      <c r="H28" s="6" t="inlineStr"/>
    </row>
    <row r="29">
      <c r="A29" s="2" t="inlineStr">
        <is>
          <t>UC06</t>
        </is>
      </c>
      <c r="B29" s="2" t="inlineStr">
        <is>
          <t>Usecase</t>
        </is>
      </c>
      <c r="C29" s="2" t="inlineStr">
        <is>
          <t>Rà soát thiết kế</t>
        </is>
      </c>
      <c r="D29" s="2" t="inlineStr">
        <is>
          <t>Excel 76 TC</t>
        </is>
      </c>
      <c r="E29" s="2">
        <f>COUNTIF('Anh xa'!$D$2:$D$725,A29)</f>
        <v/>
      </c>
      <c r="F29" s="2">
        <f>IF(E29&gt;0,"Đã phủ","THIẾU")</f>
        <v/>
      </c>
      <c r="G29" s="6" t="inlineStr">
        <is>
          <t>Chưa làm</t>
        </is>
      </c>
      <c r="H29" s="6" t="inlineStr"/>
    </row>
    <row r="30">
      <c r="A30" s="2" t="inlineStr">
        <is>
          <t>UC07</t>
        </is>
      </c>
      <c r="B30" s="2" t="inlineStr">
        <is>
          <t>Usecase</t>
        </is>
      </c>
      <c r="C30" s="2" t="inlineStr">
        <is>
          <t>Hỏi đáp datasheet có trích trang</t>
        </is>
      </c>
      <c r="D30" s="2" t="inlineStr">
        <is>
          <t>Excel 76 TC</t>
        </is>
      </c>
      <c r="E30" s="2">
        <f>COUNTIF('Anh xa'!$D$2:$D$725,A30)</f>
        <v/>
      </c>
      <c r="F30" s="2">
        <f>IF(E30&gt;0,"Đã phủ","THIẾU")</f>
        <v/>
      </c>
      <c r="G30" s="6" t="inlineStr">
        <is>
          <t>Chưa làm</t>
        </is>
      </c>
      <c r="H30" s="6" t="inlineStr"/>
    </row>
    <row r="31">
      <c r="A31" s="2" t="inlineStr">
        <is>
          <t>UC08</t>
        </is>
      </c>
      <c r="B31" s="2" t="inlineStr">
        <is>
          <t>Usecase</t>
        </is>
      </c>
      <c r="C31" s="2" t="inlineStr">
        <is>
          <t>Thay thế linh kiện</t>
        </is>
      </c>
      <c r="D31" s="2" t="inlineStr">
        <is>
          <t>Excel 76 TC</t>
        </is>
      </c>
      <c r="E31" s="2">
        <f>COUNTIF('Anh xa'!$D$2:$D$725,A31)</f>
        <v/>
      </c>
      <c r="F31" s="2">
        <f>IF(E31&gt;0,"Đã phủ","THIẾU")</f>
        <v/>
      </c>
      <c r="G31" s="6" t="inlineStr">
        <is>
          <t>Chưa làm</t>
        </is>
      </c>
      <c r="H31" s="6" t="inlineStr"/>
    </row>
    <row r="32">
      <c r="A32" s="2" t="inlineStr">
        <is>
          <t>UC09</t>
        </is>
      </c>
      <c r="B32" s="2" t="inlineStr">
        <is>
          <t>Usecase</t>
        </is>
      </c>
      <c r="C32" s="2" t="inlineStr">
        <is>
          <t>Porting</t>
        </is>
      </c>
      <c r="D32" s="2" t="inlineStr">
        <is>
          <t>Excel 76 TC</t>
        </is>
      </c>
      <c r="E32" s="2">
        <f>COUNTIF('Anh xa'!$D$2:$D$725,A32)</f>
        <v/>
      </c>
      <c r="F32" s="2">
        <f>IF(E32&gt;0,"Đã phủ","THIẾU")</f>
        <v/>
      </c>
      <c r="G32" s="6" t="inlineStr">
        <is>
          <t>Chưa làm</t>
        </is>
      </c>
      <c r="H32" s="6" t="inlineStr"/>
    </row>
    <row r="33">
      <c r="A33" s="2" t="inlineStr">
        <is>
          <t>UC10</t>
        </is>
      </c>
      <c r="B33" s="2" t="inlineStr">
        <is>
          <t>Usecase</t>
        </is>
      </c>
      <c r="C33" s="2" t="inlineStr">
        <is>
          <t>Phân tích log/crash/capture</t>
        </is>
      </c>
      <c r="D33" s="2" t="inlineStr">
        <is>
          <t>Excel 76 TC</t>
        </is>
      </c>
      <c r="E33" s="2">
        <f>COUNTIF('Anh xa'!$D$2:$D$725,A33)</f>
        <v/>
      </c>
      <c r="F33" s="2">
        <f>IF(E33&gt;0,"Đã phủ","THIẾU")</f>
        <v/>
      </c>
      <c r="G33" s="6" t="inlineStr">
        <is>
          <t>Chưa làm</t>
        </is>
      </c>
      <c r="H33" s="6" t="inlineStr"/>
    </row>
    <row r="34">
      <c r="A34" s="2" t="inlineStr">
        <is>
          <t>UC11</t>
        </is>
      </c>
      <c r="B34" s="2" t="inlineStr">
        <is>
          <t>Usecase</t>
        </is>
      </c>
      <c r="C34" s="2" t="inlineStr">
        <is>
          <t>Kiểm thử tự động / HIL</t>
        </is>
      </c>
      <c r="D34" s="2" t="inlineStr">
        <is>
          <t>Excel 76 TC</t>
        </is>
      </c>
      <c r="E34" s="2">
        <f>COUNTIF('Anh xa'!$D$2:$D$725,A34)</f>
        <v/>
      </c>
      <c r="F34" s="2">
        <f>IF(E34&gt;0,"Đã phủ","THIẾU")</f>
        <v/>
      </c>
      <c r="G34" s="6" t="inlineStr">
        <is>
          <t>Chưa làm</t>
        </is>
      </c>
      <c r="H34" s="6" t="inlineStr"/>
    </row>
    <row r="35">
      <c r="A35" s="2" t="inlineStr">
        <is>
          <t>UC12</t>
        </is>
      </c>
      <c r="B35" s="2" t="inlineStr">
        <is>
          <t>Usecase</t>
        </is>
      </c>
      <c r="C35" s="2" t="inlineStr">
        <is>
          <t>Tối ưu bộ nhớ/hiệu năng/điện</t>
        </is>
      </c>
      <c r="D35" s="2" t="inlineStr">
        <is>
          <t>Excel 76 TC</t>
        </is>
      </c>
      <c r="E35" s="2">
        <f>COUNTIF('Anh xa'!$D$2:$D$725,A35)</f>
        <v/>
      </c>
      <c r="F35" s="2">
        <f>IF(E35&gt;0,"Đã phủ","THIẾU")</f>
        <v/>
      </c>
      <c r="G35" s="6" t="inlineStr">
        <is>
          <t>Chưa làm</t>
        </is>
      </c>
      <c r="H35" s="6" t="inlineStr"/>
    </row>
    <row r="36">
      <c r="A36" s="2" t="inlineStr">
        <is>
          <t>UC13</t>
        </is>
      </c>
      <c r="B36" s="2" t="inlineStr">
        <is>
          <t>Usecase</t>
        </is>
      </c>
      <c r="C36" s="2" t="inlineStr">
        <is>
          <t>Tính toán kỹ thuật</t>
        </is>
      </c>
      <c r="D36" s="2" t="inlineStr">
        <is>
          <t>Excel 76 TC</t>
        </is>
      </c>
      <c r="E36" s="2">
        <f>COUNTIF('Anh xa'!$D$2:$D$725,A36)</f>
        <v/>
      </c>
      <c r="F36" s="2">
        <f>IF(E36&gt;0,"Đã phủ","THIẾU")</f>
        <v/>
      </c>
      <c r="G36" s="6" t="inlineStr">
        <is>
          <t>Chưa làm</t>
        </is>
      </c>
      <c r="H36" s="6" t="inlineStr"/>
    </row>
    <row r="37">
      <c r="A37" s="2" t="inlineStr">
        <is>
          <t>UC14</t>
        </is>
      </c>
      <c r="B37" s="2" t="inlineStr">
        <is>
          <t>Usecase</t>
        </is>
      </c>
      <c r="C37" s="2" t="inlineStr">
        <is>
          <t>Bảo mật &amp; OTA</t>
        </is>
      </c>
      <c r="D37" s="2" t="inlineStr">
        <is>
          <t>Excel 76 TC</t>
        </is>
      </c>
      <c r="E37" s="2">
        <f>COUNTIF('Anh xa'!$D$2:$D$725,A37)</f>
        <v/>
      </c>
      <c r="F37" s="2">
        <f>IF(E37&gt;0,"Đã phủ","THIẾU")</f>
        <v/>
      </c>
      <c r="G37" s="6" t="inlineStr">
        <is>
          <t>Chưa làm</t>
        </is>
      </c>
      <c r="H37" s="6" t="inlineStr"/>
    </row>
    <row r="38">
      <c r="A38" s="2" t="inlineStr">
        <is>
          <t>UC15</t>
        </is>
      </c>
      <c r="B38" s="2" t="inlineStr">
        <is>
          <t>Usecase</t>
        </is>
      </c>
      <c r="C38" s="2" t="inlineStr">
        <is>
          <t>Chuẩn bị sản xuất (NGOÀI PHẠM VI)</t>
        </is>
      </c>
      <c r="D38" s="2" t="inlineStr">
        <is>
          <t>Excel 76 TC</t>
        </is>
      </c>
      <c r="E38" s="2">
        <f>COUNTIF('Anh xa'!$D$2:$D$725,A38)</f>
        <v/>
      </c>
      <c r="F38" s="2">
        <f>IF(E38&gt;0,"Đã phủ","THIẾU")</f>
        <v/>
      </c>
      <c r="G38" s="6" t="inlineStr">
        <is>
          <t>Chưa làm</t>
        </is>
      </c>
      <c r="H38" s="6" t="inlineStr"/>
    </row>
    <row r="39">
      <c r="A39" s="2" t="inlineStr">
        <is>
          <t>UC16</t>
        </is>
      </c>
      <c r="B39" s="2" t="inlineStr">
        <is>
          <t>Usecase</t>
        </is>
      </c>
      <c r="C39" s="2" t="inlineStr">
        <is>
          <t>Tài liệu &amp; truy vết</t>
        </is>
      </c>
      <c r="D39" s="2" t="inlineStr">
        <is>
          <t>Excel 76 TC</t>
        </is>
      </c>
      <c r="E39" s="2">
        <f>COUNTIF('Anh xa'!$D$2:$D$725,A39)</f>
        <v/>
      </c>
      <c r="F39" s="2">
        <f>IF(E39&gt;0,"Đã phủ","THIẾU")</f>
        <v/>
      </c>
      <c r="G39" s="6" t="inlineStr">
        <is>
          <t>Chưa làm</t>
        </is>
      </c>
      <c r="H39" s="6" t="inlineStr"/>
    </row>
    <row r="40">
      <c r="A40" s="2" t="inlineStr">
        <is>
          <t>UC17</t>
        </is>
      </c>
      <c r="B40" s="2" t="inlineStr">
        <is>
          <t>Usecase</t>
        </is>
      </c>
      <c r="C40" s="2" t="inlineStr">
        <is>
          <t>Quản lý phiên/dự án</t>
        </is>
      </c>
      <c r="D40" s="2" t="inlineStr">
        <is>
          <t>Excel 76 TC</t>
        </is>
      </c>
      <c r="E40" s="2">
        <f>COUNTIF('Anh xa'!$D$2:$D$725,A40)</f>
        <v/>
      </c>
      <c r="F40" s="2">
        <f>IF(E40&gt;0,"Đã phủ","THIẾU")</f>
        <v/>
      </c>
      <c r="G40" s="6" t="inlineStr">
        <is>
          <t>Chưa làm</t>
        </is>
      </c>
      <c r="H40" s="6" t="inlineStr"/>
    </row>
    <row r="41">
      <c r="A41" s="2" t="inlineStr">
        <is>
          <t>UC18</t>
        </is>
      </c>
      <c r="B41" s="2" t="inlineStr">
        <is>
          <t>Usecase</t>
        </is>
      </c>
      <c r="C41" s="2" t="inlineStr">
        <is>
          <t>An toàn thao tác &amp; kiểm soát quyền</t>
        </is>
      </c>
      <c r="D41" s="2" t="inlineStr">
        <is>
          <t>Excel 76 TC</t>
        </is>
      </c>
      <c r="E41" s="2">
        <f>COUNTIF('Anh xa'!$D$2:$D$725,A41)</f>
        <v/>
      </c>
      <c r="F41" s="2">
        <f>IF(E41&gt;0,"Đã phủ","THIẾU")</f>
        <v/>
      </c>
      <c r="G41" s="6" t="inlineStr">
        <is>
          <t>Chưa làm</t>
        </is>
      </c>
      <c r="H41" s="6" t="inlineStr"/>
    </row>
    <row r="42">
      <c r="A42" s="2" t="inlineStr">
        <is>
          <t>UC19</t>
        </is>
      </c>
      <c r="B42" s="2" t="inlineStr">
        <is>
          <t>Usecase</t>
        </is>
      </c>
      <c r="C42" s="2" t="inlineStr">
        <is>
          <t>Sự cố của chính tác tử</t>
        </is>
      </c>
      <c r="D42" s="2" t="inlineStr">
        <is>
          <t>Excel 76 TC</t>
        </is>
      </c>
      <c r="E42" s="2">
        <f>COUNTIF('Anh xa'!$D$2:$D$725,A42)</f>
        <v/>
      </c>
      <c r="F42" s="2">
        <f>IF(E42&gt;0,"Đã phủ","THIẾU")</f>
        <v/>
      </c>
      <c r="G42" s="6" t="inlineStr">
        <is>
          <t>Chưa làm</t>
        </is>
      </c>
      <c r="H42" s="6" t="inlineStr"/>
    </row>
    <row r="43">
      <c r="A43" s="2" t="inlineStr">
        <is>
          <t>HA-say</t>
        </is>
      </c>
      <c r="B43" s="2" t="inlineStr">
        <is>
          <t>HumanAct</t>
        </is>
      </c>
      <c r="C43" s="2" t="inlineStr">
        <is>
          <t>Gõ tự do</t>
        </is>
      </c>
      <c r="D43" s="2" t="inlineStr">
        <is>
          <t>MDD-40 D2</t>
        </is>
      </c>
      <c r="E43" s="2">
        <f>COUNTIF('Anh xa'!$D$2:$D$725,A43)</f>
        <v/>
      </c>
      <c r="F43" s="2">
        <f>IF(E43&gt;0,"Đã phủ","THIẾU")</f>
        <v/>
      </c>
      <c r="G43" s="6" t="inlineStr">
        <is>
          <t>Chưa làm</t>
        </is>
      </c>
      <c r="H43" s="6" t="inlineStr"/>
    </row>
    <row r="44">
      <c r="A44" s="2" t="inlineStr">
        <is>
          <t>HA-choose</t>
        </is>
      </c>
      <c r="B44" s="2" t="inlineStr">
        <is>
          <t>HumanAct</t>
        </is>
      </c>
      <c r="C44" s="2" t="inlineStr">
        <is>
          <t>Chọn mục trong thẻ</t>
        </is>
      </c>
      <c r="D44" s="2" t="inlineStr">
        <is>
          <t>MDD-40 D2</t>
        </is>
      </c>
      <c r="E44" s="2">
        <f>COUNTIF('Anh xa'!$D$2:$D$725,A44)</f>
        <v/>
      </c>
      <c r="F44" s="2">
        <f>IF(E44&gt;0,"Đã phủ","THIẾU")</f>
        <v/>
      </c>
      <c r="G44" s="6" t="inlineStr">
        <is>
          <t>Chưa làm</t>
        </is>
      </c>
      <c r="H44" s="6" t="inlineStr"/>
    </row>
    <row r="45">
      <c r="A45" s="2" t="inlineStr">
        <is>
          <t>HA-decide</t>
        </is>
      </c>
      <c r="B45" s="2" t="inlineStr">
        <is>
          <t>HumanAct</t>
        </is>
      </c>
      <c r="C45" s="2" t="inlineStr">
        <is>
          <t>Quyết định cổng</t>
        </is>
      </c>
      <c r="D45" s="2" t="inlineStr">
        <is>
          <t>MDD-40 D2</t>
        </is>
      </c>
      <c r="E45" s="2">
        <f>COUNTIF('Anh xa'!$D$2:$D$725,A45)</f>
        <v/>
      </c>
      <c r="F45" s="2">
        <f>IF(E45&gt;0,"Đã phủ","THIẾU")</f>
        <v/>
      </c>
      <c r="G45" s="6" t="inlineStr">
        <is>
          <t>Chưa làm</t>
        </is>
      </c>
      <c r="H45" s="6" t="inlineStr"/>
    </row>
    <row r="46">
      <c r="A46" s="2" t="inlineStr">
        <is>
          <t>HA-confirm</t>
        </is>
      </c>
      <c r="B46" s="2" t="inlineStr">
        <is>
          <t>HumanAct</t>
        </is>
      </c>
      <c r="C46" s="2" t="inlineStr">
        <is>
          <t>Xác nhận/từ chối/sửa Fact hoặc nguồn</t>
        </is>
      </c>
      <c r="D46" s="2" t="inlineStr">
        <is>
          <t>MDD-40 D2</t>
        </is>
      </c>
      <c r="E46" s="2">
        <f>COUNTIF('Anh xa'!$D$2:$D$725,A46)</f>
        <v/>
      </c>
      <c r="F46" s="2">
        <f>IF(E46&gt;0,"Đã phủ","THIẾU")</f>
        <v/>
      </c>
      <c r="G46" s="6" t="inlineStr">
        <is>
          <t>Chưa làm</t>
        </is>
      </c>
      <c r="H46" s="6" t="inlineStr"/>
    </row>
    <row r="47">
      <c r="A47" s="2" t="inlineStr">
        <is>
          <t>HA-edit</t>
        </is>
      </c>
      <c r="B47" s="2" t="inlineStr">
        <is>
          <t>HumanAct</t>
        </is>
      </c>
      <c r="C47" s="2" t="inlineStr">
        <is>
          <t>Sửa hiện vật rồi lưu</t>
        </is>
      </c>
      <c r="D47" s="2" t="inlineStr">
        <is>
          <t>MDD-40 D2</t>
        </is>
      </c>
      <c r="E47" s="2">
        <f>COUNTIF('Anh xa'!$D$2:$D$725,A47)</f>
        <v/>
      </c>
      <c r="F47" s="2">
        <f>IF(E47&gt;0,"Đã phủ","THIẾU")</f>
        <v/>
      </c>
      <c r="G47" s="6" t="inlineStr">
        <is>
          <t>Chưa làm</t>
        </is>
      </c>
      <c r="H47" s="6" t="inlineStr"/>
    </row>
    <row r="48">
      <c r="A48" s="2" t="inlineStr">
        <is>
          <t>HA-upload</t>
        </is>
      </c>
      <c r="B48" s="2" t="inlineStr">
        <is>
          <t>HumanAct</t>
        </is>
      </c>
      <c r="C48" s="2" t="inlineStr">
        <is>
          <t>Kéo thả/chọn tệp</t>
        </is>
      </c>
      <c r="D48" s="2" t="inlineStr">
        <is>
          <t>MDD-40 D2</t>
        </is>
      </c>
      <c r="E48" s="2">
        <f>COUNTIF('Anh xa'!$D$2:$D$725,A48)</f>
        <v/>
      </c>
      <c r="F48" s="2">
        <f>IF(E48&gt;0,"Đã phủ","THIẾU")</f>
        <v/>
      </c>
      <c r="G48" s="6" t="inlineStr">
        <is>
          <t>Chưa làm</t>
        </is>
      </c>
      <c r="H48" s="6" t="inlineStr"/>
    </row>
    <row r="49">
      <c r="A49" s="2" t="inlineStr">
        <is>
          <t>HA-stop</t>
        </is>
      </c>
      <c r="B49" s="2" t="inlineStr">
        <is>
          <t>HumanAct</t>
        </is>
      </c>
      <c r="C49" s="2" t="inlineStr">
        <is>
          <t>Dừng khẩn</t>
        </is>
      </c>
      <c r="D49" s="2" t="inlineStr">
        <is>
          <t>MDD-40 D2</t>
        </is>
      </c>
      <c r="E49" s="2">
        <f>COUNTIF('Anh xa'!$D$2:$D$725,A49)</f>
        <v/>
      </c>
      <c r="F49" s="2">
        <f>IF(E49&gt;0,"Đã phủ","THIẾU")</f>
        <v/>
      </c>
      <c r="G49" s="6" t="inlineStr">
        <is>
          <t>Chưa làm</t>
        </is>
      </c>
      <c r="H49" s="6" t="inlineStr"/>
    </row>
    <row r="50">
      <c r="A50" s="2" t="inlineStr">
        <is>
          <t>HA-undo</t>
        </is>
      </c>
      <c r="B50" s="2" t="inlineStr">
        <is>
          <t>HumanAct</t>
        </is>
      </c>
      <c r="C50" s="2" t="inlineStr">
        <is>
          <t>Hoàn tác</t>
        </is>
      </c>
      <c r="D50" s="2" t="inlineStr">
        <is>
          <t>MDD-40 D2</t>
        </is>
      </c>
      <c r="E50" s="2">
        <f>COUNTIF('Anh xa'!$D$2:$D$725,A50)</f>
        <v/>
      </c>
      <c r="F50" s="2">
        <f>IF(E50&gt;0,"Đã phủ","THIẾU")</f>
        <v/>
      </c>
      <c r="G50" s="6" t="inlineStr">
        <is>
          <t>Chưa làm</t>
        </is>
      </c>
      <c r="H50" s="6" t="inlineStr"/>
    </row>
    <row r="51">
      <c r="A51" s="2" t="inlineStr">
        <is>
          <t>HA-resume</t>
        </is>
      </c>
      <c r="B51" s="2" t="inlineStr">
        <is>
          <t>HumanAct</t>
        </is>
      </c>
      <c r="C51" s="2" t="inlineStr">
        <is>
          <t>Tiếp tục sau sự cố/mở lại</t>
        </is>
      </c>
      <c r="D51" s="2" t="inlineStr">
        <is>
          <t>MDD-40 D2</t>
        </is>
      </c>
      <c r="E51" s="2">
        <f>COUNTIF('Anh xa'!$D$2:$D$725,A51)</f>
        <v/>
      </c>
      <c r="F51" s="2">
        <f>IF(E51&gt;0,"Đã phủ","THIẾU")</f>
        <v/>
      </c>
      <c r="G51" s="6" t="inlineStr">
        <is>
          <t>Chưa làm</t>
        </is>
      </c>
      <c r="H51" s="6" t="inlineStr"/>
    </row>
    <row r="52">
      <c r="A52" s="2" t="inlineStr">
        <is>
          <t>HA-attend</t>
        </is>
      </c>
      <c r="B52" s="2" t="inlineStr">
        <is>
          <t>HumanAct</t>
        </is>
      </c>
      <c r="C52" s="2" t="inlineStr">
        <is>
          <t>Chuyển tab/chọn hiện vật</t>
        </is>
      </c>
      <c r="D52" s="2" t="inlineStr">
        <is>
          <t>MDD-40 D2</t>
        </is>
      </c>
      <c r="E52" s="2">
        <f>COUNTIF('Anh xa'!$D$2:$D$725,A52)</f>
        <v/>
      </c>
      <c r="F52" s="2">
        <f>IF(E52&gt;0,"Đã phủ","THIẾU")</f>
        <v/>
      </c>
      <c r="G52" s="6" t="inlineStr">
        <is>
          <t>Chưa làm</t>
        </is>
      </c>
      <c r="H52" s="6" t="inlineStr"/>
    </row>
    <row r="53">
      <c r="A53" s="2" t="inlineStr">
        <is>
          <t>HA-set</t>
        </is>
      </c>
      <c r="B53" s="2" t="inlineStr">
        <is>
          <t>HumanAct</t>
        </is>
      </c>
      <c r="C53" s="2" t="inlineStr">
        <is>
          <t>Đổi thiết lập</t>
        </is>
      </c>
      <c r="D53" s="2" t="inlineStr">
        <is>
          <t>MDD-40 D2</t>
        </is>
      </c>
      <c r="E53" s="2">
        <f>COUNTIF('Anh xa'!$D$2:$D$725,A53)</f>
        <v/>
      </c>
      <c r="F53" s="2">
        <f>IF(E53&gt;0,"Đã phủ","THIẾU")</f>
        <v/>
      </c>
      <c r="G53" s="6" t="inlineStr">
        <is>
          <t>Chưa làm</t>
        </is>
      </c>
      <c r="H53" s="6" t="inlineStr"/>
    </row>
    <row r="54">
      <c r="A54" s="2" t="inlineStr">
        <is>
          <t>HA-snapshot</t>
        </is>
      </c>
      <c r="B54" s="2" t="inlineStr">
        <is>
          <t>HumanAct</t>
        </is>
      </c>
      <c r="C54" s="2" t="inlineStr">
        <is>
          <t>Ghi bản ưng ý</t>
        </is>
      </c>
      <c r="D54" s="2" t="inlineStr">
        <is>
          <t>MDD-40 D2</t>
        </is>
      </c>
      <c r="E54" s="2">
        <f>COUNTIF('Anh xa'!$D$2:$D$725,A54)</f>
        <v/>
      </c>
      <c r="F54" s="2">
        <f>IF(E54&gt;0,"Đã phủ","THIẾU")</f>
        <v/>
      </c>
      <c r="G54" s="6" t="inlineStr">
        <is>
          <t>Chưa làm</t>
        </is>
      </c>
      <c r="H54" s="6" t="inlineStr"/>
    </row>
    <row r="55">
      <c r="A55" s="2" t="inlineStr">
        <is>
          <t>HA-branch</t>
        </is>
      </c>
      <c r="B55" s="2" t="inlineStr">
        <is>
          <t>HumanAct</t>
        </is>
      </c>
      <c r="C55" s="2" t="inlineStr">
        <is>
          <t>Rẽ/chuyển/gộp nhánh</t>
        </is>
      </c>
      <c r="D55" s="2" t="inlineStr">
        <is>
          <t>MDD-40 D2</t>
        </is>
      </c>
      <c r="E55" s="2">
        <f>COUNTIF('Anh xa'!$D$2:$D$725,A55)</f>
        <v/>
      </c>
      <c r="F55" s="2">
        <f>IF(E55&gt;0,"Đã phủ","THIẾU")</f>
        <v/>
      </c>
      <c r="G55" s="6" t="inlineStr">
        <is>
          <t>Chưa làm</t>
        </is>
      </c>
      <c r="H55" s="6" t="inlineStr"/>
    </row>
    <row r="56">
      <c r="A56" s="2" t="inlineStr">
        <is>
          <t>UI-console.post</t>
        </is>
      </c>
      <c r="B56" s="2" t="inlineStr">
        <is>
          <t>UICommand</t>
        </is>
      </c>
      <c r="C56" s="2" t="inlineStr">
        <is>
          <t>Đăng lời tác tử + thẻ</t>
        </is>
      </c>
      <c r="D56" s="2" t="inlineStr">
        <is>
          <t>MDD-40 D2</t>
        </is>
      </c>
      <c r="E56" s="2">
        <f>COUNTIF('Anh xa'!$D$2:$D$725,A56)</f>
        <v/>
      </c>
      <c r="F56" s="2">
        <f>IF(E56&gt;0,"Đã phủ","THIẾU")</f>
        <v/>
      </c>
      <c r="G56" s="6" t="inlineStr">
        <is>
          <t>Chưa làm</t>
        </is>
      </c>
      <c r="H56" s="6" t="inlineStr"/>
    </row>
    <row r="57">
      <c r="A57" s="2" t="inlineStr">
        <is>
          <t>UI-console.stream</t>
        </is>
      </c>
      <c r="B57" s="2" t="inlineStr">
        <is>
          <t>UICommand</t>
        </is>
      </c>
      <c r="C57" s="2" t="inlineStr">
        <is>
          <t>Stream văn bản</t>
        </is>
      </c>
      <c r="D57" s="2" t="inlineStr">
        <is>
          <t>MDD-40 D2</t>
        </is>
      </c>
      <c r="E57" s="2">
        <f>COUNTIF('Anh xa'!$D$2:$D$725,A57)</f>
        <v/>
      </c>
      <c r="F57" s="2">
        <f>IF(E57&gt;0,"Đã phủ","THIẾU")</f>
        <v/>
      </c>
      <c r="G57" s="6" t="inlineStr">
        <is>
          <t>Chưa làm</t>
        </is>
      </c>
      <c r="H57" s="6" t="inlineStr"/>
    </row>
    <row r="58">
      <c r="A58" s="2" t="inlineStr">
        <is>
          <t>UI-card.resolve</t>
        </is>
      </c>
      <c r="B58" s="2" t="inlineStr">
        <is>
          <t>UICommand</t>
        </is>
      </c>
      <c r="C58" s="2" t="inlineStr">
        <is>
          <t>Đóng thẻ</t>
        </is>
      </c>
      <c r="D58" s="2" t="inlineStr">
        <is>
          <t>MDD-40 D2</t>
        </is>
      </c>
      <c r="E58" s="2">
        <f>COUNTIF('Anh xa'!$D$2:$D$725,A58)</f>
        <v/>
      </c>
      <c r="F58" s="2">
        <f>IF(E58&gt;0,"Đã phủ","THIẾU")</f>
        <v/>
      </c>
      <c r="G58" s="6" t="inlineStr">
        <is>
          <t>Chưa làm</t>
        </is>
      </c>
      <c r="H58" s="6" t="inlineStr"/>
    </row>
    <row r="59">
      <c r="A59" s="2" t="inlineStr">
        <is>
          <t>UI-card.expire</t>
        </is>
      </c>
      <c r="B59" s="2" t="inlineStr">
        <is>
          <t>UICommand</t>
        </is>
      </c>
      <c r="C59" s="2" t="inlineStr">
        <is>
          <t>Thẻ hết hạn</t>
        </is>
      </c>
      <c r="D59" s="2" t="inlineStr">
        <is>
          <t>MDD-40 D2</t>
        </is>
      </c>
      <c r="E59" s="2">
        <f>COUNTIF('Anh xa'!$D$2:$D$725,A59)</f>
        <v/>
      </c>
      <c r="F59" s="2">
        <f>IF(E59&gt;0,"Đã phủ","THIẾU")</f>
        <v/>
      </c>
      <c r="G59" s="6" t="inlineStr">
        <is>
          <t>Chưa làm</t>
        </is>
      </c>
      <c r="H59" s="6" t="inlineStr"/>
    </row>
    <row r="60">
      <c r="A60" s="2" t="inlineStr">
        <is>
          <t>UI-surface.set</t>
        </is>
      </c>
      <c r="B60" s="2" t="inlineStr">
        <is>
          <t>UICommand</t>
        </is>
      </c>
      <c r="C60" s="2" t="inlineStr">
        <is>
          <t>Thay mô hình bề mặt</t>
        </is>
      </c>
      <c r="D60" s="2" t="inlineStr">
        <is>
          <t>MDD-40 D2</t>
        </is>
      </c>
      <c r="E60" s="2">
        <f>COUNTIF('Anh xa'!$D$2:$D$725,A60)</f>
        <v/>
      </c>
      <c r="F60" s="2">
        <f>IF(E60&gt;0,"Đã phủ","THIẾU")</f>
        <v/>
      </c>
      <c r="G60" s="6" t="inlineStr">
        <is>
          <t>Chưa làm</t>
        </is>
      </c>
      <c r="H60" s="6" t="inlineStr"/>
    </row>
    <row r="61">
      <c r="A61" s="2" t="inlineStr">
        <is>
          <t>UI-surface.patch</t>
        </is>
      </c>
      <c r="B61" s="2" t="inlineStr">
        <is>
          <t>UICommand</t>
        </is>
      </c>
      <c r="C61" s="2" t="inlineStr">
        <is>
          <t>Vá bề mặt</t>
        </is>
      </c>
      <c r="D61" s="2" t="inlineStr">
        <is>
          <t>MDD-40 D2</t>
        </is>
      </c>
      <c r="E61" s="2">
        <f>COUNTIF('Anh xa'!$D$2:$D$725,A61)</f>
        <v/>
      </c>
      <c r="F61" s="2">
        <f>IF(E61&gt;0,"Đã phủ","THIẾU")</f>
        <v/>
      </c>
      <c r="G61" s="6" t="inlineStr">
        <is>
          <t>Chưa làm</t>
        </is>
      </c>
      <c r="H61" s="6" t="inlineStr"/>
    </row>
    <row r="62">
      <c r="A62" s="2" t="inlineStr">
        <is>
          <t>UI-surface.append</t>
        </is>
      </c>
      <c r="B62" s="2" t="inlineStr">
        <is>
          <t>UICommand</t>
        </is>
      </c>
      <c r="C62" s="2" t="inlineStr">
        <is>
          <t>Nối log/timeline</t>
        </is>
      </c>
      <c r="D62" s="2" t="inlineStr">
        <is>
          <t>MDD-40 D2</t>
        </is>
      </c>
      <c r="E62" s="2">
        <f>COUNTIF('Anh xa'!$D$2:$D$725,A62)</f>
        <v/>
      </c>
      <c r="F62" s="2">
        <f>IF(E62&gt;0,"Đã phủ","THIẾU")</f>
        <v/>
      </c>
      <c r="G62" s="6" t="inlineStr">
        <is>
          <t>Chưa làm</t>
        </is>
      </c>
      <c r="H62" s="6" t="inlineStr"/>
    </row>
    <row r="63">
      <c r="A63" s="2" t="inlineStr">
        <is>
          <t>UI-surface.focus</t>
        </is>
      </c>
      <c r="B63" s="2" t="inlineStr">
        <is>
          <t>UICommand</t>
        </is>
      </c>
      <c r="C63" s="2" t="inlineStr">
        <is>
          <t>Đưa mắt tới vị trí</t>
        </is>
      </c>
      <c r="D63" s="2" t="inlineStr">
        <is>
          <t>MDD-40 D2</t>
        </is>
      </c>
      <c r="E63" s="2">
        <f>COUNTIF('Anh xa'!$D$2:$D$725,A63)</f>
        <v/>
      </c>
      <c r="F63" s="2">
        <f>IF(E63&gt;0,"Đã phủ","THIẾU")</f>
        <v/>
      </c>
      <c r="G63" s="6" t="inlineStr">
        <is>
          <t>Chưa làm</t>
        </is>
      </c>
      <c r="H63" s="6" t="inlineStr"/>
    </row>
    <row r="64">
      <c r="A64" s="2" t="inlineStr">
        <is>
          <t>UI-surface.highlight</t>
        </is>
      </c>
      <c r="B64" s="2" t="inlineStr">
        <is>
          <t>UICommand</t>
        </is>
      </c>
      <c r="C64" s="2" t="inlineStr">
        <is>
          <t>Tô sáng</t>
        </is>
      </c>
      <c r="D64" s="2" t="inlineStr">
        <is>
          <t>MDD-40 D2</t>
        </is>
      </c>
      <c r="E64" s="2">
        <f>COUNTIF('Anh xa'!$D$2:$D$725,A64)</f>
        <v/>
      </c>
      <c r="F64" s="2">
        <f>IF(E64&gt;0,"Đã phủ","THIẾU")</f>
        <v/>
      </c>
      <c r="G64" s="6" t="inlineStr">
        <is>
          <t>Chưa làm</t>
        </is>
      </c>
      <c r="H64" s="6" t="inlineStr"/>
    </row>
    <row r="65">
      <c r="A65" s="2" t="inlineStr">
        <is>
          <t>UI-surface.lock</t>
        </is>
      </c>
      <c r="B65" s="2" t="inlineStr">
        <is>
          <t>UICommand</t>
        </is>
      </c>
      <c r="C65" s="2" t="inlineStr">
        <is>
          <t>Soft-lock khối tác tử đang sửa</t>
        </is>
      </c>
      <c r="D65" s="2" t="inlineStr">
        <is>
          <t>MDD-40 D2</t>
        </is>
      </c>
      <c r="E65" s="2">
        <f>COUNTIF('Anh xa'!$D$2:$D$725,A65)</f>
        <v/>
      </c>
      <c r="F65" s="2">
        <f>IF(E65&gt;0,"Đã phủ","THIẾU")</f>
        <v/>
      </c>
      <c r="G65" s="6" t="inlineStr">
        <is>
          <t>Chưa làm</t>
        </is>
      </c>
      <c r="H65" s="6" t="inlineStr"/>
    </row>
    <row r="66">
      <c r="A66" s="2" t="inlineStr">
        <is>
          <t>UI-surface.unlock</t>
        </is>
      </c>
      <c r="B66" s="2" t="inlineStr">
        <is>
          <t>UICommand</t>
        </is>
      </c>
      <c r="C66" s="2" t="inlineStr">
        <is>
          <t>Bỏ khoá</t>
        </is>
      </c>
      <c r="D66" s="2" t="inlineStr">
        <is>
          <t>MDD-40 D2</t>
        </is>
      </c>
      <c r="E66" s="2">
        <f>COUNTIF('Anh xa'!$D$2:$D$725,A66)</f>
        <v/>
      </c>
      <c r="F66" s="2">
        <f>IF(E66&gt;0,"Đã phủ","THIẾU")</f>
        <v/>
      </c>
      <c r="G66" s="6" t="inlineStr">
        <is>
          <t>Chưa làm</t>
        </is>
      </c>
      <c r="H66" s="6" t="inlineStr"/>
    </row>
    <row r="67">
      <c r="A67" s="2" t="inlineStr">
        <is>
          <t>UI-run.update</t>
        </is>
      </c>
      <c r="B67" s="2" t="inlineStr">
        <is>
          <t>UICommand</t>
        </is>
      </c>
      <c r="C67" s="2" t="inlineStr">
        <is>
          <t>Thẻ Run</t>
        </is>
      </c>
      <c r="D67" s="2" t="inlineStr">
        <is>
          <t>MDD-40 D2</t>
        </is>
      </c>
      <c r="E67" s="2">
        <f>COUNTIF('Anh xa'!$D$2:$D$725,A67)</f>
        <v/>
      </c>
      <c r="F67" s="2">
        <f>IF(E67&gt;0,"Đã phủ","THIẾU")</f>
        <v/>
      </c>
      <c r="G67" s="6" t="inlineStr">
        <is>
          <t>Chưa làm</t>
        </is>
      </c>
      <c r="H67" s="6" t="inlineStr"/>
    </row>
    <row r="68">
      <c r="A68" s="2" t="inlineStr">
        <is>
          <t>UI-notice</t>
        </is>
      </c>
      <c r="B68" s="2" t="inlineStr">
        <is>
          <t>UICommand</t>
        </is>
      </c>
      <c r="C68" s="2" t="inlineStr">
        <is>
          <t>Thông báo ngắn</t>
        </is>
      </c>
      <c r="D68" s="2" t="inlineStr">
        <is>
          <t>MDD-40 D2</t>
        </is>
      </c>
      <c r="E68" s="2">
        <f>COUNTIF('Anh xa'!$D$2:$D$725,A68)</f>
        <v/>
      </c>
      <c r="F68" s="2">
        <f>IF(E68&gt;0,"Đã phủ","THIẾU")</f>
        <v/>
      </c>
      <c r="G68" s="6" t="inlineStr">
        <is>
          <t>Chưa làm</t>
        </is>
      </c>
      <c r="H68" s="6" t="inlineStr"/>
    </row>
    <row r="69">
      <c r="A69" s="2" t="inlineStr">
        <is>
          <t>UI-ui.set</t>
        </is>
      </c>
      <c r="B69" s="2" t="inlineStr">
        <is>
          <t>UICommand</t>
        </is>
      </c>
      <c r="C69" s="2" t="inlineStr">
        <is>
          <t>Thiết lập UI do lõi</t>
        </is>
      </c>
      <c r="D69" s="2" t="inlineStr">
        <is>
          <t>MDD-40 D2</t>
        </is>
      </c>
      <c r="E69" s="2">
        <f>COUNTIF('Anh xa'!$D$2:$D$725,A69)</f>
        <v/>
      </c>
      <c r="F69" s="2">
        <f>IF(E69&gt;0,"Đã phủ","THIẾU")</f>
        <v/>
      </c>
      <c r="G69" s="6" t="inlineStr">
        <is>
          <t>Chưa làm</t>
        </is>
      </c>
      <c r="H69" s="6" t="inlineStr"/>
    </row>
    <row r="70">
      <c r="A70" s="2" t="inlineStr">
        <is>
          <t>UI-history.update</t>
        </is>
      </c>
      <c r="B70" s="2" t="inlineStr">
        <is>
          <t>UICommand</t>
        </is>
      </c>
      <c r="C70" s="2" t="inlineStr">
        <is>
          <t>Cập nhật changeset/snapshot/STALE</t>
        </is>
      </c>
      <c r="D70" s="2" t="inlineStr">
        <is>
          <t>MDD-40 D2</t>
        </is>
      </c>
      <c r="E70" s="2">
        <f>COUNTIF('Anh xa'!$D$2:$D$725,A70)</f>
        <v/>
      </c>
      <c r="F70" s="2">
        <f>IF(E70&gt;0,"Đã phủ","THIẾU")</f>
        <v/>
      </c>
      <c r="G70" s="6" t="inlineStr">
        <is>
          <t>Chưa làm</t>
        </is>
      </c>
      <c r="H70" s="6" t="inlineStr"/>
    </row>
    <row r="71">
      <c r="A71" s="2" t="inlineStr">
        <is>
          <t>UI-explain.show</t>
        </is>
      </c>
      <c r="B71" s="2" t="inlineStr">
        <is>
          <t>UICommand</t>
        </is>
      </c>
      <c r="C71" s="2" t="inlineStr">
        <is>
          <t>Hiện lớp giải thích</t>
        </is>
      </c>
      <c r="D71" s="2" t="inlineStr">
        <is>
          <t>MDD-40 D2</t>
        </is>
      </c>
      <c r="E71" s="2">
        <f>COUNTIF('Anh xa'!$D$2:$D$725,A71)</f>
        <v/>
      </c>
      <c r="F71" s="2">
        <f>IF(E71&gt;0,"Đã phủ","THIẾU")</f>
        <v/>
      </c>
      <c r="G71" s="6" t="inlineStr">
        <is>
          <t>Chưa làm</t>
        </is>
      </c>
      <c r="H71" s="6" t="inlineStr"/>
    </row>
    <row r="72">
      <c r="A72" s="2" t="inlineStr">
        <is>
          <t>G-DATA</t>
        </is>
      </c>
      <c r="B72" s="2" t="inlineStr">
        <is>
          <t>Cổng</t>
        </is>
      </c>
      <c r="C72" s="2" t="inlineStr">
        <is>
          <t>Duyệt nguồn tài liệu</t>
        </is>
      </c>
      <c r="D72" s="2" t="inlineStr">
        <is>
          <t>MDD-40 B4/E7</t>
        </is>
      </c>
      <c r="E72" s="2">
        <f>COUNTIF('Anh xa'!$D$2:$D$725,A72)</f>
        <v/>
      </c>
      <c r="F72" s="2">
        <f>IF(E72&gt;0,"Đã phủ","THIẾU")</f>
        <v/>
      </c>
      <c r="G72" s="6" t="inlineStr">
        <is>
          <t>Chưa làm</t>
        </is>
      </c>
      <c r="H72" s="6" t="inlineStr"/>
    </row>
    <row r="73">
      <c r="A73" s="2" t="inlineStr">
        <is>
          <t>G-DESIGN</t>
        </is>
      </c>
      <c r="B73" s="2" t="inlineStr">
        <is>
          <t>Cổng</t>
        </is>
      </c>
      <c r="C73" s="2" t="inlineStr">
        <is>
          <t>Chốt phương án/thiết kế</t>
        </is>
      </c>
      <c r="D73" s="2" t="inlineStr">
        <is>
          <t>MDD-40 B4/E7</t>
        </is>
      </c>
      <c r="E73" s="2">
        <f>COUNTIF('Anh xa'!$D$2:$D$725,A73)</f>
        <v/>
      </c>
      <c r="F73" s="2">
        <f>IF(E73&gt;0,"Đã phủ","THIẾU")</f>
        <v/>
      </c>
      <c r="G73" s="6" t="inlineStr">
        <is>
          <t>Chưa làm</t>
        </is>
      </c>
      <c r="H73" s="6" t="inlineStr"/>
    </row>
    <row r="74">
      <c r="A74" s="2" t="inlineStr">
        <is>
          <t>G-SCOPE</t>
        </is>
      </c>
      <c r="B74" s="2" t="inlineStr">
        <is>
          <t>Cổng</t>
        </is>
      </c>
      <c r="C74" s="2" t="inlineStr">
        <is>
          <t>Duyệt kế hoạch việc lớn</t>
        </is>
      </c>
      <c r="D74" s="2" t="inlineStr">
        <is>
          <t>MDD-40 B4/E7</t>
        </is>
      </c>
      <c r="E74" s="2">
        <f>COUNTIF('Anh xa'!$D$2:$D$725,A74)</f>
        <v/>
      </c>
      <c r="F74" s="2">
        <f>IF(E74&gt;0,"Đã phủ","THIẾU")</f>
        <v/>
      </c>
      <c r="G74" s="6" t="inlineStr">
        <is>
          <t>Chưa làm</t>
        </is>
      </c>
      <c r="H74" s="6" t="inlineStr"/>
    </row>
    <row r="75">
      <c r="A75" s="2" t="inlineStr">
        <is>
          <t>G-TOOL</t>
        </is>
      </c>
      <c r="B75" s="2" t="inlineStr">
        <is>
          <t>Cổng</t>
        </is>
      </c>
      <c r="C75" s="2" t="inlineStr">
        <is>
          <t>Cài công cụ</t>
        </is>
      </c>
      <c r="D75" s="2" t="inlineStr">
        <is>
          <t>MDD-40 B4/E7</t>
        </is>
      </c>
      <c r="E75" s="2">
        <f>COUNTIF('Anh xa'!$D$2:$D$725,A75)</f>
        <v/>
      </c>
      <c r="F75" s="2">
        <f>IF(E75&gt;0,"Đã phủ","THIẾU")</f>
        <v/>
      </c>
      <c r="G75" s="6" t="inlineStr">
        <is>
          <t>Chưa làm</t>
        </is>
      </c>
      <c r="H75" s="6" t="inlineStr"/>
    </row>
    <row r="76">
      <c r="A76" s="2" t="inlineStr">
        <is>
          <t>G-QUAL</t>
        </is>
      </c>
      <c r="B76" s="2" t="inlineStr">
        <is>
          <t>Cổng</t>
        </is>
      </c>
      <c r="C76" s="2" t="inlineStr">
        <is>
          <t>Đổi tiêu chí/test</t>
        </is>
      </c>
      <c r="D76" s="2" t="inlineStr">
        <is>
          <t>MDD-40 B4/E7</t>
        </is>
      </c>
      <c r="E76" s="2">
        <f>COUNTIF('Anh xa'!$D$2:$D$725,A76)</f>
        <v/>
      </c>
      <c r="F76" s="2">
        <f>IF(E76&gt;0,"Đã phủ","THIẾU")</f>
        <v/>
      </c>
      <c r="G76" s="6" t="inlineStr">
        <is>
          <t>Chưa làm</t>
        </is>
      </c>
      <c r="H76" s="6" t="inlineStr"/>
    </row>
    <row r="77">
      <c r="A77" s="2" t="inlineStr">
        <is>
          <t>G-FILE</t>
        </is>
      </c>
      <c r="B77" s="2" t="inlineStr">
        <is>
          <t>Cổng</t>
        </is>
      </c>
      <c r="C77" s="2" t="inlineStr">
        <is>
          <t>Ghi đè tệp người đã sửa</t>
        </is>
      </c>
      <c r="D77" s="2" t="inlineStr">
        <is>
          <t>MDD-40 B4/E7</t>
        </is>
      </c>
      <c r="E77" s="2">
        <f>COUNTIF('Anh xa'!$D$2:$D$725,A77)</f>
        <v/>
      </c>
      <c r="F77" s="2">
        <f>IF(E77&gt;0,"Đã phủ","THIẾU")</f>
        <v/>
      </c>
      <c r="G77" s="6" t="inlineStr">
        <is>
          <t>Chưa làm</t>
        </is>
      </c>
      <c r="H77" s="6" t="inlineStr"/>
    </row>
    <row r="78">
      <c r="A78" s="2" t="inlineStr">
        <is>
          <t>G-FLASH</t>
        </is>
      </c>
      <c r="B78" s="2" t="inlineStr">
        <is>
          <t>Cổng</t>
        </is>
      </c>
      <c r="C78" s="2" t="inlineStr">
        <is>
          <t>Nạp firmware</t>
        </is>
      </c>
      <c r="D78" s="2" t="inlineStr">
        <is>
          <t>MDD-40 B4/E7</t>
        </is>
      </c>
      <c r="E78" s="2">
        <f>COUNTIF('Anh xa'!$D$2:$D$725,A78)</f>
        <v/>
      </c>
      <c r="F78" s="2">
        <f>IF(E78&gt;0,"Đã phủ","THIẾU")</f>
        <v/>
      </c>
      <c r="G78" s="6" t="inlineStr">
        <is>
          <t>Chưa làm</t>
        </is>
      </c>
      <c r="H78" s="6" t="inlineStr"/>
    </row>
    <row r="79">
      <c r="A79" s="2" t="inlineStr">
        <is>
          <t>G-OPS</t>
        </is>
      </c>
      <c r="B79" s="2" t="inlineStr">
        <is>
          <t>Cổng</t>
        </is>
      </c>
      <c r="C79" s="2" t="inlineStr">
        <is>
          <t>Không đảo ngược (RDP/eFuse/erase)</t>
        </is>
      </c>
      <c r="D79" s="2" t="inlineStr">
        <is>
          <t>MDD-40 B4/E7</t>
        </is>
      </c>
      <c r="E79" s="2">
        <f>COUNTIF('Anh xa'!$D$2:$D$725,A79)</f>
        <v/>
      </c>
      <c r="F79" s="2">
        <f>IF(E79&gt;0,"Đã phủ","THIẾU")</f>
        <v/>
      </c>
      <c r="G79" s="6" t="inlineStr">
        <is>
          <t>Chưa làm</t>
        </is>
      </c>
      <c r="H79" s="6" t="inlineStr"/>
    </row>
    <row r="80">
      <c r="A80" s="2" t="inlineStr">
        <is>
          <t>G-SAFE</t>
        </is>
      </c>
      <c r="B80" s="2" t="inlineStr">
        <is>
          <t>Cổng</t>
        </is>
      </c>
      <c r="C80" s="2" t="inlineStr">
        <is>
          <t>Điện lưới/nhiệt — cảnh báo đứng đầu</t>
        </is>
      </c>
      <c r="D80" s="2" t="inlineStr">
        <is>
          <t>MDD-40 B4/E7</t>
        </is>
      </c>
      <c r="E80" s="2">
        <f>COUNTIF('Anh xa'!$D$2:$D$725,A80)</f>
        <v/>
      </c>
      <c r="F80" s="2">
        <f>IF(E80&gt;0,"Đã phủ","THIẾU")</f>
        <v/>
      </c>
      <c r="G80" s="6" t="inlineStr">
        <is>
          <t>Chưa làm</t>
        </is>
      </c>
      <c r="H80" s="6" t="inlineStr"/>
    </row>
    <row r="81">
      <c r="A81" s="2" t="inlineStr">
        <is>
          <t>G-HIST</t>
        </is>
      </c>
      <c r="B81" s="2" t="inlineStr">
        <is>
          <t>Cổng</t>
        </is>
      </c>
      <c r="C81" s="2" t="inlineStr">
        <is>
          <t>Hoàn tác lượt / khôi phục snapshot</t>
        </is>
      </c>
      <c r="D81" s="2" t="inlineStr">
        <is>
          <t>MDD-40 B4/E7</t>
        </is>
      </c>
      <c r="E81" s="2">
        <f>COUNTIF('Anh xa'!$D$2:$D$725,A81)</f>
        <v/>
      </c>
      <c r="F81" s="2">
        <f>IF(E81&gt;0,"Đã phủ","THIẾU")</f>
        <v/>
      </c>
      <c r="G81" s="6" t="inlineStr">
        <is>
          <t>Chưa làm</t>
        </is>
      </c>
      <c r="H81" s="6" t="inlineStr"/>
    </row>
    <row r="82">
      <c r="A82" s="2" t="inlineStr">
        <is>
          <t>G-SNAP</t>
        </is>
      </c>
      <c r="B82" s="2" t="inlineStr">
        <is>
          <t>Cổng</t>
        </is>
      </c>
      <c r="C82" s="2" t="inlineStr">
        <is>
          <t>Tác tử đề xuất snapshot</t>
        </is>
      </c>
      <c r="D82" s="2" t="inlineStr">
        <is>
          <t>MDD-40 B4/E7</t>
        </is>
      </c>
      <c r="E82" s="2">
        <f>COUNTIF('Anh xa'!$D$2:$D$725,A82)</f>
        <v/>
      </c>
      <c r="F82" s="2">
        <f>IF(E82&gt;0,"Đã phủ","THIẾU")</f>
        <v/>
      </c>
      <c r="G82" s="6" t="inlineStr">
        <is>
          <t>Chưa làm</t>
        </is>
      </c>
      <c r="H82" s="6" t="inlineStr"/>
    </row>
    <row r="83">
      <c r="A83" s="2" t="inlineStr">
        <is>
          <t>AR01</t>
        </is>
      </c>
      <c r="B83" s="2" t="inlineStr">
        <is>
          <t>Hiện vật (E2)</t>
        </is>
      </c>
      <c r="C83" s="2" t="inlineStr">
        <is>
          <t>Đặc tả yêu cầu (REQ set)</t>
        </is>
      </c>
      <c r="D83" s="2" t="inlineStr">
        <is>
          <t>MDD-40 E2</t>
        </is>
      </c>
      <c r="E83" s="2">
        <f>COUNTIF('Anh xa'!$D$2:$D$725,A83)</f>
        <v/>
      </c>
      <c r="F83" s="2">
        <f>IF(E83&gt;0,"Đã phủ","THIẾU")</f>
        <v/>
      </c>
      <c r="G83" s="6" t="inlineStr">
        <is>
          <t>Chưa làm</t>
        </is>
      </c>
      <c r="H83" s="6" t="inlineStr"/>
    </row>
    <row r="84">
      <c r="A84" s="2" t="inlineStr">
        <is>
          <t>AR02</t>
        </is>
      </c>
      <c r="B84" s="2" t="inlineStr">
        <is>
          <t>Hiện vật (E2)</t>
        </is>
      </c>
      <c r="C84" s="2" t="inlineStr">
        <is>
          <t>Phương án + phương án chọn</t>
        </is>
      </c>
      <c r="D84" s="2" t="inlineStr">
        <is>
          <t>MDD-40 E2</t>
        </is>
      </c>
      <c r="E84" s="2">
        <f>COUNTIF('Anh xa'!$D$2:$D$725,A84)</f>
        <v/>
      </c>
      <c r="F84" s="2">
        <f>IF(E84&gt;0,"Đã phủ","THIẾU")</f>
        <v/>
      </c>
      <c r="G84" s="6" t="inlineStr">
        <is>
          <t>Chưa làm</t>
        </is>
      </c>
      <c r="H84" s="6" t="inlineStr"/>
    </row>
    <row r="85">
      <c r="A85" s="2" t="inlineStr">
        <is>
          <t>AR03</t>
        </is>
      </c>
      <c r="B85" s="2" t="inlineStr">
        <is>
          <t>Hiện vật (E2)</t>
        </is>
      </c>
      <c r="C85" s="2" t="inlineStr">
        <is>
          <t>ADR</t>
        </is>
      </c>
      <c r="D85" s="2" t="inlineStr">
        <is>
          <t>MDD-40 E2</t>
        </is>
      </c>
      <c r="E85" s="2">
        <f>COUNTIF('Anh xa'!$D$2:$D$725,A85)</f>
        <v/>
      </c>
      <c r="F85" s="2">
        <f>IF(E85&gt;0,"Đã phủ","THIẾU")</f>
        <v/>
      </c>
      <c r="G85" s="6" t="inlineStr">
        <is>
          <t>Chưa làm</t>
        </is>
      </c>
      <c r="H85" s="6" t="inlineStr"/>
    </row>
    <row r="86">
      <c r="A86" s="2" t="inlineStr">
        <is>
          <t>AR04</t>
        </is>
      </c>
      <c r="B86" s="2" t="inlineStr">
        <is>
          <t>Hiện vật (E2)</t>
        </is>
      </c>
      <c r="C86" s="2" t="inlineStr">
        <is>
          <t>Fact</t>
        </is>
      </c>
      <c r="D86" s="2" t="inlineStr">
        <is>
          <t>MDD-40 E2</t>
        </is>
      </c>
      <c r="E86" s="2">
        <f>COUNTIF('Anh xa'!$D$2:$D$725,A86)</f>
        <v/>
      </c>
      <c r="F86" s="2">
        <f>IF(E86&gt;0,"Đã phủ","THIẾU")</f>
        <v/>
      </c>
      <c r="G86" s="6" t="inlineStr">
        <is>
          <t>Chưa làm</t>
        </is>
      </c>
      <c r="H86" s="6" t="inlineStr"/>
    </row>
    <row r="87">
      <c r="A87" s="2" t="inlineStr">
        <is>
          <t>AR05</t>
        </is>
      </c>
      <c r="B87" s="2" t="inlineStr">
        <is>
          <t>Hiện vật (E2)</t>
        </is>
      </c>
      <c r="C87" s="2" t="inlineStr">
        <is>
          <t>Hộ chiếu chip</t>
        </is>
      </c>
      <c r="D87" s="2" t="inlineStr">
        <is>
          <t>MDD-40 E2</t>
        </is>
      </c>
      <c r="E87" s="2">
        <f>COUNTIF('Anh xa'!$D$2:$D$725,A87)</f>
        <v/>
      </c>
      <c r="F87" s="2">
        <f>IF(E87&gt;0,"Đã phủ","THIẾU")</f>
        <v/>
      </c>
      <c r="G87" s="6" t="inlineStr">
        <is>
          <t>Chưa làm</t>
        </is>
      </c>
      <c r="H87" s="6" t="inlineStr"/>
    </row>
    <row r="88">
      <c r="A88" s="2" t="inlineStr">
        <is>
          <t>AR06</t>
        </is>
      </c>
      <c r="B88" s="2" t="inlineStr">
        <is>
          <t>Hiện vật (E2)</t>
        </is>
      </c>
      <c r="C88" s="2" t="inlineStr">
        <is>
          <t>Bản đồ tri thức mạch (KG)</t>
        </is>
      </c>
      <c r="D88" s="2" t="inlineStr">
        <is>
          <t>MDD-40 E2</t>
        </is>
      </c>
      <c r="E88" s="2">
        <f>COUNTIF('Anh xa'!$D$2:$D$725,A88)</f>
        <v/>
      </c>
      <c r="F88" s="2">
        <f>IF(E88&gt;0,"Đã phủ","THIẾU")</f>
        <v/>
      </c>
      <c r="G88" s="6" t="inlineStr">
        <is>
          <t>Chưa làm</t>
        </is>
      </c>
      <c r="H88" s="6" t="inlineStr"/>
    </row>
    <row r="89">
      <c r="A89" s="2" t="inlineStr">
        <is>
          <t>AR07</t>
        </is>
      </c>
      <c r="B89" s="2" t="inlineStr">
        <is>
          <t>Hiện vật (E2)</t>
        </is>
      </c>
      <c r="C89" s="2" t="inlineStr">
        <is>
          <t>Pinout</t>
        </is>
      </c>
      <c r="D89" s="2" t="inlineStr">
        <is>
          <t>MDD-40 E2</t>
        </is>
      </c>
      <c r="E89" s="2">
        <f>COUNTIF('Anh xa'!$D$2:$D$725,A89)</f>
        <v/>
      </c>
      <c r="F89" s="2">
        <f>IF(E89&gt;0,"Đã phủ","THIẾU")</f>
        <v/>
      </c>
      <c r="G89" s="6" t="inlineStr">
        <is>
          <t>Chưa làm</t>
        </is>
      </c>
      <c r="H89" s="6" t="inlineStr"/>
    </row>
    <row r="90">
      <c r="A90" s="2" t="inlineStr">
        <is>
          <t>AR08</t>
        </is>
      </c>
      <c r="B90" s="2" t="inlineStr">
        <is>
          <t>Hiện vật (E2)</t>
        </is>
      </c>
      <c r="C90" s="2" t="inlineStr">
        <is>
          <t>Sơ đồ khối</t>
        </is>
      </c>
      <c r="D90" s="2" t="inlineStr">
        <is>
          <t>MDD-40 E2</t>
        </is>
      </c>
      <c r="E90" s="2">
        <f>COUNTIF('Anh xa'!$D$2:$D$725,A90)</f>
        <v/>
      </c>
      <c r="F90" s="2">
        <f>IF(E90&gt;0,"Đã phủ","THIẾU")</f>
        <v/>
      </c>
      <c r="G90" s="6" t="inlineStr">
        <is>
          <t>Chưa làm</t>
        </is>
      </c>
      <c r="H90" s="6" t="inlineStr"/>
    </row>
    <row r="91">
      <c r="A91" s="2" t="inlineStr">
        <is>
          <t>AR09</t>
        </is>
      </c>
      <c r="B91" s="2" t="inlineStr">
        <is>
          <t>Hiện vật (E2)</t>
        </is>
      </c>
      <c r="C91" s="2" t="inlineStr">
        <is>
          <t>Schematic/netlist</t>
        </is>
      </c>
      <c r="D91" s="2" t="inlineStr">
        <is>
          <t>MDD-40 E2</t>
        </is>
      </c>
      <c r="E91" s="2">
        <f>COUNTIF('Anh xa'!$D$2:$D$725,A91)</f>
        <v/>
      </c>
      <c r="F91" s="2">
        <f>IF(E91&gt;0,"Đã phủ","THIẾU")</f>
        <v/>
      </c>
      <c r="G91" s="6" t="inlineStr">
        <is>
          <t>Chưa làm</t>
        </is>
      </c>
      <c r="H91" s="6" t="inlineStr"/>
    </row>
    <row r="92">
      <c r="A92" s="2" t="inlineStr">
        <is>
          <t>AR10</t>
        </is>
      </c>
      <c r="B92" s="2" t="inlineStr">
        <is>
          <t>Hiện vật (E2)</t>
        </is>
      </c>
      <c r="C92" s="2" t="inlineStr">
        <is>
          <t>BOM</t>
        </is>
      </c>
      <c r="D92" s="2" t="inlineStr">
        <is>
          <t>MDD-40 E2</t>
        </is>
      </c>
      <c r="E92" s="2">
        <f>COUNTIF('Anh xa'!$D$2:$D$725,A92)</f>
        <v/>
      </c>
      <c r="F92" s="2">
        <f>IF(E92&gt;0,"Đã phủ","THIẾU")</f>
        <v/>
      </c>
      <c r="G92" s="6" t="inlineStr">
        <is>
          <t>Chưa làm</t>
        </is>
      </c>
      <c r="H92" s="6" t="inlineStr"/>
    </row>
    <row r="93">
      <c r="A93" s="2" t="inlineStr">
        <is>
          <t>AR11</t>
        </is>
      </c>
      <c r="B93" s="2" t="inlineStr">
        <is>
          <t>Hiện vật (E2)</t>
        </is>
      </c>
      <c r="C93" s="2" t="inlineStr">
        <is>
          <t>Phát hiện ERC/rà soát</t>
        </is>
      </c>
      <c r="D93" s="2" t="inlineStr">
        <is>
          <t>MDD-40 E2</t>
        </is>
      </c>
      <c r="E93" s="2">
        <f>COUNTIF('Anh xa'!$D$2:$D$725,A93)</f>
        <v/>
      </c>
      <c r="F93" s="2">
        <f>IF(E93&gt;0,"Đã phủ","THIẾU")</f>
        <v/>
      </c>
      <c r="G93" s="6" t="inlineStr">
        <is>
          <t>Chưa làm</t>
        </is>
      </c>
      <c r="H93" s="6" t="inlineStr"/>
    </row>
    <row r="94">
      <c r="A94" s="2" t="inlineStr">
        <is>
          <t>AR12</t>
        </is>
      </c>
      <c r="B94" s="2" t="inlineStr">
        <is>
          <t>Hiện vật (E2)</t>
        </is>
      </c>
      <c r="C94" s="2" t="inlineStr">
        <is>
          <t>Kế hoạch (plan mode)</t>
        </is>
      </c>
      <c r="D94" s="2" t="inlineStr">
        <is>
          <t>MDD-40 E2</t>
        </is>
      </c>
      <c r="E94" s="2">
        <f>COUNTIF('Anh xa'!$D$2:$D$725,A94)</f>
        <v/>
      </c>
      <c r="F94" s="2">
        <f>IF(E94&gt;0,"Đã phủ","THIẾU")</f>
        <v/>
      </c>
      <c r="G94" s="6" t="inlineStr">
        <is>
          <t>Chưa làm</t>
        </is>
      </c>
      <c r="H94" s="6" t="inlineStr"/>
    </row>
    <row r="95">
      <c r="A95" s="2" t="inlineStr">
        <is>
          <t>AR13</t>
        </is>
      </c>
      <c r="B95" s="2" t="inlineStr">
        <is>
          <t>Hiện vật (E2)</t>
        </is>
      </c>
      <c r="C95" s="2" t="inlineStr">
        <is>
          <t>Mã nguồn</t>
        </is>
      </c>
      <c r="D95" s="2" t="inlineStr">
        <is>
          <t>MDD-40 E2</t>
        </is>
      </c>
      <c r="E95" s="2">
        <f>COUNTIF('Anh xa'!$D$2:$D$725,A95)</f>
        <v/>
      </c>
      <c r="F95" s="2">
        <f>IF(E95&gt;0,"Đã phủ","THIẾU")</f>
        <v/>
      </c>
      <c r="G95" s="6" t="inlineStr">
        <is>
          <t>Chưa làm</t>
        </is>
      </c>
      <c r="H95" s="6" t="inlineStr"/>
    </row>
    <row r="96">
      <c r="A96" s="2" t="inlineStr">
        <is>
          <t>AR14</t>
        </is>
      </c>
      <c r="B96" s="2" t="inlineStr">
        <is>
          <t>Hiện vật (E2)</t>
        </is>
      </c>
      <c r="C96" s="2" t="inlineStr">
        <is>
          <t>Diff của tác tử</t>
        </is>
      </c>
      <c r="D96" s="2" t="inlineStr">
        <is>
          <t>MDD-40 E2</t>
        </is>
      </c>
      <c r="E96" s="2">
        <f>COUNTIF('Anh xa'!$D$2:$D$725,A96)</f>
        <v/>
      </c>
      <c r="F96" s="2">
        <f>IF(E96&gt;0,"Đã phủ","THIẾU")</f>
        <v/>
      </c>
      <c r="G96" s="6" t="inlineStr">
        <is>
          <t>Chưa làm</t>
        </is>
      </c>
      <c r="H96" s="6" t="inlineStr"/>
    </row>
    <row r="97">
      <c r="A97" s="2" t="inlineStr">
        <is>
          <t>AR15</t>
        </is>
      </c>
      <c r="B97" s="2" t="inlineStr">
        <is>
          <t>Hiện vật (E2)</t>
        </is>
      </c>
      <c r="C97" s="2" t="inlineStr">
        <is>
          <t>Kết quả build</t>
        </is>
      </c>
      <c r="D97" s="2" t="inlineStr">
        <is>
          <t>MDD-40 E2</t>
        </is>
      </c>
      <c r="E97" s="2">
        <f>COUNTIF('Anh xa'!$D$2:$D$725,A97)</f>
        <v/>
      </c>
      <c r="F97" s="2">
        <f>IF(E97&gt;0,"Đã phủ","THIẾU")</f>
        <v/>
      </c>
      <c r="G97" s="6" t="inlineStr">
        <is>
          <t>Chưa làm</t>
        </is>
      </c>
      <c r="H97" s="6" t="inlineStr"/>
    </row>
    <row r="98">
      <c r="A98" s="2" t="inlineStr">
        <is>
          <t>AR16</t>
        </is>
      </c>
      <c r="B98" s="2" t="inlineStr">
        <is>
          <t>Hiện vật (E2)</t>
        </is>
      </c>
      <c r="C98" s="2" t="inlineStr">
        <is>
          <t>Tiêu chí mô phỏng</t>
        </is>
      </c>
      <c r="D98" s="2" t="inlineStr">
        <is>
          <t>MDD-40 E2</t>
        </is>
      </c>
      <c r="E98" s="2">
        <f>COUNTIF('Anh xa'!$D$2:$D$725,A98)</f>
        <v/>
      </c>
      <c r="F98" s="2">
        <f>IF(E98&gt;0,"Đã phủ","THIẾU")</f>
        <v/>
      </c>
      <c r="G98" s="6" t="inlineStr">
        <is>
          <t>Chưa làm</t>
        </is>
      </c>
      <c r="H98" s="6" t="inlineStr"/>
    </row>
    <row r="99">
      <c r="A99" s="2" t="inlineStr">
        <is>
          <t>AR17</t>
        </is>
      </c>
      <c r="B99" s="2" t="inlineStr">
        <is>
          <t>Hiện vật (E2)</t>
        </is>
      </c>
      <c r="C99" s="2" t="inlineStr">
        <is>
          <t>Kết quả mô phỏng</t>
        </is>
      </c>
      <c r="D99" s="2" t="inlineStr">
        <is>
          <t>MDD-40 E2</t>
        </is>
      </c>
      <c r="E99" s="2">
        <f>COUNTIF('Anh xa'!$D$2:$D$725,A99)</f>
        <v/>
      </c>
      <c r="F99" s="2">
        <f>IF(E99&gt;0,"Đã phủ","THIẾU")</f>
        <v/>
      </c>
      <c r="G99" s="6" t="inlineStr">
        <is>
          <t>Chưa làm</t>
        </is>
      </c>
      <c r="H99" s="6" t="inlineStr"/>
    </row>
    <row r="100">
      <c r="A100" s="2" t="inlineStr">
        <is>
          <t>AR18</t>
        </is>
      </c>
      <c r="B100" s="2" t="inlineStr">
        <is>
          <t>Hiện vật (E2)</t>
        </is>
      </c>
      <c r="C100" s="2" t="inlineStr">
        <is>
          <t>Phân tích capture/log/HardFault</t>
        </is>
      </c>
      <c r="D100" s="2" t="inlineStr">
        <is>
          <t>MDD-40 E2</t>
        </is>
      </c>
      <c r="E100" s="2">
        <f>COUNTIF('Anh xa'!$D$2:$D$725,A100)</f>
        <v/>
      </c>
      <c r="F100" s="2">
        <f>IF(E100&gt;0,"Đã phủ","THIẾU")</f>
        <v/>
      </c>
      <c r="G100" s="6" t="inlineStr">
        <is>
          <t>Chưa làm</t>
        </is>
      </c>
      <c r="H100" s="6" t="inlineStr"/>
    </row>
    <row r="101">
      <c r="A101" s="2" t="inlineStr">
        <is>
          <t>AR19</t>
        </is>
      </c>
      <c r="B101" s="2" t="inlineStr">
        <is>
          <t>Hiện vật (E2)</t>
        </is>
      </c>
      <c r="C101" s="2" t="inlineStr">
        <is>
          <t>Dò board/nạp/verify</t>
        </is>
      </c>
      <c r="D101" s="2" t="inlineStr">
        <is>
          <t>MDD-40 E2</t>
        </is>
      </c>
      <c r="E101" s="2">
        <f>COUNTIF('Anh xa'!$D$2:$D$725,A101)</f>
        <v/>
      </c>
      <c r="F101" s="2">
        <f>IF(E101&gt;0,"Đã phủ","THIẾU")</f>
        <v/>
      </c>
      <c r="G101" s="6" t="inlineStr">
        <is>
          <t>Chưa làm</t>
        </is>
      </c>
      <c r="H101" s="6" t="inlineStr"/>
    </row>
    <row r="102">
      <c r="A102" s="2" t="inlineStr">
        <is>
          <t>AR20</t>
        </is>
      </c>
      <c r="B102" s="2" t="inlineStr">
        <is>
          <t>Hiện vật (E2)</t>
        </is>
      </c>
      <c r="C102" s="2" t="inlineStr">
        <is>
          <t>Giả định đang dùng</t>
        </is>
      </c>
      <c r="D102" s="2" t="inlineStr">
        <is>
          <t>MDD-40 E2</t>
        </is>
      </c>
      <c r="E102" s="2">
        <f>COUNTIF('Anh xa'!$D$2:$D$725,A102)</f>
        <v/>
      </c>
      <c r="F102" s="2">
        <f>IF(E102&gt;0,"Đã phủ","THIẾU")</f>
        <v/>
      </c>
      <c r="G102" s="6" t="inlineStr">
        <is>
          <t>Chưa làm</t>
        </is>
      </c>
      <c r="H102" s="6" t="inlineStr"/>
    </row>
    <row r="103">
      <c r="A103" s="2" t="inlineStr">
        <is>
          <t>AR21</t>
        </is>
      </c>
      <c r="B103" s="2" t="inlineStr">
        <is>
          <t>Hiện vật (E2)</t>
        </is>
      </c>
      <c r="C103" s="2" t="inlineStr">
        <is>
          <t>Báo cáo lượt</t>
        </is>
      </c>
      <c r="D103" s="2" t="inlineStr">
        <is>
          <t>MDD-40 E2</t>
        </is>
      </c>
      <c r="E103" s="2">
        <f>COUNTIF('Anh xa'!$D$2:$D$725,A103)</f>
        <v/>
      </c>
      <c r="F103" s="2">
        <f>IF(E103&gt;0,"Đã phủ","THIẾU")</f>
        <v/>
      </c>
      <c r="G103" s="6" t="inlineStr">
        <is>
          <t>Chưa làm</t>
        </is>
      </c>
      <c r="H103" s="6" t="inlineStr"/>
    </row>
    <row r="104">
      <c r="A104" s="2" t="inlineStr">
        <is>
          <t>AR22</t>
        </is>
      </c>
      <c r="B104" s="2" t="inlineStr">
        <is>
          <t>Hiện vật (E2)</t>
        </is>
      </c>
      <c r="C104" s="2" t="inlineStr">
        <is>
          <t>Changeset</t>
        </is>
      </c>
      <c r="D104" s="2" t="inlineStr">
        <is>
          <t>MDD-40 E2</t>
        </is>
      </c>
      <c r="E104" s="2">
        <f>COUNTIF('Anh xa'!$D$2:$D$725,A104)</f>
        <v/>
      </c>
      <c r="F104" s="2">
        <f>IF(E104&gt;0,"Đã phủ","THIẾU")</f>
        <v/>
      </c>
      <c r="G104" s="6" t="inlineStr">
        <is>
          <t>Chưa làm</t>
        </is>
      </c>
      <c r="H104" s="6" t="inlineStr"/>
    </row>
    <row r="105">
      <c r="A105" s="2" t="inlineStr">
        <is>
          <t>AR23</t>
        </is>
      </c>
      <c r="B105" s="2" t="inlineStr">
        <is>
          <t>Hiện vật (E2)</t>
        </is>
      </c>
      <c r="C105" s="2" t="inlineStr">
        <is>
          <t>Snapshot</t>
        </is>
      </c>
      <c r="D105" s="2" t="inlineStr">
        <is>
          <t>MDD-40 E2</t>
        </is>
      </c>
      <c r="E105" s="2">
        <f>COUNTIF('Anh xa'!$D$2:$D$725,A105)</f>
        <v/>
      </c>
      <c r="F105" s="2">
        <f>IF(E105&gt;0,"Đã phủ","THIẾU")</f>
        <v/>
      </c>
      <c r="G105" s="6" t="inlineStr">
        <is>
          <t>Chưa làm</t>
        </is>
      </c>
      <c r="H105" s="6" t="inlineStr"/>
    </row>
    <row r="106">
      <c r="A106" s="2" t="inlineStr">
        <is>
          <t>EX-summary</t>
        </is>
      </c>
      <c r="B106" s="2" t="inlineStr">
        <is>
          <t>Lớp giải thích</t>
        </is>
      </c>
      <c r="C106" s="2" t="inlineStr">
        <is>
          <t>Tóm tắt 1 câu</t>
        </is>
      </c>
      <c r="D106" s="2" t="inlineStr">
        <is>
          <t>MDD-40 E3.1</t>
        </is>
      </c>
      <c r="E106" s="2">
        <f>COUNTIF('Anh xa'!$D$2:$D$725,A106)</f>
        <v/>
      </c>
      <c r="F106" s="2">
        <f>IF(E106&gt;0,"Đã phủ","THIẾU")</f>
        <v/>
      </c>
      <c r="G106" s="6" t="inlineStr">
        <is>
          <t>Chưa làm</t>
        </is>
      </c>
      <c r="H106" s="6" t="inlineStr"/>
    </row>
    <row r="107">
      <c r="A107" s="2" t="inlineStr">
        <is>
          <t>EX-why</t>
        </is>
      </c>
      <c r="B107" s="2" t="inlineStr">
        <is>
          <t>Lớp giải thích</t>
        </is>
      </c>
      <c r="C107" s="2" t="inlineStr">
        <is>
          <t>Vì sao</t>
        </is>
      </c>
      <c r="D107" s="2" t="inlineStr">
        <is>
          <t>MDD-40 E3.1</t>
        </is>
      </c>
      <c r="E107" s="2">
        <f>COUNTIF('Anh xa'!$D$2:$D$725,A107)</f>
        <v/>
      </c>
      <c r="F107" s="2">
        <f>IF(E107&gt;0,"Đã phủ","THIẾU")</f>
        <v/>
      </c>
      <c r="G107" s="6" t="inlineStr">
        <is>
          <t>Chưa làm</t>
        </is>
      </c>
      <c r="H107" s="6" t="inlineStr"/>
    </row>
    <row r="108">
      <c r="A108" s="2" t="inlineStr">
        <is>
          <t>EX-sources</t>
        </is>
      </c>
      <c r="B108" s="2" t="inlineStr">
        <is>
          <t>Lớp giải thích</t>
        </is>
      </c>
      <c r="C108" s="2" t="inlineStr">
        <is>
          <t>Nguồn bấm được + tầng</t>
        </is>
      </c>
      <c r="D108" s="2" t="inlineStr">
        <is>
          <t>MDD-40 E3.1</t>
        </is>
      </c>
      <c r="E108" s="2">
        <f>COUNTIF('Anh xa'!$D$2:$D$725,A108)</f>
        <v/>
      </c>
      <c r="F108" s="2">
        <f>IF(E108&gt;0,"Đã phủ","THIẾU")</f>
        <v/>
      </c>
      <c r="G108" s="6" t="inlineStr">
        <is>
          <t>Chưa làm</t>
        </is>
      </c>
      <c r="H108" s="6" t="inlineStr"/>
    </row>
    <row r="109">
      <c r="A109" s="2" t="inlineStr">
        <is>
          <t>EX-diff_prev</t>
        </is>
      </c>
      <c r="B109" s="2" t="inlineStr">
        <is>
          <t>Lớp giải thích</t>
        </is>
      </c>
      <c r="C109" s="2" t="inlineStr">
        <is>
          <t>Khác bản trước</t>
        </is>
      </c>
      <c r="D109" s="2" t="inlineStr">
        <is>
          <t>MDD-40 E3.1</t>
        </is>
      </c>
      <c r="E109" s="2">
        <f>COUNTIF('Anh xa'!$D$2:$D$725,A109)</f>
        <v/>
      </c>
      <c r="F109" s="2">
        <f>IF(E109&gt;0,"Đã phủ","THIẾU")</f>
        <v/>
      </c>
      <c r="G109" s="6" t="inlineStr">
        <is>
          <t>Chưa làm</t>
        </is>
      </c>
      <c r="H109" s="6" t="inlineStr"/>
    </row>
    <row r="110">
      <c r="A110" s="2" t="inlineStr">
        <is>
          <t>EX-next</t>
        </is>
      </c>
      <c r="B110" s="2" t="inlineStr">
        <is>
          <t>Lớp giải thích</t>
        </is>
      </c>
      <c r="C110" s="2" t="inlineStr">
        <is>
          <t>Việc tiếp theo</t>
        </is>
      </c>
      <c r="D110" s="2" t="inlineStr">
        <is>
          <t>MDD-40 E3.1</t>
        </is>
      </c>
      <c r="E110" s="2">
        <f>COUNTIF('Anh xa'!$D$2:$D$725,A110)</f>
        <v/>
      </c>
      <c r="F110" s="2">
        <f>IF(E110&gt;0,"Đã phủ","THIẾU")</f>
        <v/>
      </c>
      <c r="G110" s="6" t="inlineStr">
        <is>
          <t>Chưa làm</t>
        </is>
      </c>
      <c r="H110" s="6" t="inlineStr"/>
    </row>
    <row r="111">
      <c r="A111" s="2" t="inlineStr">
        <is>
          <t>EX-confidence</t>
        </is>
      </c>
      <c r="B111" s="2" t="inlineStr">
        <is>
          <t>Lớp giải thích</t>
        </is>
      </c>
      <c r="C111" s="2" t="inlineStr">
        <is>
          <t>Tin được đến đâu</t>
        </is>
      </c>
      <c r="D111" s="2" t="inlineStr">
        <is>
          <t>MDD-40 E3.1</t>
        </is>
      </c>
      <c r="E111" s="2">
        <f>COUNTIF('Anh xa'!$D$2:$D$725,A111)</f>
        <v/>
      </c>
      <c r="F111" s="2">
        <f>IF(E111&gt;0,"Đã phủ","THIẾU")</f>
        <v/>
      </c>
      <c r="G111" s="6" t="inlineStr">
        <is>
          <t>Chưa làm</t>
        </is>
      </c>
      <c r="H111" s="6" t="inlineStr"/>
    </row>
    <row r="112">
      <c r="A112" s="2" t="inlineStr">
        <is>
          <t>EX-why-button</t>
        </is>
      </c>
      <c r="B112" s="2" t="inlineStr">
        <is>
          <t>Lớp giải thích</t>
        </is>
      </c>
      <c r="C112" s="2" t="inlineStr">
        <is>
          <t>Nút 'Vì sao?' (0 token)</t>
        </is>
      </c>
      <c r="D112" s="2" t="inlineStr">
        <is>
          <t>MDD-40 E3.3–3.4</t>
        </is>
      </c>
      <c r="E112" s="2">
        <f>COUNTIF('Anh xa'!$D$2:$D$725,A112)</f>
        <v/>
      </c>
      <c r="F112" s="2">
        <f>IF(E112&gt;0,"Đã phủ","THIẾU")</f>
        <v/>
      </c>
      <c r="G112" s="6" t="inlineStr">
        <is>
          <t>Chưa làm</t>
        </is>
      </c>
      <c r="H112" s="6" t="inlineStr"/>
    </row>
    <row r="113">
      <c r="A113" s="2" t="inlineStr">
        <is>
          <t>EX-explain-more</t>
        </is>
      </c>
      <c r="B113" s="2" t="inlineStr">
        <is>
          <t>Lớp giải thích</t>
        </is>
      </c>
      <c r="C113" s="2" t="inlineStr">
        <is>
          <t>Nút 'Giải thích thêm' → tác tử trả lời</t>
        </is>
      </c>
      <c r="D113" s="2" t="inlineStr">
        <is>
          <t>MDD-40 E3.3–3.4</t>
        </is>
      </c>
      <c r="E113" s="2">
        <f>COUNTIF('Anh xa'!$D$2:$D$725,A113)</f>
        <v/>
      </c>
      <c r="F113" s="2">
        <f>IF(E113&gt;0,"Đã phủ","THIẾU")</f>
        <v/>
      </c>
      <c r="G113" s="6" t="inlineStr">
        <is>
          <t>Chưa làm</t>
        </is>
      </c>
      <c r="H113" s="6" t="inlineStr"/>
    </row>
    <row r="114">
      <c r="A114" s="2" t="inlineStr">
        <is>
          <t>EX-habit</t>
        </is>
      </c>
      <c r="B114" s="2" t="inlineStr">
        <is>
          <t>Lớp giải thích</t>
        </is>
      </c>
      <c r="C114" s="2" t="inlineStr">
        <is>
          <t>Thói quen trình bày theo người dùng</t>
        </is>
      </c>
      <c r="D114" s="2" t="inlineStr">
        <is>
          <t>MDD-40 E3.3–3.4</t>
        </is>
      </c>
      <c r="E114" s="2">
        <f>COUNTIF('Anh xa'!$D$2:$D$725,A114)</f>
        <v/>
      </c>
      <c r="F114" s="2">
        <f>IF(E114&gt;0,"Đã phủ","THIẾU")</f>
        <v/>
      </c>
      <c r="G114" s="6" t="inlineStr">
        <is>
          <t>Chưa làm</t>
        </is>
      </c>
      <c r="H114" s="6" t="inlineStr"/>
    </row>
    <row r="115">
      <c r="A115" s="2" t="inlineStr">
        <is>
          <t>PR1</t>
        </is>
      </c>
      <c r="B115" s="2" t="inlineStr">
        <is>
          <t>Quy tắc trình bày</t>
        </is>
      </c>
      <c r="C115" s="2" t="inlineStr">
        <is>
          <t>Tóm tắt trước, chi tiết sau (gập)</t>
        </is>
      </c>
      <c r="D115" s="2" t="inlineStr">
        <is>
          <t>MDD-40 E3.2</t>
        </is>
      </c>
      <c r="E115" s="2">
        <f>COUNTIF('Anh xa'!$D$2:$D$725,A115)</f>
        <v/>
      </c>
      <c r="F115" s="2">
        <f>IF(E115&gt;0,"Đã phủ","THIẾU")</f>
        <v/>
      </c>
      <c r="G115" s="6" t="inlineStr">
        <is>
          <t>Chưa làm</t>
        </is>
      </c>
      <c r="H115" s="6" t="inlineStr"/>
    </row>
    <row r="116">
      <c r="A116" s="2" t="inlineStr">
        <is>
          <t>PR2</t>
        </is>
      </c>
      <c r="B116" s="2" t="inlineStr">
        <is>
          <t>Quy tắc trình bày</t>
        </is>
      </c>
      <c r="C116" s="2" t="inlineStr">
        <is>
          <t>Mọi con số là liên kết ra nguồn</t>
        </is>
      </c>
      <c r="D116" s="2" t="inlineStr">
        <is>
          <t>MDD-40 E3.2</t>
        </is>
      </c>
      <c r="E116" s="2">
        <f>COUNTIF('Anh xa'!$D$2:$D$725,A116)</f>
        <v/>
      </c>
      <c r="F116" s="2">
        <f>IF(E116&gt;0,"Đã phủ","THIẾU")</f>
        <v/>
      </c>
      <c r="G116" s="6" t="inlineStr">
        <is>
          <t>Chưa làm</t>
        </is>
      </c>
      <c r="H116" s="6" t="inlineStr"/>
    </row>
    <row r="117">
      <c r="A117" s="2" t="inlineStr">
        <is>
          <t>PR3</t>
        </is>
      </c>
      <c r="B117" s="2" t="inlineStr">
        <is>
          <t>Quy tắc trình bày</t>
        </is>
      </c>
      <c r="C117" s="2" t="inlineStr">
        <is>
          <t>Luôn nói khác biệt; băng STALE</t>
        </is>
      </c>
      <c r="D117" s="2" t="inlineStr">
        <is>
          <t>MDD-40 E3.2</t>
        </is>
      </c>
      <c r="E117" s="2">
        <f>COUNTIF('Anh xa'!$D$2:$D$725,A117)</f>
        <v/>
      </c>
      <c r="F117" s="2">
        <f>IF(E117&gt;0,"Đã phủ","THIẾU")</f>
        <v/>
      </c>
      <c r="G117" s="6" t="inlineStr">
        <is>
          <t>Chưa làm</t>
        </is>
      </c>
      <c r="H117" s="6" t="inlineStr"/>
    </row>
    <row r="118">
      <c r="A118" s="2" t="inlineStr">
        <is>
          <t>PR4</t>
        </is>
      </c>
      <c r="B118" s="2" t="inlineStr">
        <is>
          <t>Quy tắc trình bày</t>
        </is>
      </c>
      <c r="C118" s="2" t="inlineStr">
        <is>
          <t>Chỉ ra đúng một việc cần người</t>
        </is>
      </c>
      <c r="D118" s="2" t="inlineStr">
        <is>
          <t>MDD-40 E3.2</t>
        </is>
      </c>
      <c r="E118" s="2">
        <f>COUNTIF('Anh xa'!$D$2:$D$725,A118)</f>
        <v/>
      </c>
      <c r="F118" s="2">
        <f>IF(E118&gt;0,"Đã phủ","THIẾU")</f>
        <v/>
      </c>
      <c r="G118" s="6" t="inlineStr">
        <is>
          <t>Chưa làm</t>
        </is>
      </c>
      <c r="H118" s="6" t="inlineStr"/>
    </row>
    <row r="119">
      <c r="A119" s="2" t="inlineStr">
        <is>
          <t>PR5</t>
        </is>
      </c>
      <c r="B119" s="2" t="inlineStr">
        <is>
          <t>Quy tắc trình bày</t>
        </is>
      </c>
      <c r="C119" s="2" t="inlineStr">
        <is>
          <t>Không giấu thất bại — khối riêng</t>
        </is>
      </c>
      <c r="D119" s="2" t="inlineStr">
        <is>
          <t>MDD-40 E3.2</t>
        </is>
      </c>
      <c r="E119" s="2">
        <f>COUNTIF('Anh xa'!$D$2:$D$725,A119)</f>
        <v/>
      </c>
      <c r="F119" s="2">
        <f>IF(E119&gt;0,"Đã phủ","THIẾU")</f>
        <v/>
      </c>
      <c r="G119" s="6" t="inlineStr">
        <is>
          <t>Chưa làm</t>
        </is>
      </c>
      <c r="H119" s="6" t="inlineStr"/>
    </row>
    <row r="120">
      <c r="A120" s="2" t="inlineStr">
        <is>
          <t>ED1</t>
        </is>
      </c>
      <c r="B120" s="2" t="inlineStr">
        <is>
          <t>Đồng bộ khi người sửa</t>
        </is>
      </c>
      <c r="C120" s="2" t="inlineStr">
        <is>
          <t>Sửa trên Surface bằng widget đúng loại; cảnh báo soft-lock</t>
        </is>
      </c>
      <c r="D120" s="2" t="inlineStr">
        <is>
          <t>MDD-40 E4</t>
        </is>
      </c>
      <c r="E120" s="2">
        <f>COUNTIF('Anh xa'!$D$2:$D$725,A120)</f>
        <v/>
      </c>
      <c r="F120" s="2">
        <f>IF(E120&gt;0,"Đã phủ","THIẾU")</f>
        <v/>
      </c>
      <c r="G120" s="6" t="inlineStr">
        <is>
          <t>Chưa làm</t>
        </is>
      </c>
      <c r="H120" s="6" t="inlineStr"/>
    </row>
    <row r="121">
      <c r="A121" s="2" t="inlineStr">
        <is>
          <t>ED2</t>
        </is>
      </c>
      <c r="B121" s="2" t="inlineStr">
        <is>
          <t>Đồng bộ khi người sửa</t>
        </is>
      </c>
      <c r="C121" s="2" t="inlineStr">
        <is>
          <t>Lưu → HumanAct edit qua Console; dòng '[Bạn] Sửa…'</t>
        </is>
      </c>
      <c r="D121" s="2" t="inlineStr">
        <is>
          <t>MDD-40 E4</t>
        </is>
      </c>
      <c r="E121" s="2">
        <f>COUNTIF('Anh xa'!$D$2:$D$725,A121)</f>
        <v/>
      </c>
      <c r="F121" s="2">
        <f>IF(E121&gt;0,"Đã phủ","THIẾU")</f>
        <v/>
      </c>
      <c r="G121" s="6" t="inlineStr">
        <is>
          <t>Chưa làm</t>
        </is>
      </c>
      <c r="H121" s="6" t="inlineStr"/>
    </row>
    <row r="122">
      <c r="A122" s="2" t="inlineStr">
        <is>
          <t>ED3</t>
        </is>
      </c>
      <c r="B122" s="2" t="inlineStr">
        <is>
          <t>Đồng bộ khi người sửa</t>
        </is>
      </c>
      <c r="C122" s="2" t="inlineStr">
        <is>
          <t>Kiểm lược đồ + 3-way merge; xung đột → thẻ hai bản</t>
        </is>
      </c>
      <c r="D122" s="2" t="inlineStr">
        <is>
          <t>MDD-40 E4</t>
        </is>
      </c>
      <c r="E122" s="2">
        <f>COUNTIF('Anh xa'!$D$2:$D$725,A122)</f>
        <v/>
      </c>
      <c r="F122" s="2">
        <f>IF(E122&gt;0,"Đã phủ","THIẾU")</f>
        <v/>
      </c>
      <c r="G122" s="6" t="inlineStr">
        <is>
          <t>Chưa làm</t>
        </is>
      </c>
      <c r="H122" s="6" t="inlineStr"/>
    </row>
    <row r="123">
      <c r="A123" s="2" t="inlineStr">
        <is>
          <t>ED4</t>
        </is>
      </c>
      <c r="B123" s="2" t="inlineStr">
        <is>
          <t>Đồng bộ khi người sửa</t>
        </is>
      </c>
      <c r="C123" s="2" t="inlineStr">
        <is>
          <t>Changeset author=human; STALE hạ nguồn</t>
        </is>
      </c>
      <c r="D123" s="2" t="inlineStr">
        <is>
          <t>MDD-40 E4</t>
        </is>
      </c>
      <c r="E123" s="2">
        <f>COUNTIF('Anh xa'!$D$2:$D$725,A123)</f>
        <v/>
      </c>
      <c r="F123" s="2">
        <f>IF(E123&gt;0,"Đã phủ","THIẾU")</f>
        <v/>
      </c>
      <c r="G123" s="6" t="inlineStr">
        <is>
          <t>Chưa làm</t>
        </is>
      </c>
      <c r="H123" s="6" t="inlineStr"/>
    </row>
    <row r="124">
      <c r="A124" s="2" t="inlineStr">
        <is>
          <t>ED5</t>
        </is>
      </c>
      <c r="B124" s="2" t="inlineStr">
        <is>
          <t>Đồng bộ khi người sửa</t>
        </is>
      </c>
      <c r="C124" s="2" t="inlineStr">
        <is>
          <t>Đồng bộ: EIDE.md §Người vừa sửa; &lt;human_edits&gt;; Fact NGƯỜI</t>
        </is>
      </c>
      <c r="D124" s="2" t="inlineStr">
        <is>
          <t>MDD-40 E4</t>
        </is>
      </c>
      <c r="E124" s="2">
        <f>COUNTIF('Anh xa'!$D$2:$D$725,A124)</f>
        <v/>
      </c>
      <c r="F124" s="2">
        <f>IF(E124&gt;0,"Đã phủ","THIẾU")</f>
        <v/>
      </c>
      <c r="G124" s="6" t="inlineStr">
        <is>
          <t>Chưa làm</t>
        </is>
      </c>
      <c r="H124" s="6" t="inlineStr"/>
    </row>
    <row r="125">
      <c r="A125" s="2" t="inlineStr">
        <is>
          <t>ED6</t>
        </is>
      </c>
      <c r="B125" s="2" t="inlineStr">
        <is>
          <t>Đồng bộ khi người sửa</t>
        </is>
      </c>
      <c r="C125" s="2" t="inlineStr">
        <is>
          <t>Tác tử phản hồi: nhắc, hệ quả, đề nghị; không ghi đè</t>
        </is>
      </c>
      <c r="D125" s="2" t="inlineStr">
        <is>
          <t>MDD-40 E4</t>
        </is>
      </c>
      <c r="E125" s="2">
        <f>COUNTIF('Anh xa'!$D$2:$D$725,A125)</f>
        <v/>
      </c>
      <c r="F125" s="2">
        <f>IF(E125&gt;0,"Đã phủ","THIẾU")</f>
        <v/>
      </c>
      <c r="G125" s="6" t="inlineStr">
        <is>
          <t>Chưa làm</t>
        </is>
      </c>
      <c r="H125" s="6" t="inlineStr"/>
    </row>
    <row r="126">
      <c r="A126" s="2" t="inlineStr">
        <is>
          <t>EDK-content</t>
        </is>
      </c>
      <c r="B126" s="2" t="inlineStr">
        <is>
          <t>Loại sửa của người</t>
        </is>
      </c>
      <c r="C126" s="2" t="inlineStr">
        <is>
          <t>Sửa nội dung → STALE + đề nghị</t>
        </is>
      </c>
      <c r="D126" s="2" t="inlineStr">
        <is>
          <t>MDD-40 E4.1</t>
        </is>
      </c>
      <c r="E126" s="2">
        <f>COUNTIF('Anh xa'!$D$2:$D$725,A126)</f>
        <v/>
      </c>
      <c r="F126" s="2">
        <f>IF(E126&gt;0,"Đã phủ","THIẾU")</f>
        <v/>
      </c>
      <c r="G126" s="6" t="inlineStr">
        <is>
          <t>Chưa làm</t>
        </is>
      </c>
      <c r="H126" s="6" t="inlineStr"/>
    </row>
    <row r="127">
      <c r="A127" s="2" t="inlineStr">
        <is>
          <t>EDK-decision</t>
        </is>
      </c>
      <c r="B127" s="2" t="inlineStr">
        <is>
          <t>Loại sửa của người</t>
        </is>
      </c>
      <c r="C127" s="2" t="inlineStr">
        <is>
          <t>Sửa quyết định → ADR mới, hỏi nhánh</t>
        </is>
      </c>
      <c r="D127" s="2" t="inlineStr">
        <is>
          <t>MDD-40 E4.1</t>
        </is>
      </c>
      <c r="E127" s="2">
        <f>COUNTIF('Anh xa'!$D$2:$D$725,A127)</f>
        <v/>
      </c>
      <c r="F127" s="2">
        <f>IF(E127&gt;0,"Đã phủ","THIẾU")</f>
        <v/>
      </c>
      <c r="G127" s="6" t="inlineStr">
        <is>
          <t>Chưa làm</t>
        </is>
      </c>
      <c r="H127" s="6" t="inlineStr"/>
    </row>
    <row r="128">
      <c r="A128" s="2" t="inlineStr">
        <is>
          <t>EDK-presentation</t>
        </is>
      </c>
      <c r="B128" s="2" t="inlineStr">
        <is>
          <t>Loại sửa của người</t>
        </is>
      </c>
      <c r="C128" s="2" t="inlineStr">
        <is>
          <t>Sửa trình bày → không STALE</t>
        </is>
      </c>
      <c r="D128" s="2" t="inlineStr">
        <is>
          <t>MDD-40 E4.1</t>
        </is>
      </c>
      <c r="E128" s="2">
        <f>COUNTIF('Anh xa'!$D$2:$D$725,A128)</f>
        <v/>
      </c>
      <c r="F128" s="2">
        <f>IF(E128&gt;0,"Đã phủ","THIẾU")</f>
        <v/>
      </c>
      <c r="G128" s="6" t="inlineStr">
        <is>
          <t>Chưa làm</t>
        </is>
      </c>
      <c r="H128" s="6" t="inlineStr"/>
    </row>
    <row r="129">
      <c r="A129" s="2" t="inlineStr">
        <is>
          <t>EDK-reject</t>
        </is>
      </c>
      <c r="B129" s="2" t="inlineStr">
        <is>
          <t>Loại sửa của người</t>
        </is>
      </c>
      <c r="C129" s="2" t="inlineStr">
        <is>
          <t>Bác bỏ → EIDE.md §Đừng</t>
        </is>
      </c>
      <c r="D129" s="2" t="inlineStr">
        <is>
          <t>MDD-40 E4.1</t>
        </is>
      </c>
      <c r="E129" s="2">
        <f>COUNTIF('Anh xa'!$D$2:$D$725,A129)</f>
        <v/>
      </c>
      <c r="F129" s="2">
        <f>IF(E129&gt;0,"Đã phủ","THIẾU")</f>
        <v/>
      </c>
      <c r="G129" s="6" t="inlineStr">
        <is>
          <t>Chưa làm</t>
        </is>
      </c>
      <c r="H129" s="6" t="inlineStr"/>
    </row>
    <row r="130">
      <c r="A130" s="2" t="inlineStr">
        <is>
          <t>EDK-lockbroken</t>
        </is>
      </c>
      <c r="B130" s="2" t="inlineStr">
        <is>
          <t>Loại sửa của người</t>
        </is>
      </c>
      <c r="C130" s="2" t="inlineStr">
        <is>
          <t>Sửa tệp đang khoá → merge, không ghi đè</t>
        </is>
      </c>
      <c r="D130" s="2" t="inlineStr">
        <is>
          <t>MDD-40 E4.1</t>
        </is>
      </c>
      <c r="E130" s="2">
        <f>COUNTIF('Anh xa'!$D$2:$D$725,A130)</f>
        <v/>
      </c>
      <c r="F130" s="2">
        <f>IF(E130&gt;0,"Đã phủ","THIẾU")</f>
        <v/>
      </c>
      <c r="G130" s="6" t="inlineStr">
        <is>
          <t>Chưa làm</t>
        </is>
      </c>
      <c r="H130" s="6" t="inlineStr"/>
    </row>
    <row r="131">
      <c r="A131" s="2" t="inlineStr">
        <is>
          <t>CS-unit</t>
        </is>
      </c>
      <c r="B131" s="2" t="inlineStr">
        <is>
          <t>Changeset &amp; rollback</t>
        </is>
      </c>
      <c r="C131" s="2" t="inlineStr">
        <is>
          <t>Changeset: tác giả, inverse ops, reversible</t>
        </is>
      </c>
      <c r="D131" s="2" t="inlineStr">
        <is>
          <t>MDD-40 E5</t>
        </is>
      </c>
      <c r="E131" s="2">
        <f>COUNTIF('Anh xa'!$D$2:$D$725,A131)</f>
        <v/>
      </c>
      <c r="F131" s="2">
        <f>IF(E131&gt;0,"Đã phủ","THIẾU")</f>
        <v/>
      </c>
      <c r="G131" s="6" t="inlineStr">
        <is>
          <t>Chưa làm</t>
        </is>
      </c>
      <c r="H131" s="6" t="inlineStr"/>
    </row>
    <row r="132">
      <c r="A132" s="2" t="inlineStr">
        <is>
          <t>CS-undo1</t>
        </is>
      </c>
      <c r="B132" s="2" t="inlineStr">
        <is>
          <t>Changeset &amp; rollback</t>
        </is>
      </c>
      <c r="C132" s="2" t="inlineStr">
        <is>
          <t>Hoàn tác một changeset</t>
        </is>
      </c>
      <c r="D132" s="2" t="inlineStr">
        <is>
          <t>MDD-40 E5</t>
        </is>
      </c>
      <c r="E132" s="2">
        <f>COUNTIF('Anh xa'!$D$2:$D$725,A132)</f>
        <v/>
      </c>
      <c r="F132" s="2">
        <f>IF(E132&gt;0,"Đã phủ","THIẾU")</f>
        <v/>
      </c>
      <c r="G132" s="6" t="inlineStr">
        <is>
          <t>Chưa làm</t>
        </is>
      </c>
      <c r="H132" s="6" t="inlineStr"/>
    </row>
    <row r="133">
      <c r="A133" s="2" t="inlineStr">
        <is>
          <t>CS-undo2</t>
        </is>
      </c>
      <c r="B133" s="2" t="inlineStr">
        <is>
          <t>Changeset &amp; rollback</t>
        </is>
      </c>
      <c r="C133" s="2" t="inlineStr">
        <is>
          <t>Hoàn tác cả lượt (G-HIST)</t>
        </is>
      </c>
      <c r="D133" s="2" t="inlineStr">
        <is>
          <t>MDD-40 E5</t>
        </is>
      </c>
      <c r="E133" s="2">
        <f>COUNTIF('Anh xa'!$D$2:$D$725,A133)</f>
        <v/>
      </c>
      <c r="F133" s="2">
        <f>IF(E133&gt;0,"Đã phủ","THIẾU")</f>
        <v/>
      </c>
      <c r="G133" s="6" t="inlineStr">
        <is>
          <t>Chưa làm</t>
        </is>
      </c>
      <c r="H133" s="6" t="inlineStr"/>
    </row>
    <row r="134">
      <c r="A134" s="2" t="inlineStr">
        <is>
          <t>CS-undo3</t>
        </is>
      </c>
      <c r="B134" s="2" t="inlineStr">
        <is>
          <t>Changeset &amp; rollback</t>
        </is>
      </c>
      <c r="C134" s="2" t="inlineStr">
        <is>
          <t>Về snapshot (G-HIST)</t>
        </is>
      </c>
      <c r="D134" s="2" t="inlineStr">
        <is>
          <t>MDD-40 E5</t>
        </is>
      </c>
      <c r="E134" s="2">
        <f>COUNTIF('Anh xa'!$D$2:$D$725,A134)</f>
        <v/>
      </c>
      <c r="F134" s="2">
        <f>IF(E134&gt;0,"Đã phủ","THIẾU")</f>
        <v/>
      </c>
      <c r="G134" s="6" t="inlineStr">
        <is>
          <t>Chưa làm</t>
        </is>
      </c>
      <c r="H134" s="6" t="inlineStr"/>
    </row>
    <row r="135">
      <c r="A135" s="2" t="inlineStr">
        <is>
          <t>CS-irreversible</t>
        </is>
      </c>
      <c r="B135" s="2" t="inlineStr">
        <is>
          <t>Changeset &amp; rollback</t>
        </is>
      </c>
      <c r="C135" s="2" t="inlineStr">
        <is>
          <t>Hành động không hoàn tác được — cảnh báo, đề nghị snapshot</t>
        </is>
      </c>
      <c r="D135" s="2" t="inlineStr">
        <is>
          <t>MDD-40 E5</t>
        </is>
      </c>
      <c r="E135" s="2">
        <f>COUNTIF('Anh xa'!$D$2:$D$725,A135)</f>
        <v/>
      </c>
      <c r="F135" s="2">
        <f>IF(E135&gt;0,"Đã phủ","THIẾU")</f>
        <v/>
      </c>
      <c r="G135" s="6" t="inlineStr">
        <is>
          <t>Chưa làm</t>
        </is>
      </c>
      <c r="H135" s="6" t="inlineStr"/>
    </row>
    <row r="136">
      <c r="A136" s="2" t="inlineStr">
        <is>
          <t>CS-stale</t>
        </is>
      </c>
      <c r="B136" s="2" t="inlineStr">
        <is>
          <t>Changeset &amp; rollback</t>
        </is>
      </c>
      <c r="C136" s="2" t="inlineStr">
        <is>
          <t>Đồ thị phụ thuộc + STALE + chấp nhận STALE</t>
        </is>
      </c>
      <c r="D136" s="2" t="inlineStr">
        <is>
          <t>MDD-40 E5</t>
        </is>
      </c>
      <c r="E136" s="2">
        <f>COUNTIF('Anh xa'!$D$2:$D$725,A136)</f>
        <v/>
      </c>
      <c r="F136" s="2">
        <f>IF(E136&gt;0,"Đã phủ","THIẾU")</f>
        <v/>
      </c>
      <c r="G136" s="6" t="inlineStr">
        <is>
          <t>Chưa làm</t>
        </is>
      </c>
      <c r="H136" s="6" t="inlineStr"/>
    </row>
    <row r="137">
      <c r="A137" s="2" t="inlineStr">
        <is>
          <t>CS-branch</t>
        </is>
      </c>
      <c r="B137" s="2" t="inlineStr">
        <is>
          <t>Changeset &amp; rollback</t>
        </is>
      </c>
      <c r="C137" s="2" t="inlineStr">
        <is>
          <t>Rẽ nhánh phương án; so sánh; gộp</t>
        </is>
      </c>
      <c r="D137" s="2" t="inlineStr">
        <is>
          <t>MDD-40 E5</t>
        </is>
      </c>
      <c r="E137" s="2">
        <f>COUNTIF('Anh xa'!$D$2:$D$725,A137)</f>
        <v/>
      </c>
      <c r="F137" s="2">
        <f>IF(E137&gt;0,"Đã phủ","THIẾU")</f>
        <v/>
      </c>
      <c r="G137" s="6" t="inlineStr">
        <is>
          <t>Chưa làm</t>
        </is>
      </c>
      <c r="H137" s="6" t="inlineStr"/>
    </row>
    <row r="138">
      <c r="A138" s="2" t="inlineStr">
        <is>
          <t>CS-undo30s</t>
        </is>
      </c>
      <c r="B138" s="2" t="inlineStr">
        <is>
          <t>Changeset &amp; rollback</t>
        </is>
      </c>
      <c r="C138" s="2" t="inlineStr">
        <is>
          <t>Hoàn tác lượt vừa xong trong 30 s không cần thẻ</t>
        </is>
      </c>
      <c r="D138" s="2" t="inlineStr">
        <is>
          <t>MDD-40 E5</t>
        </is>
      </c>
      <c r="E138" s="2">
        <f>COUNTIF('Anh xa'!$D$2:$D$725,A138)</f>
        <v/>
      </c>
      <c r="F138" s="2">
        <f>IF(E138&gt;0,"Đã phủ","THIẾU")</f>
        <v/>
      </c>
      <c r="G138" s="6" t="inlineStr">
        <is>
          <t>Chưa làm</t>
        </is>
      </c>
      <c r="H138" s="6" t="inlineStr"/>
    </row>
    <row r="139">
      <c r="A139" s="2" t="inlineStr">
        <is>
          <t>SN-human</t>
        </is>
      </c>
      <c r="B139" s="2" t="inlineStr">
        <is>
          <t>Snapshot</t>
        </is>
      </c>
      <c r="C139" s="2" t="inlineStr">
        <is>
          <t>Người ghi bản ưng ý bất cứ lúc nào</t>
        </is>
      </c>
      <c r="D139" s="2" t="inlineStr">
        <is>
          <t>MDD-40 E6</t>
        </is>
      </c>
      <c r="E139" s="2">
        <f>COUNTIF('Anh xa'!$D$2:$D$725,A139)</f>
        <v/>
      </c>
      <c r="F139" s="2">
        <f>IF(E139&gt;0,"Đã phủ","THIẾU")</f>
        <v/>
      </c>
      <c r="G139" s="6" t="inlineStr">
        <is>
          <t>Chưa làm</t>
        </is>
      </c>
      <c r="H139" s="6" t="inlineStr"/>
    </row>
    <row r="140">
      <c r="A140" s="2" t="inlineStr">
        <is>
          <t>SN-propose</t>
        </is>
      </c>
      <c r="B140" s="2" t="inlineStr">
        <is>
          <t>Snapshot</t>
        </is>
      </c>
      <c r="C140" s="2" t="inlineStr">
        <is>
          <t>Tác tử đề xuất sau mốc (G-SNAP)</t>
        </is>
      </c>
      <c r="D140" s="2" t="inlineStr">
        <is>
          <t>MDD-40 E6</t>
        </is>
      </c>
      <c r="E140" s="2">
        <f>COUNTIF('Anh xa'!$D$2:$D$725,A140)</f>
        <v/>
      </c>
      <c r="F140" s="2">
        <f>IF(E140&gt;0,"Đã phủ","THIẾU")</f>
        <v/>
      </c>
      <c r="G140" s="6" t="inlineStr">
        <is>
          <t>Chưa làm</t>
        </is>
      </c>
      <c r="H140" s="6" t="inlineStr"/>
    </row>
    <row r="141">
      <c r="A141" s="2" t="inlineStr">
        <is>
          <t>SN-checkpoint</t>
        </is>
      </c>
      <c r="B141" s="2" t="inlineStr">
        <is>
          <t>Snapshot</t>
        </is>
      </c>
      <c r="C141" s="2" t="inlineStr">
        <is>
          <t>Checkpoint ngầm trước run/hoàn tác</t>
        </is>
      </c>
      <c r="D141" s="2" t="inlineStr">
        <is>
          <t>MDD-40 E6</t>
        </is>
      </c>
      <c r="E141" s="2">
        <f>COUNTIF('Anh xa'!$D$2:$D$725,A141)</f>
        <v/>
      </c>
      <c r="F141" s="2">
        <f>IF(E141&gt;0,"Đã phủ","THIẾU")</f>
        <v/>
      </c>
      <c r="G141" s="6" t="inlineStr">
        <is>
          <t>Chưa làm</t>
        </is>
      </c>
      <c r="H141" s="6" t="inlineStr"/>
    </row>
    <row r="142">
      <c r="A142" s="2" t="inlineStr">
        <is>
          <t>SN-release</t>
        </is>
      </c>
      <c r="B142" s="2" t="inlineStr">
        <is>
          <t>Snapshot</t>
        </is>
      </c>
      <c r="C142" s="2" t="inlineStr">
        <is>
          <t>Snapshot release — điều kiện cho RDP/eFuse</t>
        </is>
      </c>
      <c r="D142" s="2" t="inlineStr">
        <is>
          <t>MDD-40 E6</t>
        </is>
      </c>
      <c r="E142" s="2">
        <f>COUNTIF('Anh xa'!$D$2:$D$725,A142)</f>
        <v/>
      </c>
      <c r="F142" s="2">
        <f>IF(E142&gt;0,"Đã phủ","THIẾU")</f>
        <v/>
      </c>
      <c r="G142" s="6" t="inlineStr">
        <is>
          <t>Chưa làm</t>
        </is>
      </c>
      <c r="H142" s="6" t="inlineStr"/>
    </row>
    <row r="143">
      <c r="A143" s="2" t="inlineStr">
        <is>
          <t>SN-restore</t>
        </is>
      </c>
      <c r="B143" s="2" t="inlineStr">
        <is>
          <t>Snapshot</t>
        </is>
      </c>
      <c r="C143" s="2" t="inlineStr">
        <is>
          <t>Khôi phục: liệt kê sẽ mất gì, vào nhánh mới</t>
        </is>
      </c>
      <c r="D143" s="2" t="inlineStr">
        <is>
          <t>MDD-40 E6</t>
        </is>
      </c>
      <c r="E143" s="2">
        <f>COUNTIF('Anh xa'!$D$2:$D$725,A143)</f>
        <v/>
      </c>
      <c r="F143" s="2">
        <f>IF(E143&gt;0,"Đã phủ","THIẾU")</f>
        <v/>
      </c>
      <c r="G143" s="6" t="inlineStr">
        <is>
          <t>Chưa làm</t>
        </is>
      </c>
      <c r="H143" s="6" t="inlineStr"/>
    </row>
    <row r="144">
      <c r="A144" s="2" t="inlineStr">
        <is>
          <t>SN-compare</t>
        </is>
      </c>
      <c r="B144" s="2" t="inlineStr">
        <is>
          <t>Snapshot</t>
        </is>
      </c>
      <c r="C144" s="2" t="inlineStr">
        <is>
          <t>So sánh hai snapshot</t>
        </is>
      </c>
      <c r="D144" s="2" t="inlineStr">
        <is>
          <t>MDD-40 E6</t>
        </is>
      </c>
      <c r="E144" s="2">
        <f>COUNTIF('Anh xa'!$D$2:$D$725,A144)</f>
        <v/>
      </c>
      <c r="F144" s="2">
        <f>IF(E144&gt;0,"Đã phủ","THIẾU")</f>
        <v/>
      </c>
      <c r="G144" s="6" t="inlineStr">
        <is>
          <t>Chưa làm</t>
        </is>
      </c>
      <c r="H144" s="6" t="inlineStr"/>
    </row>
    <row r="145">
      <c r="A145" s="2" t="inlineStr">
        <is>
          <t>SN-resume-info</t>
        </is>
      </c>
      <c r="B145" s="2" t="inlineStr">
        <is>
          <t>Snapshot</t>
        </is>
      </c>
      <c r="C145" s="2" t="inlineStr">
        <is>
          <t>Mở lại dự án nêu snapshot gần nhất + khoảng cách</t>
        </is>
      </c>
      <c r="D145" s="2" t="inlineStr">
        <is>
          <t>MDD-40 E6</t>
        </is>
      </c>
      <c r="E145" s="2">
        <f>COUNTIF('Anh xa'!$D$2:$D$725,A145)</f>
        <v/>
      </c>
      <c r="F145" s="2">
        <f>IF(E145&gt;0,"Đã phủ","THIẾU")</f>
        <v/>
      </c>
      <c r="G145" s="6" t="inlineStr">
        <is>
          <t>Chưa làm</t>
        </is>
      </c>
      <c r="H145" s="6" t="inlineStr"/>
    </row>
    <row r="146">
      <c r="A146" s="2" t="inlineStr">
        <is>
          <t>SN-export</t>
        </is>
      </c>
      <c r="B146" s="2" t="inlineStr">
        <is>
          <t>Snapshot</t>
        </is>
      </c>
      <c r="C146" s="2" t="inlineStr">
        <is>
          <t>Xuất gói release</t>
        </is>
      </c>
      <c r="D146" s="2" t="inlineStr">
        <is>
          <t>MDD-40 E6</t>
        </is>
      </c>
      <c r="E146" s="2">
        <f>COUNTIF('Anh xa'!$D$2:$D$725,A146)</f>
        <v/>
      </c>
      <c r="F146" s="2">
        <f>IF(E146&gt;0,"Đã phủ","THIẾU")</f>
        <v/>
      </c>
      <c r="G146" s="6" t="inlineStr">
        <is>
          <t>Chưa làm</t>
        </is>
      </c>
      <c r="H146" s="6" t="inlineStr"/>
    </row>
    <row r="147">
      <c r="A147" s="2" t="inlineStr">
        <is>
          <t>T-VANG</t>
        </is>
      </c>
      <c r="B147" s="2" t="inlineStr">
        <is>
          <t>Tầng dữ liệu</t>
        </is>
      </c>
      <c r="C147" s="2" t="inlineStr">
        <is>
          <t>Tầng VÀNG — nền vàng, khoá, mở trang nguồn</t>
        </is>
      </c>
      <c r="D147" s="2" t="inlineStr">
        <is>
          <t>MDD-40 C1</t>
        </is>
      </c>
      <c r="E147" s="2">
        <f>COUNTIF('Anh xa'!$D$2:$D$725,A147)</f>
        <v/>
      </c>
      <c r="F147" s="2">
        <f>IF(E147&gt;0,"Đã phủ","THIẾU")</f>
        <v/>
      </c>
      <c r="G147" s="6" t="inlineStr">
        <is>
          <t>Chưa làm</t>
        </is>
      </c>
      <c r="H147" s="6" t="inlineStr"/>
    </row>
    <row r="148">
      <c r="A148" s="2" t="inlineStr">
        <is>
          <t>T-BAC</t>
        </is>
      </c>
      <c r="B148" s="2" t="inlineStr">
        <is>
          <t>Tầng dữ liệu</t>
        </is>
      </c>
      <c r="C148" s="2" t="inlineStr">
        <is>
          <t>Tầng BẠC — nền xám, nút Xác nhận</t>
        </is>
      </c>
      <c r="D148" s="2" t="inlineStr">
        <is>
          <t>MDD-40 C1</t>
        </is>
      </c>
      <c r="E148" s="2">
        <f>COUNTIF('Anh xa'!$D$2:$D$725,A148)</f>
        <v/>
      </c>
      <c r="F148" s="2">
        <f>IF(E148&gt;0,"Đã phủ","THIẾU")</f>
        <v/>
      </c>
      <c r="G148" s="6" t="inlineStr">
        <is>
          <t>Chưa làm</t>
        </is>
      </c>
      <c r="H148" s="6" t="inlineStr"/>
    </row>
    <row r="149">
      <c r="A149" s="2" t="inlineStr">
        <is>
          <t>T-NGUOI</t>
        </is>
      </c>
      <c r="B149" s="2" t="inlineStr">
        <is>
          <t>Tầng dữ liệu</t>
        </is>
      </c>
      <c r="C149" s="2" t="inlineStr">
        <is>
          <t>Tầng NGƯỜI — 'anh cho, chưa có tài liệu', nút Tìm tài liệu</t>
        </is>
      </c>
      <c r="D149" s="2" t="inlineStr">
        <is>
          <t>MDD-40 C1</t>
        </is>
      </c>
      <c r="E149" s="2">
        <f>COUNTIF('Anh xa'!$D$2:$D$725,A149)</f>
        <v/>
      </c>
      <c r="F149" s="2">
        <f>IF(E149&gt;0,"Đã phủ","THIẾU")</f>
        <v/>
      </c>
      <c r="G149" s="6" t="inlineStr">
        <is>
          <t>Chưa làm</t>
        </is>
      </c>
      <c r="H149" s="6" t="inlineStr"/>
    </row>
    <row r="150">
      <c r="A150" s="2" t="inlineStr">
        <is>
          <t>T-DONG</t>
        </is>
      </c>
      <c r="B150" s="2" t="inlineStr">
        <is>
          <t>Tầng dữ liệu</t>
        </is>
      </c>
      <c r="C150" s="2" t="inlineStr">
        <is>
          <t>Tầng ĐỒNG — nghiêng, 'chưa kiểm chứng'</t>
        </is>
      </c>
      <c r="D150" s="2" t="inlineStr">
        <is>
          <t>MDD-40 C1</t>
        </is>
      </c>
      <c r="E150" s="2">
        <f>COUNTIF('Anh xa'!$D$2:$D$725,A150)</f>
        <v/>
      </c>
      <c r="F150" s="2">
        <f>IF(E150&gt;0,"Đã phủ","THIẾU")</f>
        <v/>
      </c>
      <c r="G150" s="6" t="inlineStr">
        <is>
          <t>Chưa làm</t>
        </is>
      </c>
      <c r="H150" s="6" t="inlineStr"/>
    </row>
    <row r="151">
      <c r="A151" s="2" t="inlineStr">
        <is>
          <t>DS1</t>
        </is>
      </c>
      <c r="B151" s="2" t="inlineStr">
        <is>
          <t>Luồng datasheet</t>
        </is>
      </c>
      <c r="C151" s="2" t="inlineStr">
        <is>
          <t>Kích hoạt: nạp tệp hoặc thẻ đề nghị 3 lựa chọn</t>
        </is>
      </c>
      <c r="D151" s="2" t="inlineStr">
        <is>
          <t>MDD-40 C3</t>
        </is>
      </c>
      <c r="E151" s="2">
        <f>COUNTIF('Anh xa'!$D$2:$D$725,A151)</f>
        <v/>
      </c>
      <c r="F151" s="2">
        <f>IF(E151&gt;0,"Đã phủ","THIẾU")</f>
        <v/>
      </c>
      <c r="G151" s="6" t="inlineStr">
        <is>
          <t>Chưa làm</t>
        </is>
      </c>
      <c r="H151" s="6" t="inlineStr"/>
    </row>
    <row r="152">
      <c r="A152" s="2" t="inlineStr">
        <is>
          <t>DS2</t>
        </is>
      </c>
      <c r="B152" s="2" t="inlineStr">
        <is>
          <t>Luồng datasheet</t>
        </is>
      </c>
      <c r="C152" s="2" t="inlineStr">
        <is>
          <t>Tìm: ứng viên có nguồn/phiên bản/hash</t>
        </is>
      </c>
      <c r="D152" s="2" t="inlineStr">
        <is>
          <t>MDD-40 C3</t>
        </is>
      </c>
      <c r="E152" s="2">
        <f>COUNTIF('Anh xa'!$D$2:$D$725,A152)</f>
        <v/>
      </c>
      <c r="F152" s="2">
        <f>IF(E152&gt;0,"Đã phủ","THIẾU")</f>
        <v/>
      </c>
      <c r="G152" s="6" t="inlineStr">
        <is>
          <t>Chưa làm</t>
        </is>
      </c>
      <c r="H152" s="6" t="inlineStr"/>
    </row>
    <row r="153">
      <c r="A153" s="2" t="inlineStr">
        <is>
          <t>DS3</t>
        </is>
      </c>
      <c r="B153" s="2" t="inlineStr">
        <is>
          <t>Luồng datasheet</t>
        </is>
      </c>
      <c r="C153" s="2" t="inlineStr">
        <is>
          <t>Duyệt nguồn (G-DATA)</t>
        </is>
      </c>
      <c r="D153" s="2" t="inlineStr">
        <is>
          <t>MDD-40 C3</t>
        </is>
      </c>
      <c r="E153" s="2">
        <f>COUNTIF('Anh xa'!$D$2:$D$725,A153)</f>
        <v/>
      </c>
      <c r="F153" s="2">
        <f>IF(E153&gt;0,"Đã phủ","THIẾU")</f>
        <v/>
      </c>
      <c r="G153" s="6" t="inlineStr">
        <is>
          <t>Chưa làm</t>
        </is>
      </c>
      <c r="H153" s="6" t="inlineStr"/>
    </row>
    <row r="154">
      <c r="A154" s="2" t="inlineStr">
        <is>
          <t>DS4</t>
        </is>
      </c>
      <c r="B154" s="2" t="inlineStr">
        <is>
          <t>Luồng datasheet</t>
        </is>
      </c>
      <c r="C154" s="2" t="inlineStr">
        <is>
          <t>Trích xuất: tiến trình, Fact ứng viên</t>
        </is>
      </c>
      <c r="D154" s="2" t="inlineStr">
        <is>
          <t>MDD-40 C3</t>
        </is>
      </c>
      <c r="E154" s="2">
        <f>COUNTIF('Anh xa'!$D$2:$D$725,A154)</f>
        <v/>
      </c>
      <c r="F154" s="2">
        <f>IF(E154&gt;0,"Đã phủ","THIẾU")</f>
        <v/>
      </c>
      <c r="G154" s="6" t="inlineStr">
        <is>
          <t>Chưa làm</t>
        </is>
      </c>
      <c r="H154" s="6" t="inlineStr"/>
    </row>
    <row r="155">
      <c r="A155" s="2" t="inlineStr">
        <is>
          <t>DS5</t>
        </is>
      </c>
      <c r="B155" s="2" t="inlineStr">
        <is>
          <t>Luồng datasheet</t>
        </is>
      </c>
      <c r="C155" s="2" t="inlineStr">
        <is>
          <t>Rà soát Fact: xác nhận hàng loạt/từng dòng</t>
        </is>
      </c>
      <c r="D155" s="2" t="inlineStr">
        <is>
          <t>MDD-40 C3</t>
        </is>
      </c>
      <c r="E155" s="2">
        <f>COUNTIF('Anh xa'!$D$2:$D$725,A155)</f>
        <v/>
      </c>
      <c r="F155" s="2">
        <f>IF(E155&gt;0,"Đã phủ","THIẾU")</f>
        <v/>
      </c>
      <c r="G155" s="6" t="inlineStr">
        <is>
          <t>Chưa làm</t>
        </is>
      </c>
      <c r="H155" s="6" t="inlineStr"/>
    </row>
    <row r="156">
      <c r="A156" s="2" t="inlineStr">
        <is>
          <t>DS6</t>
        </is>
      </c>
      <c r="B156" s="2" t="inlineStr">
        <is>
          <t>Luồng datasheet</t>
        </is>
      </c>
      <c r="C156" s="2" t="inlineStr">
        <is>
          <t>Ghim hộ chiếu; đối chiếu ISA</t>
        </is>
      </c>
      <c r="D156" s="2" t="inlineStr">
        <is>
          <t>MDD-40 C3</t>
        </is>
      </c>
      <c r="E156" s="2">
        <f>COUNTIF('Anh xa'!$D$2:$D$725,A156)</f>
        <v/>
      </c>
      <c r="F156" s="2">
        <f>IF(E156&gt;0,"Đã phủ","THIẾU")</f>
        <v/>
      </c>
      <c r="G156" s="6" t="inlineStr">
        <is>
          <t>Chưa làm</t>
        </is>
      </c>
      <c r="H156" s="6" t="inlineStr"/>
    </row>
    <row r="157">
      <c r="A157" s="2" t="inlineStr">
        <is>
          <t>DS7</t>
        </is>
      </c>
      <c r="B157" s="2" t="inlineStr">
        <is>
          <t>Luồng datasheet</t>
        </is>
      </c>
      <c r="C157" s="2" t="inlineStr">
        <is>
          <t>Phòng thủ: cảnh báo P-INJ; không tìm thấy nói thẳng</t>
        </is>
      </c>
      <c r="D157" s="2" t="inlineStr">
        <is>
          <t>MDD-40 C3</t>
        </is>
      </c>
      <c r="E157" s="2">
        <f>COUNTIF('Anh xa'!$D$2:$D$725,A157)</f>
        <v/>
      </c>
      <c r="F157" s="2">
        <f>IF(E157&gt;0,"Đã phủ","THIẾU")</f>
        <v/>
      </c>
      <c r="G157" s="6" t="inlineStr">
        <is>
          <t>Chưa làm</t>
        </is>
      </c>
      <c r="H157" s="6" t="inlineStr"/>
    </row>
    <row r="158">
      <c r="A158" s="2" t="inlineStr">
        <is>
          <t>LY-console3</t>
        </is>
      </c>
      <c r="B158" s="2" t="inlineStr">
        <is>
          <t>Bố cục</t>
        </is>
      </c>
      <c r="C158" s="2" t="inlineStr">
        <is>
          <t>Console 3 cỡ</t>
        </is>
      </c>
      <c r="D158" s="2" t="inlineStr">
        <is>
          <t>MDD-40 E7</t>
        </is>
      </c>
      <c r="E158" s="2">
        <f>COUNTIF('Anh xa'!$D$2:$D$725,A158)</f>
        <v/>
      </c>
      <c r="F158" s="2">
        <f>IF(E158&gt;0,"Đã phủ","THIẾU")</f>
        <v/>
      </c>
      <c r="G158" s="6" t="inlineStr">
        <is>
          <t>Chưa làm</t>
        </is>
      </c>
      <c r="H158" s="6" t="inlineStr"/>
    </row>
    <row r="159">
      <c r="A159" s="2" t="inlineStr">
        <is>
          <t>LY-tabs</t>
        </is>
      </c>
      <c r="B159" s="2" t="inlineStr">
        <is>
          <t>Bố cục</t>
        </is>
      </c>
      <c r="C159" s="2" t="inlineStr">
        <is>
          <t>Tab 1–9 với summary + Vì sao + băng STALE + thanh tác giả</t>
        </is>
      </c>
      <c r="D159" s="2" t="inlineStr">
        <is>
          <t>MDD-40 E7</t>
        </is>
      </c>
      <c r="E159" s="2">
        <f>COUNTIF('Anh xa'!$D$2:$D$725,A159)</f>
        <v/>
      </c>
      <c r="F159" s="2">
        <f>IF(E159&gt;0,"Đã phủ","THIẾU")</f>
        <v/>
      </c>
      <c r="G159" s="6" t="inlineStr">
        <is>
          <t>Chưa làm</t>
        </is>
      </c>
      <c r="H159" s="6" t="inlineStr"/>
    </row>
    <row r="160">
      <c r="A160" s="2" t="inlineStr">
        <is>
          <t>LY-history</t>
        </is>
      </c>
      <c r="B160" s="2" t="inlineStr">
        <is>
          <t>Bố cục</t>
        </is>
      </c>
      <c r="C160" s="2" t="inlineStr">
        <is>
          <t>Tab 10 Lịch sử</t>
        </is>
      </c>
      <c r="D160" s="2" t="inlineStr">
        <is>
          <t>MDD-40 E7</t>
        </is>
      </c>
      <c r="E160" s="2">
        <f>COUNTIF('Anh xa'!$D$2:$D$725,A160)</f>
        <v/>
      </c>
      <c r="F160" s="2">
        <f>IF(E160&gt;0,"Đã phủ","THIẾU")</f>
        <v/>
      </c>
      <c r="G160" s="6" t="inlineStr">
        <is>
          <t>Chưa làm</t>
        </is>
      </c>
      <c r="H160" s="6" t="inlineStr"/>
    </row>
    <row r="161">
      <c r="A161" s="2" t="inlineStr">
        <is>
          <t>LY-statusbar</t>
        </is>
      </c>
      <c r="B161" s="2" t="inlineStr">
        <is>
          <t>Bố cục</t>
        </is>
      </c>
      <c r="C161" s="2" t="inlineStr">
        <is>
          <t>Thanh trạng thái: dự án, nhánh, chip, Fact theo tầng, chặng, snapshot + khoảng cách, STALE</t>
        </is>
      </c>
      <c r="D161" s="2" t="inlineStr">
        <is>
          <t>MDD-40 E7</t>
        </is>
      </c>
      <c r="E161" s="2">
        <f>COUNTIF('Anh xa'!$D$2:$D$725,A161)</f>
        <v/>
      </c>
      <c r="F161" s="2">
        <f>IF(E161&gt;0,"Đã phủ","THIẾU")</f>
        <v/>
      </c>
      <c r="G161" s="6" t="inlineStr">
        <is>
          <t>Chưa làm</t>
        </is>
      </c>
      <c r="H161" s="6" t="inlineStr"/>
    </row>
    <row r="162">
      <c r="A162" s="2" t="inlineStr">
        <is>
          <t>LY-gatecards</t>
        </is>
      </c>
      <c r="B162" s="2" t="inlineStr">
        <is>
          <t>Bố cục</t>
        </is>
      </c>
      <c r="C162" s="2" t="inlineStr">
        <is>
          <t>Thẻ cổng 11 loại</t>
        </is>
      </c>
      <c r="D162" s="2" t="inlineStr">
        <is>
          <t>MDD-40 E7</t>
        </is>
      </c>
      <c r="E162" s="2">
        <f>COUNTIF('Anh xa'!$D$2:$D$725,A162)</f>
        <v/>
      </c>
      <c r="F162" s="2">
        <f>IF(E162&gt;0,"Đã phủ","THIẾU")</f>
        <v/>
      </c>
      <c r="G162" s="6" t="inlineStr">
        <is>
          <t>Chưa làm</t>
        </is>
      </c>
      <c r="H162" s="6" t="inlineStr"/>
    </row>
    <row r="163">
      <c r="A163" s="2" t="inlineStr">
        <is>
          <t>LY-runcard</t>
        </is>
      </c>
      <c r="B163" s="2" t="inlineStr">
        <is>
          <t>Bố cục</t>
        </is>
      </c>
      <c r="C163" s="2" t="inlineStr">
        <is>
          <t>Thẻ Run: tiến trình, Hoàn tác 30 s, Ghi bản ưng ý</t>
        </is>
      </c>
      <c r="D163" s="2" t="inlineStr">
        <is>
          <t>MDD-40 E7</t>
        </is>
      </c>
      <c r="E163" s="2">
        <f>COUNTIF('Anh xa'!$D$2:$D$725,A163)</f>
        <v/>
      </c>
      <c r="F163" s="2">
        <f>IF(E163&gt;0,"Đã phủ","THIẾU")</f>
        <v/>
      </c>
      <c r="G163" s="6" t="inlineStr">
        <is>
          <t>Chưa làm</t>
        </is>
      </c>
      <c r="H163" s="6" t="inlineStr"/>
    </row>
    <row r="164">
      <c r="A164" s="2" t="inlineStr">
        <is>
          <t>CX-eide-md</t>
        </is>
      </c>
      <c r="B164" s="2" t="inlineStr">
        <is>
          <t>Ngữ cảnh tác tử</t>
        </is>
      </c>
      <c r="C164" s="2" t="inlineStr">
        <is>
          <t>EIDE.md xem/sửa được (người &amp; tác tử)</t>
        </is>
      </c>
      <c r="D164" s="2" t="inlineStr">
        <is>
          <t>MDD-40 B2/B5</t>
        </is>
      </c>
      <c r="E164" s="2">
        <f>COUNTIF('Anh xa'!$D$2:$D$725,A164)</f>
        <v/>
      </c>
      <c r="F164" s="2">
        <f>IF(E164&gt;0,"Đã phủ","THIẾU")</f>
        <v/>
      </c>
      <c r="G164" s="6" t="inlineStr">
        <is>
          <t>Chưa làm</t>
        </is>
      </c>
      <c r="H164" s="6" t="inlineStr"/>
    </row>
    <row r="165">
      <c r="A165" s="2" t="inlineStr">
        <is>
          <t>CX-inventory</t>
        </is>
      </c>
      <c r="B165" s="2" t="inlineStr">
        <is>
          <t>Ngữ cảnh tác tử</t>
        </is>
      </c>
      <c r="C165" s="2" t="inlineStr">
        <is>
          <t>&lt;inventory&gt; hiển thị cho người</t>
        </is>
      </c>
      <c r="D165" s="2" t="inlineStr">
        <is>
          <t>MDD-40 B2/B5</t>
        </is>
      </c>
      <c r="E165" s="2">
        <f>COUNTIF('Anh xa'!$D$2:$D$725,A165)</f>
        <v/>
      </c>
      <c r="F165" s="2">
        <f>IF(E165&gt;0,"Đã phủ","THIẾU")</f>
        <v/>
      </c>
      <c r="G165" s="6" t="inlineStr">
        <is>
          <t>Chưa làm</t>
        </is>
      </c>
      <c r="H165" s="6" t="inlineStr"/>
    </row>
    <row r="166">
      <c r="A166" s="2" t="inlineStr">
        <is>
          <t>CX-skills</t>
        </is>
      </c>
      <c r="B166" s="2" t="inlineStr">
        <is>
          <t>Ngữ cảnh tác tử</t>
        </is>
      </c>
      <c r="C166" s="2" t="inlineStr">
        <is>
          <t>Skill đang nạp / gợi ý</t>
        </is>
      </c>
      <c r="D166" s="2" t="inlineStr">
        <is>
          <t>MDD-40 B2/B5</t>
        </is>
      </c>
      <c r="E166" s="2">
        <f>COUNTIF('Anh xa'!$D$2:$D$725,A166)</f>
        <v/>
      </c>
      <c r="F166" s="2">
        <f>IF(E166&gt;0,"Đã phủ","THIẾU")</f>
        <v/>
      </c>
      <c r="G166" s="6" t="inlineStr">
        <is>
          <t>Chưa làm</t>
        </is>
      </c>
      <c r="H166" s="6" t="inlineStr"/>
    </row>
    <row r="167">
      <c r="A167" s="2" t="inlineStr">
        <is>
          <t>CX-plan</t>
        </is>
      </c>
      <c r="B167" s="2" t="inlineStr">
        <is>
          <t>Ngữ cảnh tác tử</t>
        </is>
      </c>
      <c r="C167" s="2" t="inlineStr">
        <is>
          <t>Plan mode: kế hoạch có checkbox, duyệt</t>
        </is>
      </c>
      <c r="D167" s="2" t="inlineStr">
        <is>
          <t>MDD-40 B2/B5</t>
        </is>
      </c>
      <c r="E167" s="2">
        <f>COUNTIF('Anh xa'!$D$2:$D$725,A167)</f>
        <v/>
      </c>
      <c r="F167" s="2">
        <f>IF(E167&gt;0,"Đã phủ","THIẾU")</f>
        <v/>
      </c>
      <c r="G167" s="6" t="inlineStr">
        <is>
          <t>Chưa làm</t>
        </is>
      </c>
      <c r="H167" s="6" t="inlineStr"/>
    </row>
    <row r="168">
      <c r="A168" s="2" t="inlineStr">
        <is>
          <t>CX-subagent</t>
        </is>
      </c>
      <c r="B168" s="2" t="inlineStr">
        <is>
          <t>Ngữ cảnh tác tử</t>
        </is>
      </c>
      <c r="C168" s="2" t="inlineStr">
        <is>
          <t>Subagent đang chạy hiển thị trong Run</t>
        </is>
      </c>
      <c r="D168" s="2" t="inlineStr">
        <is>
          <t>MDD-40 B2/B5</t>
        </is>
      </c>
      <c r="E168" s="2">
        <f>COUNTIF('Anh xa'!$D$2:$D$725,A168)</f>
        <v/>
      </c>
      <c r="F168" s="2">
        <f>IF(E168&gt;0,"Đã phủ","THIẾU")</f>
        <v/>
      </c>
      <c r="G168" s="6" t="inlineStr">
        <is>
          <t>Chưa làm</t>
        </is>
      </c>
      <c r="H168" s="6" t="inlineStr"/>
    </row>
    <row r="169">
      <c r="A169" s="2" t="inlineStr">
        <is>
          <t>CX-budget</t>
        </is>
      </c>
      <c r="B169" s="2" t="inlineStr">
        <is>
          <t>Ngữ cảnh tác tử</t>
        </is>
      </c>
      <c r="C169" s="2" t="inlineStr">
        <is>
          <t>Ngân sách: tool/lượt, thời gian, ngữ cảnh</t>
        </is>
      </c>
      <c r="D169" s="2" t="inlineStr">
        <is>
          <t>MDD-40 B2/B5</t>
        </is>
      </c>
      <c r="E169" s="2">
        <f>COUNTIF('Anh xa'!$D$2:$D$725,A169)</f>
        <v/>
      </c>
      <c r="F169" s="2">
        <f>IF(E169&gt;0,"Đã phủ","THIẾU")</f>
        <v/>
      </c>
      <c r="G169" s="6" t="inlineStr">
        <is>
          <t>Chưa làm</t>
        </is>
      </c>
      <c r="H169" s="6" t="inlineStr"/>
    </row>
    <row r="170">
      <c r="A170" s="2" t="inlineStr">
        <is>
          <t>CX-assumptions</t>
        </is>
      </c>
      <c r="B170" s="2" t="inlineStr">
        <is>
          <t>Ngữ cảnh tác tử</t>
        </is>
      </c>
      <c r="C170" s="2" t="inlineStr">
        <is>
          <t>Giả định đang dùng: xác nhận/bác bỏ</t>
        </is>
      </c>
      <c r="D170" s="2" t="inlineStr">
        <is>
          <t>MDD-40 B2/B5</t>
        </is>
      </c>
      <c r="E170" s="2">
        <f>COUNTIF('Anh xa'!$D$2:$D$725,A170)</f>
        <v/>
      </c>
      <c r="F170" s="2">
        <f>IF(E170&gt;0,"Đã phủ","THIẾU")</f>
        <v/>
      </c>
      <c r="G170" s="6" t="inlineStr">
        <is>
          <t>Chưa làm</t>
        </is>
      </c>
      <c r="H170" s="6" t="inlineStr"/>
    </row>
    <row r="171">
      <c r="A171" s="2" t="inlineStr">
        <is>
          <t>MM-autonomy</t>
        </is>
      </c>
      <c r="B171" s="2" t="inlineStr">
        <is>
          <t>Bộ nhớ người dùng</t>
        </is>
      </c>
      <c r="C171" s="2" t="inlineStr">
        <is>
          <t>Mức tự chủ A0–A4</t>
        </is>
      </c>
      <c r="D171" s="2" t="inlineStr">
        <is>
          <t>MDD-40 B6/E3.4</t>
        </is>
      </c>
      <c r="E171" s="2">
        <f>COUNTIF('Anh xa'!$D$2:$D$725,A171)</f>
        <v/>
      </c>
      <c r="F171" s="2">
        <f>IF(E171&gt;0,"Đã phủ","THIẾU")</f>
        <v/>
      </c>
      <c r="G171" s="6" t="inlineStr">
        <is>
          <t>Chưa làm</t>
        </is>
      </c>
      <c r="H171" s="6" t="inlineStr"/>
    </row>
    <row r="172">
      <c r="A172" s="2" t="inlineStr">
        <is>
          <t>MM-trusted</t>
        </is>
      </c>
      <c r="B172" s="2" t="inlineStr">
        <is>
          <t>Bộ nhớ người dùng</t>
        </is>
      </c>
      <c r="C172" s="2" t="inlineStr">
        <is>
          <t>Danh sách nguồn tin cậy</t>
        </is>
      </c>
      <c r="D172" s="2" t="inlineStr">
        <is>
          <t>MDD-40 B6/E3.4</t>
        </is>
      </c>
      <c r="E172" s="2">
        <f>COUNTIF('Anh xa'!$D$2:$D$725,A172)</f>
        <v/>
      </c>
      <c r="F172" s="2">
        <f>IF(E172&gt;0,"Đã phủ","THIẾU")</f>
        <v/>
      </c>
      <c r="G172" s="6" t="inlineStr">
        <is>
          <t>Chưa làm</t>
        </is>
      </c>
      <c r="H172" s="6" t="inlineStr"/>
    </row>
    <row r="173">
      <c r="A173" s="2" t="inlineStr">
        <is>
          <t>MM-habit</t>
        </is>
      </c>
      <c r="B173" s="2" t="inlineStr">
        <is>
          <t>Bộ nhớ người dùng</t>
        </is>
      </c>
      <c r="C173" s="2" t="inlineStr">
        <is>
          <t>Thói quen trình bày</t>
        </is>
      </c>
      <c r="D173" s="2" t="inlineStr">
        <is>
          <t>MDD-40 B6/E3.4</t>
        </is>
      </c>
      <c r="E173" s="2">
        <f>COUNTIF('Anh xa'!$D$2:$D$725,A173)</f>
        <v/>
      </c>
      <c r="F173" s="2">
        <f>IF(E173&gt;0,"Đã phủ","THIẾU")</f>
        <v/>
      </c>
      <c r="G173" s="6" t="inlineStr">
        <is>
          <t>Chưa làm</t>
        </is>
      </c>
      <c r="H173" s="6" t="inlineStr"/>
    </row>
    <row r="174">
      <c r="A174" s="2" t="inlineStr">
        <is>
          <t>MM-model</t>
        </is>
      </c>
      <c r="B174" s="2" t="inlineStr">
        <is>
          <t>Bộ nhớ người dùng</t>
        </is>
      </c>
      <c r="C174" s="2" t="inlineStr">
        <is>
          <t>Chọn mô hình theo vai trò</t>
        </is>
      </c>
      <c r="D174" s="2" t="inlineStr">
        <is>
          <t>MDD-40 B6/E3.4</t>
        </is>
      </c>
      <c r="E174" s="2">
        <f>COUNTIF('Anh xa'!$D$2:$D$725,A174)</f>
        <v/>
      </c>
      <c r="F174" s="2">
        <f>IF(E174&gt;0,"Đã phủ","THIẾU")</f>
        <v/>
      </c>
      <c r="G174" s="6" t="inlineStr">
        <is>
          <t>Chưa làm</t>
        </is>
      </c>
      <c r="H174" s="6" t="inlineStr"/>
    </row>
    <row r="175">
      <c r="A175" s="2" t="inlineStr">
        <is>
          <t>MM-remember</t>
        </is>
      </c>
      <c r="B175" s="2" t="inlineStr">
        <is>
          <t>Bộ nhớ người dùng</t>
        </is>
      </c>
      <c r="C175" s="2" t="inlineStr">
        <is>
          <t>'Tin' theo tool (R0–R2)</t>
        </is>
      </c>
      <c r="D175" s="2" t="inlineStr">
        <is>
          <t>MDD-40 B6/E3.4</t>
        </is>
      </c>
      <c r="E175" s="2">
        <f>COUNTIF('Anh xa'!$D$2:$D$725,A175)</f>
        <v/>
      </c>
      <c r="F175" s="2">
        <f>IF(E175&gt;0,"Đã phủ","THIẾU")</f>
        <v/>
      </c>
      <c r="G175" s="6" t="inlineStr">
        <is>
          <t>Chưa làm</t>
        </is>
      </c>
      <c r="H175" s="6" t="inlineStr"/>
    </row>
    <row r="176">
      <c r="A176" s="2" t="inlineStr">
        <is>
          <t>IN-network</t>
        </is>
      </c>
      <c r="B176" s="2" t="inlineStr">
        <is>
          <t>Sự cố (UC19)</t>
        </is>
      </c>
      <c r="C176" s="2" t="inlineStr">
        <is>
          <t>Mất mạng: báo đúng lỗi mạng, lưu trạng thái</t>
        </is>
      </c>
      <c r="D176" s="2" t="inlineStr">
        <is>
          <t>MDD-40 B1/UC19</t>
        </is>
      </c>
      <c r="E176" s="2">
        <f>COUNTIF('Anh xa'!$D$2:$D$725,A176)</f>
        <v/>
      </c>
      <c r="F176" s="2">
        <f>IF(E176&gt;0,"Đã phủ","THIẾU")</f>
        <v/>
      </c>
      <c r="G176" s="6" t="inlineStr">
        <is>
          <t>Chưa làm</t>
        </is>
      </c>
      <c r="H176" s="6" t="inlineStr"/>
    </row>
    <row r="177">
      <c r="A177" s="2" t="inlineStr">
        <is>
          <t>IN-timeout</t>
        </is>
      </c>
      <c r="B177" s="2" t="inlineStr">
        <is>
          <t>Sự cố (UC19)</t>
        </is>
      </c>
      <c r="C177" s="2" t="inlineStr">
        <is>
          <t>Quá 300 s: thả người, nói thật</t>
        </is>
      </c>
      <c r="D177" s="2" t="inlineStr">
        <is>
          <t>MDD-40 B1/UC19</t>
        </is>
      </c>
      <c r="E177" s="2">
        <f>COUNTIF('Anh xa'!$D$2:$D$725,A177)</f>
        <v/>
      </c>
      <c r="F177" s="2">
        <f>IF(E177&gt;0,"Đã phủ","THIẾU")</f>
        <v/>
      </c>
      <c r="G177" s="6" t="inlineStr">
        <is>
          <t>Chưa làm</t>
        </is>
      </c>
      <c r="H177" s="6" t="inlineStr"/>
    </row>
    <row r="178">
      <c r="A178" s="2" t="inlineStr">
        <is>
          <t>IN-llm</t>
        </is>
      </c>
      <c r="B178" s="2" t="inlineStr">
        <is>
          <t>Sự cố (UC19)</t>
        </is>
      </c>
      <c r="C178" s="2" t="inlineStr">
        <is>
          <t>LLM lỗi/quá tải: retry rồi báo</t>
        </is>
      </c>
      <c r="D178" s="2" t="inlineStr">
        <is>
          <t>MDD-40 B1/UC19</t>
        </is>
      </c>
      <c r="E178" s="2">
        <f>COUNTIF('Anh xa'!$D$2:$D$725,A178)</f>
        <v/>
      </c>
      <c r="F178" s="2">
        <f>IF(E178&gt;0,"Đã phủ","THIẾU")</f>
        <v/>
      </c>
      <c r="G178" s="6" t="inlineStr">
        <is>
          <t>Chưa làm</t>
        </is>
      </c>
      <c r="H178" s="6" t="inlineStr"/>
    </row>
    <row r="179">
      <c r="A179" s="2" t="inlineStr">
        <is>
          <t>IN-resume</t>
        </is>
      </c>
      <c r="B179" s="2" t="inlineStr">
        <is>
          <t>Sự cố (UC19)</t>
        </is>
      </c>
      <c r="C179" s="2" t="inlineStr">
        <is>
          <t>Tiếp tục sau sự cố</t>
        </is>
      </c>
      <c r="D179" s="2" t="inlineStr">
        <is>
          <t>MDD-40 B1/UC19</t>
        </is>
      </c>
      <c r="E179" s="2">
        <f>COUNTIF('Anh xa'!$D$2:$D$725,A179)</f>
        <v/>
      </c>
      <c r="F179" s="2">
        <f>IF(E179&gt;0,"Đã phủ","THIẾU")</f>
        <v/>
      </c>
      <c r="G179" s="6" t="inlineStr">
        <is>
          <t>Chưa làm</t>
        </is>
      </c>
      <c r="H179" s="6" t="inlineStr"/>
    </row>
    <row r="180">
      <c r="A180" s="2" t="inlineStr">
        <is>
          <t>TL-inventory</t>
        </is>
      </c>
      <c r="B180" s="2" t="inlineStr">
        <is>
          <t>Năng lực chuyên môn</t>
        </is>
      </c>
      <c r="C180" s="2" t="inlineStr">
        <is>
          <t>Kiểm kê toolchain/ISA/simulator/probe</t>
        </is>
      </c>
      <c r="D180" s="2" t="inlineStr">
        <is>
          <t>MDD-40 B3/UC</t>
        </is>
      </c>
      <c r="E180" s="2">
        <f>COUNTIF('Anh xa'!$D$2:$D$725,A180)</f>
        <v/>
      </c>
      <c r="F180" s="2">
        <f>IF(E180&gt;0,"Đã phủ","THIẾU")</f>
        <v/>
      </c>
      <c r="G180" s="6" t="inlineStr">
        <is>
          <t>Chưa làm</t>
        </is>
      </c>
      <c r="H180" s="6" t="inlineStr"/>
    </row>
    <row r="181">
      <c r="A181" s="2" t="inlineStr">
        <is>
          <t>TL-install</t>
        </is>
      </c>
      <c r="B181" s="2" t="inlineStr">
        <is>
          <t>Năng lực chuyên môn</t>
        </is>
      </c>
      <c r="C181" s="2" t="inlineStr">
        <is>
          <t>Đề nghị cài (lệnh cụ thể) → G-TOOL</t>
        </is>
      </c>
      <c r="D181" s="2" t="inlineStr">
        <is>
          <t>MDD-40 B3/UC</t>
        </is>
      </c>
      <c r="E181" s="2">
        <f>COUNTIF('Anh xa'!$D$2:$D$725,A181)</f>
        <v/>
      </c>
      <c r="F181" s="2">
        <f>IF(E181&gt;0,"Đã phủ","THIẾU")</f>
        <v/>
      </c>
      <c r="G181" s="6" t="inlineStr">
        <is>
          <t>Chưa làm</t>
        </is>
      </c>
      <c r="H181" s="6" t="inlineStr"/>
    </row>
    <row r="182">
      <c r="A182" s="2" t="inlineStr">
        <is>
          <t>TL-build</t>
        </is>
      </c>
      <c r="B182" s="2" t="inlineStr">
        <is>
          <t>Năng lực chuyên môn</t>
        </is>
      </c>
      <c r="C182" s="2" t="inlineStr">
        <is>
          <t>Biên dịch; warning giải thích; Flash/RAM vs Fact</t>
        </is>
      </c>
      <c r="D182" s="2" t="inlineStr">
        <is>
          <t>MDD-40 B3/UC</t>
        </is>
      </c>
      <c r="E182" s="2">
        <f>COUNTIF('Anh xa'!$D$2:$D$725,A182)</f>
        <v/>
      </c>
      <c r="F182" s="2">
        <f>IF(E182&gt;0,"Đã phủ","THIẾU")</f>
        <v/>
      </c>
      <c r="G182" s="6" t="inlineStr">
        <is>
          <t>Chưa làm</t>
        </is>
      </c>
      <c r="H182" s="6" t="inlineStr"/>
    </row>
    <row r="183">
      <c r="A183" s="2" t="inlineStr">
        <is>
          <t>TL-criteria</t>
        </is>
      </c>
      <c r="B183" s="2" t="inlineStr">
        <is>
          <t>Năng lực chuyên môn</t>
        </is>
      </c>
      <c r="C183" s="2" t="inlineStr">
        <is>
          <t>Tiêu chí mô phỏng nêu trước</t>
        </is>
      </c>
      <c r="D183" s="2" t="inlineStr">
        <is>
          <t>MDD-40 B3/UC</t>
        </is>
      </c>
      <c r="E183" s="2">
        <f>COUNTIF('Anh xa'!$D$2:$D$725,A183)</f>
        <v/>
      </c>
      <c r="F183" s="2">
        <f>IF(E183&gt;0,"Đã phủ","THIẾU")</f>
        <v/>
      </c>
      <c r="G183" s="6" t="inlineStr">
        <is>
          <t>Chưa làm</t>
        </is>
      </c>
      <c r="H183" s="6" t="inlineStr"/>
    </row>
    <row r="184">
      <c r="A184" s="2" t="inlineStr">
        <is>
          <t>TL-simrun</t>
        </is>
      </c>
      <c r="B184" s="2" t="inlineStr">
        <is>
          <t>Năng lực chuyên môn</t>
        </is>
      </c>
      <c r="C184" s="2" t="inlineStr">
        <is>
          <t>Chạy mô phỏng: log/VCD/verdict/không mô phỏng được</t>
        </is>
      </c>
      <c r="D184" s="2" t="inlineStr">
        <is>
          <t>MDD-40 B3/UC</t>
        </is>
      </c>
      <c r="E184" s="2">
        <f>COUNTIF('Anh xa'!$D$2:$D$725,A184)</f>
        <v/>
      </c>
      <c r="F184" s="2">
        <f>IF(E184&gt;0,"Đã phủ","THIẾU")</f>
        <v/>
      </c>
      <c r="G184" s="6" t="inlineStr">
        <is>
          <t>Chưa làm</t>
        </is>
      </c>
      <c r="H184" s="6" t="inlineStr"/>
    </row>
    <row r="185">
      <c r="A185" s="2" t="inlineStr">
        <is>
          <t>TL-test</t>
        </is>
      </c>
      <c r="B185" s="2" t="inlineStr">
        <is>
          <t>Năng lực chuyên môn</t>
        </is>
      </c>
      <c r="C185" s="2" t="inlineStr">
        <is>
          <t>Unit test/HIL: đạt/không, độ phủ</t>
        </is>
      </c>
      <c r="D185" s="2" t="inlineStr">
        <is>
          <t>MDD-40 B3/UC</t>
        </is>
      </c>
      <c r="E185" s="2">
        <f>COUNTIF('Anh xa'!$D$2:$D$725,A185)</f>
        <v/>
      </c>
      <c r="F185" s="2">
        <f>IF(E185&gt;0,"Đã phủ","THIẾU")</f>
        <v/>
      </c>
      <c r="G185" s="6" t="inlineStr">
        <is>
          <t>Chưa làm</t>
        </is>
      </c>
      <c r="H185" s="6" t="inlineStr"/>
    </row>
    <row r="186">
      <c r="A186" s="2" t="inlineStr">
        <is>
          <t>TL-detect</t>
        </is>
      </c>
      <c r="B186" s="2" t="inlineStr">
        <is>
          <t>Năng lực chuyên môn</t>
        </is>
      </c>
      <c r="C186" s="2" t="inlineStr">
        <is>
          <t>Dò board: cổng, probe, ID chip ↔ hộ chiếu; checklist khi không thấy</t>
        </is>
      </c>
      <c r="D186" s="2" t="inlineStr">
        <is>
          <t>MDD-40 B3/UC</t>
        </is>
      </c>
      <c r="E186" s="2">
        <f>COUNTIF('Anh xa'!$D$2:$D$725,A186)</f>
        <v/>
      </c>
      <c r="F186" s="2">
        <f>IF(E186&gt;0,"Đã phủ","THIẾU")</f>
        <v/>
      </c>
      <c r="G186" s="6" t="inlineStr">
        <is>
          <t>Chưa làm</t>
        </is>
      </c>
      <c r="H186" s="6" t="inlineStr"/>
    </row>
    <row r="187">
      <c r="A187" s="2" t="inlineStr">
        <is>
          <t>TL-flash</t>
        </is>
      </c>
      <c r="B187" s="2" t="inlineStr">
        <is>
          <t>Năng lực chuyên môn</t>
        </is>
      </c>
      <c r="C187" s="2" t="inlineStr">
        <is>
          <t>Nạp: tóm tắt gì→đâu, hash → G-FLASH</t>
        </is>
      </c>
      <c r="D187" s="2" t="inlineStr">
        <is>
          <t>MDD-40 B3/UC</t>
        </is>
      </c>
      <c r="E187" s="2">
        <f>COUNTIF('Anh xa'!$D$2:$D$725,A187)</f>
        <v/>
      </c>
      <c r="F187" s="2">
        <f>IF(E187&gt;0,"Đã phủ","THIẾU")</f>
        <v/>
      </c>
      <c r="G187" s="6" t="inlineStr">
        <is>
          <t>Chưa làm</t>
        </is>
      </c>
      <c r="H187" s="6" t="inlineStr"/>
    </row>
    <row r="188">
      <c r="A188" s="2" t="inlineStr">
        <is>
          <t>TL-verify</t>
        </is>
      </c>
      <c r="B188" s="2" t="inlineStr">
        <is>
          <t>Năng lực chuyên môn</t>
        </is>
      </c>
      <c r="C188" s="2" t="inlineStr">
        <is>
          <t>Verify; rút cáp giữa chừng → hướng khôi phục</t>
        </is>
      </c>
      <c r="D188" s="2" t="inlineStr">
        <is>
          <t>MDD-40 B3/UC</t>
        </is>
      </c>
      <c r="E188" s="2">
        <f>COUNTIF('Anh xa'!$D$2:$D$725,A188)</f>
        <v/>
      </c>
      <c r="F188" s="2">
        <f>IF(E188&gt;0,"Đã phủ","THIẾU")</f>
        <v/>
      </c>
      <c r="G188" s="6" t="inlineStr">
        <is>
          <t>Chưa làm</t>
        </is>
      </c>
      <c r="H188" s="6" t="inlineStr"/>
    </row>
    <row r="189">
      <c r="A189" s="2" t="inlineStr">
        <is>
          <t>TL-log</t>
        </is>
      </c>
      <c r="B189" s="2" t="inlineStr">
        <is>
          <t>Năng lực chuyên môn</t>
        </is>
      </c>
      <c r="C189" s="2" t="inlineStr">
        <is>
          <t>Log UART/RTT có dấu thời gian</t>
        </is>
      </c>
      <c r="D189" s="2" t="inlineStr">
        <is>
          <t>MDD-40 B3/UC</t>
        </is>
      </c>
      <c r="E189" s="2">
        <f>COUNTIF('Anh xa'!$D$2:$D$725,A189)</f>
        <v/>
      </c>
      <c r="F189" s="2">
        <f>IF(E189&gt;0,"Đã phủ","THIẾU")</f>
        <v/>
      </c>
      <c r="G189" s="6" t="inlineStr">
        <is>
          <t>Chưa làm</t>
        </is>
      </c>
      <c r="H189" s="6" t="inlineStr"/>
    </row>
    <row r="190">
      <c r="A190" s="2" t="inlineStr">
        <is>
          <t>TL-debug</t>
        </is>
      </c>
      <c r="B190" s="2" t="inlineStr">
        <is>
          <t>Năng lực chuyên môn</t>
        </is>
      </c>
      <c r="C190" s="2" t="inlineStr">
        <is>
          <t>Breakpoint, thanh ghi, backtrace</t>
        </is>
      </c>
      <c r="D190" s="2" t="inlineStr">
        <is>
          <t>MDD-40 B3/UC</t>
        </is>
      </c>
      <c r="E190" s="2">
        <f>COUNTIF('Anh xa'!$D$2:$D$725,A190)</f>
        <v/>
      </c>
      <c r="F190" s="2">
        <f>IF(E190&gt;0,"Đã phủ","THIẾU")</f>
        <v/>
      </c>
      <c r="G190" s="6" t="inlineStr">
        <is>
          <t>Chưa làm</t>
        </is>
      </c>
      <c r="H190" s="6" t="inlineStr"/>
    </row>
    <row r="191">
      <c r="A191" s="2" t="inlineStr">
        <is>
          <t>TL-dangerous</t>
        </is>
      </c>
      <c r="B191" s="2" t="inlineStr">
        <is>
          <t>Năng lực chuyên môn</t>
        </is>
      </c>
      <c r="C191" s="2" t="inlineStr">
        <is>
          <t>Erase/option bytes/RDP/eFuse → G-OPS</t>
        </is>
      </c>
      <c r="D191" s="2" t="inlineStr">
        <is>
          <t>MDD-40 B3/UC</t>
        </is>
      </c>
      <c r="E191" s="2">
        <f>COUNTIF('Anh xa'!$D$2:$D$725,A191)</f>
        <v/>
      </c>
      <c r="F191" s="2">
        <f>IF(E191&gt;0,"Đã phủ","THIẾU")</f>
        <v/>
      </c>
      <c r="G191" s="6" t="inlineStr">
        <is>
          <t>Chưa làm</t>
        </is>
      </c>
      <c r="H191" s="6" t="inlineStr"/>
    </row>
    <row r="192">
      <c r="A192" s="2" t="inlineStr">
        <is>
          <t>TL-capture</t>
        </is>
      </c>
      <c r="B192" s="2" t="inlineStr">
        <is>
          <t>Năng lực chuyên môn</t>
        </is>
      </c>
      <c r="C192" s="2" t="inlineStr">
        <is>
          <t>Giải mã capture I2C/SPI/UART/CAN</t>
        </is>
      </c>
      <c r="D192" s="2" t="inlineStr">
        <is>
          <t>MDD-40 B3/UC</t>
        </is>
      </c>
      <c r="E192" s="2">
        <f>COUNTIF('Anh xa'!$D$2:$D$725,A192)</f>
        <v/>
      </c>
      <c r="F192" s="2">
        <f>IF(E192&gt;0,"Đã phủ","THIẾU")</f>
        <v/>
      </c>
      <c r="G192" s="6" t="inlineStr">
        <is>
          <t>Chưa làm</t>
        </is>
      </c>
      <c r="H192" s="6" t="inlineStr"/>
    </row>
    <row r="193">
      <c r="A193" s="2" t="inlineStr">
        <is>
          <t>TL-hardfault</t>
        </is>
      </c>
      <c r="B193" s="2" t="inlineStr">
        <is>
          <t>Năng lực chuyên môn</t>
        </is>
      </c>
      <c r="C193" s="2" t="inlineStr">
        <is>
          <t>Phân tích HardFault CFSR/PC → hàm</t>
        </is>
      </c>
      <c r="D193" s="2" t="inlineStr">
        <is>
          <t>MDD-40 B3/UC</t>
        </is>
      </c>
      <c r="E193" s="2">
        <f>COUNTIF('Anh xa'!$D$2:$D$725,A193)</f>
        <v/>
      </c>
      <c r="F193" s="2">
        <f>IF(E193&gt;0,"Đã phủ","THIẾU")</f>
        <v/>
      </c>
      <c r="G193" s="6" t="inlineStr">
        <is>
          <t>Chưa làm</t>
        </is>
      </c>
      <c r="H193" s="6" t="inlineStr"/>
    </row>
    <row r="194">
      <c r="A194" s="2" t="inlineStr">
        <is>
          <t>TL-calc</t>
        </is>
      </c>
      <c r="B194" s="2" t="inlineStr">
        <is>
          <t>Năng lực chuyên môn</t>
        </is>
      </c>
      <c r="C194" s="2" t="inlineStr">
        <is>
          <t>Tính toán bằng mã, tham số có nguồn</t>
        </is>
      </c>
      <c r="D194" s="2" t="inlineStr">
        <is>
          <t>MDD-40 B3/UC</t>
        </is>
      </c>
      <c r="E194" s="2">
        <f>COUNTIF('Anh xa'!$D$2:$D$725,A194)</f>
        <v/>
      </c>
      <c r="F194" s="2">
        <f>IF(E194&gt;0,"Đã phủ","THIẾU")</f>
        <v/>
      </c>
      <c r="G194" s="6" t="inlineStr">
        <is>
          <t>Chưa làm</t>
        </is>
      </c>
      <c r="H194" s="6" t="inlineStr"/>
    </row>
    <row r="195">
      <c r="A195" s="2" t="inlineStr">
        <is>
          <t>TL-port</t>
        </is>
      </c>
      <c r="B195" s="2" t="inlineStr">
        <is>
          <t>Năng lực chuyên môn</t>
        </is>
      </c>
      <c r="C195" s="2" t="inlineStr">
        <is>
          <t>Bảng ánh xạ ngoại vi khi porting</t>
        </is>
      </c>
      <c r="D195" s="2" t="inlineStr">
        <is>
          <t>MDD-40 B3/UC</t>
        </is>
      </c>
      <c r="E195" s="2">
        <f>COUNTIF('Anh xa'!$D$2:$D$725,A195)</f>
        <v/>
      </c>
      <c r="F195" s="2">
        <f>IF(E195&gt;0,"Đã phủ","THIẾU")</f>
        <v/>
      </c>
      <c r="G195" s="6" t="inlineStr">
        <is>
          <t>Chưa làm</t>
        </is>
      </c>
      <c r="H195" s="6" t="inlineStr"/>
    </row>
    <row r="196">
      <c r="A196" s="2" t="inlineStr">
        <is>
          <t>TL-opt</t>
        </is>
      </c>
      <c r="B196" s="2" t="inlineStr">
        <is>
          <t>Năng lực chuyên môn</t>
        </is>
      </c>
      <c r="C196" s="2" t="inlineStr">
        <is>
          <t>Tối ưu: số đo trước/sau</t>
        </is>
      </c>
      <c r="D196" s="2" t="inlineStr">
        <is>
          <t>MDD-40 B3/UC</t>
        </is>
      </c>
      <c r="E196" s="2">
        <f>COUNTIF('Anh xa'!$D$2:$D$725,A196)</f>
        <v/>
      </c>
      <c r="F196" s="2">
        <f>IF(E196&gt;0,"Đã phủ","THIẾU")</f>
        <v/>
      </c>
      <c r="G196" s="6" t="inlineStr">
        <is>
          <t>Chưa làm</t>
        </is>
      </c>
      <c r="H196" s="6" t="inlineStr"/>
    </row>
    <row r="197">
      <c r="A197" s="2" t="inlineStr">
        <is>
          <t>TL-ota</t>
        </is>
      </c>
      <c r="B197" s="2" t="inlineStr">
        <is>
          <t>Năng lực chuyên môn</t>
        </is>
      </c>
      <c r="C197" s="2" t="inlineStr">
        <is>
          <t>OTA A/B, chữ ký, rollback</t>
        </is>
      </c>
      <c r="D197" s="2" t="inlineStr">
        <is>
          <t>MDD-40 B3/UC</t>
        </is>
      </c>
      <c r="E197" s="2">
        <f>COUNTIF('Anh xa'!$D$2:$D$725,A197)</f>
        <v/>
      </c>
      <c r="F197" s="2">
        <f>IF(E197&gt;0,"Đã phủ","THIẾU")</f>
        <v/>
      </c>
      <c r="G197" s="6" t="inlineStr">
        <is>
          <t>Chưa làm</t>
        </is>
      </c>
      <c r="H197" s="6" t="inlineStr"/>
    </row>
    <row r="198">
      <c r="A198" s="2" t="inlineStr">
        <is>
          <t>TL-replace</t>
        </is>
      </c>
      <c r="B198" s="2" t="inlineStr">
        <is>
          <t>Năng lực chuyên môn</t>
        </is>
      </c>
      <c r="C198" s="2" t="inlineStr">
        <is>
          <t>Thay thế linh kiện có phân tích ảnh hưởng</t>
        </is>
      </c>
      <c r="D198" s="2" t="inlineStr">
        <is>
          <t>MDD-40 B3/UC</t>
        </is>
      </c>
      <c r="E198" s="2">
        <f>COUNTIF('Anh xa'!$D$2:$D$725,A198)</f>
        <v/>
      </c>
      <c r="F198" s="2">
        <f>IF(E198&gt;0,"Đã phủ","THIẾU")</f>
        <v/>
      </c>
      <c r="G198" s="6" t="inlineStr">
        <is>
          <t>Chưa làm</t>
        </is>
      </c>
      <c r="H198" s="6" t="inlineStr"/>
    </row>
    <row r="199">
      <c r="A199" s="2" t="inlineStr">
        <is>
          <t>TL-trace</t>
        </is>
      </c>
      <c r="B199" s="2" t="inlineStr">
        <is>
          <t>Năng lực chuyên môn</t>
        </is>
      </c>
      <c r="C199" s="2" t="inlineStr">
        <is>
          <t>Ma trận truy vết yêu cầu↔thiết kế↔mã↔test</t>
        </is>
      </c>
      <c r="D199" s="2" t="inlineStr">
        <is>
          <t>MDD-40 B3/UC</t>
        </is>
      </c>
      <c r="E199" s="2">
        <f>COUNTIF('Anh xa'!$D$2:$D$725,A199)</f>
        <v/>
      </c>
      <c r="F199" s="2">
        <f>IF(E199&gt;0,"Đã phủ","THIẾU")</f>
        <v/>
      </c>
      <c r="G199" s="6" t="inlineStr">
        <is>
          <t>Chưa làm</t>
        </is>
      </c>
      <c r="H199" s="6" t="inlineStr"/>
    </row>
    <row r="200">
      <c r="A200" s="2" t="inlineStr">
        <is>
          <t>MEM-01</t>
        </is>
      </c>
      <c r="B200" s="2" t="inlineStr">
        <is>
          <t>Bộ nhớ &amp; nén (MEM-42)</t>
        </is>
      </c>
      <c r="C200" s="2" t="inlineStr">
        <is>
          <t>Ngân sách ngữ cảnh cố định theo 10 khối; dự trữ 20 %</t>
        </is>
      </c>
      <c r="D200" s="2" t="inlineStr">
        <is>
          <t>EIDE-MEM-42</t>
        </is>
      </c>
      <c r="E200" s="2">
        <f>COUNTIF('Anh xa'!$D$2:$D$725,A200)</f>
        <v/>
      </c>
      <c r="F200" s="2">
        <f>IF(E200&gt;0,"Đã phủ","THIẾU")</f>
        <v/>
      </c>
      <c r="G200" s="6" t="inlineStr">
        <is>
          <t>Chưa làm</t>
        </is>
      </c>
      <c r="H200" s="6" t="inlineStr"/>
    </row>
    <row r="201">
      <c r="A201" s="2" t="inlineStr">
        <is>
          <t>MEM-02</t>
        </is>
      </c>
      <c r="B201" s="2" t="inlineStr">
        <is>
          <t>Bộ nhớ &amp; nén (MEM-42)</t>
        </is>
      </c>
      <c r="C201" s="2" t="inlineStr">
        <is>
          <t>Đồng hồ token theo khối hiển thị cho người; 4 ngưỡng 60/70/85/95 %</t>
        </is>
      </c>
      <c r="D201" s="2" t="inlineStr">
        <is>
          <t>EIDE-MEM-42</t>
        </is>
      </c>
      <c r="E201" s="2">
        <f>COUNTIF('Anh xa'!$D$2:$D$725,A201)</f>
        <v/>
      </c>
      <c r="F201" s="2">
        <f>IF(E201&gt;0,"Đã phủ","THIẾU")</f>
        <v/>
      </c>
      <c r="G201" s="6" t="inlineStr">
        <is>
          <t>Chưa làm</t>
        </is>
      </c>
      <c r="H201" s="6" t="inlineStr"/>
    </row>
    <row r="202">
      <c r="A202" s="2" t="inlineStr">
        <is>
          <t>MEM-03</t>
        </is>
      </c>
      <c r="B202" s="2" t="inlineStr">
        <is>
          <t>Bộ nhớ &amp; nén (MEM-42)</t>
        </is>
      </c>
      <c r="C202" s="2" t="inlineStr">
        <is>
          <t>Mọi ghi M2/M3 qua tool memory.note/store.* có changeset + provenance; fs.write EIDE.md bị deny</t>
        </is>
      </c>
      <c r="D202" s="2" t="inlineStr">
        <is>
          <t>EIDE-MEM-42</t>
        </is>
      </c>
      <c r="E202" s="2">
        <f>COUNTIF('Anh xa'!$D$2:$D$725,A202)</f>
        <v/>
      </c>
      <c r="F202" s="2">
        <f>IF(E202&gt;0,"Đã phủ","THIẾU")</f>
        <v/>
      </c>
      <c r="G202" s="6" t="inlineStr">
        <is>
          <t>Chưa làm</t>
        </is>
      </c>
      <c r="H202" s="6" t="inlineStr"/>
    </row>
    <row r="203">
      <c r="A203" s="2" t="inlineStr">
        <is>
          <t>MEM-04</t>
        </is>
      </c>
      <c r="B203" s="2" t="inlineStr">
        <is>
          <t>Bộ nhớ &amp; nén (MEM-42)</t>
        </is>
      </c>
      <c r="C203" s="2" t="inlineStr">
        <is>
          <t>C0: cắt theo chính sách tool, blob content-addressed, tham chiếu artefact id+version</t>
        </is>
      </c>
      <c r="D203" s="2" t="inlineStr">
        <is>
          <t>EIDE-MEM-42</t>
        </is>
      </c>
      <c r="E203" s="2">
        <f>COUNTIF('Anh xa'!$D$2:$D$725,A203)</f>
        <v/>
      </c>
      <c r="F203" s="2">
        <f>IF(E203&gt;0,"Đã phủ","THIẾU")</f>
        <v/>
      </c>
      <c r="G203" s="6" t="inlineStr">
        <is>
          <t>Chưa làm</t>
        </is>
      </c>
      <c r="H203" s="6" t="inlineStr"/>
    </row>
    <row r="204">
      <c r="A204" s="2" t="inlineStr">
        <is>
          <t>MEM-05</t>
        </is>
      </c>
      <c r="B204" s="2" t="inlineStr">
        <is>
          <t>Bộ nhớ &amp; nén (MEM-42)</t>
        </is>
      </c>
      <c r="C204" s="2" t="inlineStr">
        <is>
          <t>C1: stub/dedup/supersede/hết hạn 8 lượt; 0 token</t>
        </is>
      </c>
      <c r="D204" s="2" t="inlineStr">
        <is>
          <t>EIDE-MEM-42</t>
        </is>
      </c>
      <c r="E204" s="2">
        <f>COUNTIF('Anh xa'!$D$2:$D$725,A204)</f>
        <v/>
      </c>
      <c r="F204" s="2">
        <f>IF(E204&gt;0,"Đã phủ","THIẾU")</f>
        <v/>
      </c>
      <c r="G204" s="6" t="inlineStr">
        <is>
          <t>Chưa làm</t>
        </is>
      </c>
      <c r="H204" s="6" t="inlineStr"/>
    </row>
    <row r="205">
      <c r="A205" s="2" t="inlineStr">
        <is>
          <t>MEM-06</t>
        </is>
      </c>
      <c r="B205" s="2" t="inlineStr">
        <is>
          <t>Bộ nhớ &amp; nén (MEM-42)</t>
        </is>
      </c>
      <c r="C205" s="2" t="inlineStr">
        <is>
          <t>C2: PreCompact rút cấu trúc vào M2; tóm tắt 10 mục có trần; giữ K lượt + ghim; atomic swap</t>
        </is>
      </c>
      <c r="D205" s="2" t="inlineStr">
        <is>
          <t>EIDE-MEM-42</t>
        </is>
      </c>
      <c r="E205" s="2">
        <f>COUNTIF('Anh xa'!$D$2:$D$725,A205)</f>
        <v/>
      </c>
      <c r="F205" s="2">
        <f>IF(E205&gt;0,"Đã phủ","THIẾU")</f>
        <v/>
      </c>
      <c r="G205" s="6" t="inlineStr">
        <is>
          <t>Chưa làm</t>
        </is>
      </c>
      <c r="H205" s="6" t="inlineStr"/>
    </row>
    <row r="206">
      <c r="A206" s="2" t="inlineStr">
        <is>
          <t>MEM-07</t>
        </is>
      </c>
      <c r="B206" s="2" t="inlineStr">
        <is>
          <t>Bộ nhớ &amp; nén (MEM-42)</t>
        </is>
      </c>
      <c r="C206" s="2" t="inlineStr">
        <is>
          <t>Ghim tự động (decide/confirm/edit/snapshot/set, trả lời thẻ, kế hoạch duyệt, không đảo ngược); ghim thủ công</t>
        </is>
      </c>
      <c r="D206" s="2" t="inlineStr">
        <is>
          <t>EIDE-MEM-42</t>
        </is>
      </c>
      <c r="E206" s="2">
        <f>COUNTIF('Anh xa'!$D$2:$D$725,A206)</f>
        <v/>
      </c>
      <c r="F206" s="2">
        <f>IF(E206&gt;0,"Đã phủ","THIẾU")</f>
        <v/>
      </c>
      <c r="G206" s="6" t="inlineStr">
        <is>
          <t>Chưa làm</t>
        </is>
      </c>
      <c r="H206" s="6" t="inlineStr"/>
    </row>
    <row r="207">
      <c r="A207" s="2" t="inlineStr">
        <is>
          <t>MEM-08</t>
        </is>
      </c>
      <c r="B207" s="2" t="inlineStr">
        <is>
          <t>Bộ nhớ &amp; nén (MEM-42)</t>
        </is>
      </c>
      <c r="C207" s="2" t="inlineStr">
        <is>
          <t>PostCompact: 3 câu hỏi ngược từ ledger; sai → huỷ, K += 4, tối đa 2 lần</t>
        </is>
      </c>
      <c r="D207" s="2" t="inlineStr">
        <is>
          <t>EIDE-MEM-42</t>
        </is>
      </c>
      <c r="E207" s="2">
        <f>COUNTIF('Anh xa'!$D$2:$D$725,A207)</f>
        <v/>
      </c>
      <c r="F207" s="2">
        <f>IF(E207&gt;0,"Đã phủ","THIẾU")</f>
        <v/>
      </c>
      <c r="G207" s="6" t="inlineStr">
        <is>
          <t>Chưa làm</t>
        </is>
      </c>
      <c r="H207" s="6" t="inlineStr"/>
    </row>
    <row r="208">
      <c r="A208" s="2" t="inlineStr">
        <is>
          <t>MEM-09</t>
        </is>
      </c>
      <c r="B208" s="2" t="inlineStr">
        <is>
          <t>Bộ nhớ &amp; nén (MEM-42)</t>
        </is>
      </c>
      <c r="C208" s="2" t="inlineStr">
        <is>
          <t>C3 bậc thang có chuỗi hash; C4 khẩn cấp; thông báo [Hệ thống] sau nén; huỷ nén trong 24 h</t>
        </is>
      </c>
      <c r="D208" s="2" t="inlineStr">
        <is>
          <t>EIDE-MEM-42</t>
        </is>
      </c>
      <c r="E208" s="2">
        <f>COUNTIF('Anh xa'!$D$2:$D$725,A208)</f>
        <v/>
      </c>
      <c r="F208" s="2">
        <f>IF(E208&gt;0,"Đã phủ","THIẾU")</f>
        <v/>
      </c>
      <c r="G208" s="6" t="inlineStr">
        <is>
          <t>Chưa làm</t>
        </is>
      </c>
      <c r="H208" s="6" t="inlineStr"/>
    </row>
    <row r="209">
      <c r="A209" s="2" t="inlineStr">
        <is>
          <t>MEM-10</t>
        </is>
      </c>
      <c r="B209" s="2" t="inlineStr">
        <is>
          <t>Bộ nhớ &amp; nén (MEM-42)</t>
        </is>
      </c>
      <c r="C209" s="2" t="inlineStr">
        <is>
          <t>EIDE.md: trần 3 k, cấu trúc cố định, nguồn gốc dòng, quyền ghi theo mục, memory.prune</t>
        </is>
      </c>
      <c r="D209" s="2" t="inlineStr">
        <is>
          <t>EIDE-MEM-42</t>
        </is>
      </c>
      <c r="E209" s="2">
        <f>COUNTIF('Anh xa'!$D$2:$D$725,A209)</f>
        <v/>
      </c>
      <c r="F209" s="2">
        <f>IF(E209&gt;0,"Đã phủ","THIẾU")</f>
        <v/>
      </c>
      <c r="G209" s="6" t="inlineStr">
        <is>
          <t>Chưa làm</t>
        </is>
      </c>
      <c r="H209" s="6" t="inlineStr"/>
    </row>
    <row r="210">
      <c r="A210" s="2" t="inlineStr">
        <is>
          <t>MEM-11</t>
        </is>
      </c>
      <c r="B210" s="2" t="inlineStr">
        <is>
          <t>Bộ nhớ &amp; nén (MEM-42)</t>
        </is>
      </c>
      <c r="C210" s="2" t="inlineStr">
        <is>
          <t>Bản tóm tắt phiên xem/sửa được trên UI</t>
        </is>
      </c>
      <c r="D210" s="2" t="inlineStr">
        <is>
          <t>EIDE-MEM-42</t>
        </is>
      </c>
      <c r="E210" s="2">
        <f>COUNTIF('Anh xa'!$D$2:$D$725,A210)</f>
        <v/>
      </c>
      <c r="F210" s="2">
        <f>IF(E210&gt;0,"Đã phủ","THIẾU")</f>
        <v/>
      </c>
      <c r="G210" s="6" t="inlineStr">
        <is>
          <t>Chưa làm</t>
        </is>
      </c>
      <c r="H210" s="6" t="inlineStr"/>
    </row>
    <row r="211">
      <c r="A211" s="2" t="inlineStr">
        <is>
          <t>MEM-12</t>
        </is>
      </c>
      <c r="B211" s="2" t="inlineStr">
        <is>
          <t>Bộ nhớ &amp; nén (MEM-42)</t>
        </is>
      </c>
      <c r="C211" s="2" t="inlineStr">
        <is>
          <t>Người thấy cửa sổ ngữ cảnh hiện tại (khối, token, ghim)</t>
        </is>
      </c>
      <c r="D211" s="2" t="inlineStr">
        <is>
          <t>EIDE-MEM-42</t>
        </is>
      </c>
      <c r="E211" s="2">
        <f>COUNTIF('Anh xa'!$D$2:$D$725,A211)</f>
        <v/>
      </c>
      <c r="F211" s="2">
        <f>IF(E211&gt;0,"Đã phủ","THIẾU")</f>
        <v/>
      </c>
      <c r="G211" s="6" t="inlineStr">
        <is>
          <t>Chưa làm</t>
        </is>
      </c>
      <c r="H211" s="6" t="inlineStr"/>
    </row>
    <row r="212">
      <c r="A212" s="2" t="inlineStr">
        <is>
          <t>MEM-13</t>
        </is>
      </c>
      <c r="B212" s="2" t="inlineStr">
        <is>
          <t>Bộ nhớ &amp; nén (MEM-42)</t>
        </is>
      </c>
      <c r="C212" s="2" t="inlineStr">
        <is>
          <t>Quên có chủ đích: memory.forget → tombstone; không hồi sinh</t>
        </is>
      </c>
      <c r="D212" s="2" t="inlineStr">
        <is>
          <t>EIDE-MEM-42</t>
        </is>
      </c>
      <c r="E212" s="2">
        <f>COUNTIF('Anh xa'!$D$2:$D$725,A212)</f>
        <v/>
      </c>
      <c r="F212" s="2">
        <f>IF(E212&gt;0,"Đã phủ","THIẾU")</f>
        <v/>
      </c>
      <c r="G212" s="6" t="inlineStr">
        <is>
          <t>Chưa làm</t>
        </is>
      </c>
      <c r="H212" s="6" t="inlineStr"/>
    </row>
    <row r="213">
      <c r="A213" s="2" t="inlineStr">
        <is>
          <t>MEM-14</t>
        </is>
      </c>
      <c r="B213" s="2" t="inlineStr">
        <is>
          <t>Bộ nhớ &amp; nén (MEM-42)</t>
        </is>
      </c>
      <c r="C213" s="2" t="inlineStr">
        <is>
          <t>M3: danh sách trắng category; đề xuất ghi nhớ phải người đồng ý; không nhớ bí mật/suy đoán</t>
        </is>
      </c>
      <c r="D213" s="2" t="inlineStr">
        <is>
          <t>EIDE-MEM-42</t>
        </is>
      </c>
      <c r="E213" s="2">
        <f>COUNTIF('Anh xa'!$D$2:$D$725,A213)</f>
        <v/>
      </c>
      <c r="F213" s="2">
        <f>IF(E213&gt;0,"Đã phủ","THIẾU")</f>
        <v/>
      </c>
      <c r="G213" s="6" t="inlineStr">
        <is>
          <t>Chưa làm</t>
        </is>
      </c>
      <c r="H213" s="6" t="inlineStr"/>
    </row>
    <row r="214">
      <c r="A214" s="2" t="inlineStr">
        <is>
          <t>MEM-15</t>
        </is>
      </c>
      <c r="B214" s="2" t="inlineStr">
        <is>
          <t>Bộ nhớ &amp; nén (MEM-42)</t>
        </is>
      </c>
      <c r="C214" s="2" t="inlineStr">
        <is>
          <t>Subagent ngữ cảnh sạch, báo cáo ≤ 800 token; không C2</t>
        </is>
      </c>
      <c r="D214" s="2" t="inlineStr">
        <is>
          <t>EIDE-MEM-42</t>
        </is>
      </c>
      <c r="E214" s="2">
        <f>COUNTIF('Anh xa'!$D$2:$D$725,A214)</f>
        <v/>
      </c>
      <c r="F214" s="2">
        <f>IF(E214&gt;0,"Đã phủ","THIẾU")</f>
        <v/>
      </c>
      <c r="G214" s="6" t="inlineStr">
        <is>
          <t>Chưa làm</t>
        </is>
      </c>
      <c r="H214" s="6" t="inlineStr"/>
    </row>
    <row r="215">
      <c r="A215" s="2" t="inlineStr">
        <is>
          <t>MEM-16</t>
        </is>
      </c>
      <c r="B215" s="2" t="inlineStr">
        <is>
          <t>Bộ nhớ &amp; nén (MEM-42)</t>
        </is>
      </c>
      <c r="C215" s="2" t="inlineStr">
        <is>
          <t>ledger.query cho câu hỏi về quá khứ; tra trước khi trả lời</t>
        </is>
      </c>
      <c r="D215" s="2" t="inlineStr">
        <is>
          <t>EIDE-MEM-42</t>
        </is>
      </c>
      <c r="E215" s="2">
        <f>COUNTIF('Anh xa'!$D$2:$D$725,A215)</f>
        <v/>
      </c>
      <c r="F215" s="2">
        <f>IF(E215&gt;0,"Đã phủ","THIẾU")</f>
        <v/>
      </c>
      <c r="G215" s="6" t="inlineStr">
        <is>
          <t>Chưa làm</t>
        </is>
      </c>
      <c r="H215" s="6" t="inlineStr"/>
    </row>
    <row r="216">
      <c r="A216" s="2" t="inlineStr">
        <is>
          <t>MEM-17</t>
        </is>
      </c>
      <c r="B216" s="2" t="inlineStr">
        <is>
          <t>Bộ nhớ &amp; nén (MEM-42)</t>
        </is>
      </c>
      <c r="C216" s="2" t="inlineStr">
        <is>
          <t>Resume 5 bước; mô hình tự thuật; không summary null</t>
        </is>
      </c>
      <c r="D216" s="2" t="inlineStr">
        <is>
          <t>EIDE-MEM-42</t>
        </is>
      </c>
      <c r="E216" s="2">
        <f>COUNTIF('Anh xa'!$D$2:$D$725,A216)</f>
        <v/>
      </c>
      <c r="F216" s="2">
        <f>IF(E216&gt;0,"Đã phủ","THIẾU")</f>
        <v/>
      </c>
      <c r="G216" s="6" t="inlineStr">
        <is>
          <t>Chưa làm</t>
        </is>
      </c>
      <c r="H216" s="6" t="inlineStr"/>
    </row>
    <row r="217">
      <c r="A217" s="2" t="inlineStr">
        <is>
          <t>MEM-18</t>
        </is>
      </c>
      <c r="B217" s="2" t="inlineStr">
        <is>
          <t>Bộ nhớ &amp; nén (MEM-42)</t>
        </is>
      </c>
      <c r="C217" s="2" t="inlineStr">
        <is>
          <t>Write-ahead transcript; nén là giao dịch; hash chuỗi ledger/changeset</t>
        </is>
      </c>
      <c r="D217" s="2" t="inlineStr">
        <is>
          <t>EIDE-MEM-42</t>
        </is>
      </c>
      <c r="E217" s="2">
        <f>COUNTIF('Anh xa'!$D$2:$D$725,A217)</f>
        <v/>
      </c>
      <c r="F217" s="2">
        <f>IF(E217&gt;0,"Đã phủ","THIẾU")</f>
        <v/>
      </c>
      <c r="G217" s="6" t="inlineStr">
        <is>
          <t>Chưa làm</t>
        </is>
      </c>
      <c r="H217" s="6" t="inlineStr"/>
    </row>
    <row r="218">
      <c r="A218" s="2" t="inlineStr">
        <is>
          <t>MEM-19</t>
        </is>
      </c>
      <c r="B218" s="2" t="inlineStr">
        <is>
          <t>Bộ nhớ &amp; nén (MEM-42)</t>
        </is>
      </c>
      <c r="C218" s="2" t="inlineStr">
        <is>
          <t>Retention và gc blob theo tham chiếu</t>
        </is>
      </c>
      <c r="D218" s="2" t="inlineStr">
        <is>
          <t>EIDE-MEM-42</t>
        </is>
      </c>
      <c r="E218" s="2">
        <f>COUNTIF('Anh xa'!$D$2:$D$725,A218)</f>
        <v/>
      </c>
      <c r="F218" s="2">
        <f>IF(E218&gt;0,"Đã phủ","THIẾU")</f>
        <v/>
      </c>
      <c r="G218" s="6" t="inlineStr">
        <is>
          <t>Chưa làm</t>
        </is>
      </c>
      <c r="H218" s="6" t="inlineStr"/>
    </row>
    <row r="219">
      <c r="A219" s="2" t="inlineStr">
        <is>
          <t>MEM-20</t>
        </is>
      </c>
      <c r="B219" s="2" t="inlineStr">
        <is>
          <t>Bộ nhớ &amp; nén (MEM-42)</t>
        </is>
      </c>
      <c r="C219" s="2" t="inlineStr">
        <is>
          <t>Cache tài liệu M4 theo hash; Fact không đi theo cache; 'dùng lại Fact' tạo BẠC</t>
        </is>
      </c>
      <c r="D219" s="2" t="inlineStr">
        <is>
          <t>EIDE-MEM-42</t>
        </is>
      </c>
      <c r="E219" s="2">
        <f>COUNTIF('Anh xa'!$D$2:$D$725,A219)</f>
        <v/>
      </c>
      <c r="F219" s="2">
        <f>IF(E219&gt;0,"Đã phủ","THIẾU")</f>
        <v/>
      </c>
      <c r="G219" s="6" t="inlineStr">
        <is>
          <t>Chưa làm</t>
        </is>
      </c>
      <c r="H219" s="6" t="inlineStr"/>
    </row>
    <row r="220">
      <c r="A220" s="2" t="inlineStr">
        <is>
          <t>MEM-21</t>
        </is>
      </c>
      <c r="B220" s="2" t="inlineStr">
        <is>
          <t>Bộ nhớ &amp; nén (MEM-42)</t>
        </is>
      </c>
      <c r="C220" s="2" t="inlineStr">
        <is>
          <t>&lt;facts&gt; chọn theo thực thể 3 lượt gần, ưu tiên tầng và độ gần</t>
        </is>
      </c>
      <c r="D220" s="2" t="inlineStr">
        <is>
          <t>EIDE-MEM-42</t>
        </is>
      </c>
      <c r="E220" s="2">
        <f>COUNTIF('Anh xa'!$D$2:$D$725,A220)</f>
        <v/>
      </c>
      <c r="F220" s="2">
        <f>IF(E220&gt;0,"Đã phủ","THIẾU")</f>
        <v/>
      </c>
      <c r="G220" s="6" t="inlineStr">
        <is>
          <t>Chưa làm</t>
        </is>
      </c>
      <c r="H220" s="6" t="inlineStr"/>
    </row>
    <row r="221">
      <c r="A221" s="2" t="inlineStr">
        <is>
          <t>MEM-22</t>
        </is>
      </c>
      <c r="B221" s="2" t="inlineStr">
        <is>
          <t>Bộ nhớ &amp; nén (MEM-42)</t>
        </is>
      </c>
      <c r="C221" s="2" t="inlineStr">
        <is>
          <t>Skill không dùng 5 lượt bị bỏ khỏi ngữ cảnh</t>
        </is>
      </c>
      <c r="D221" s="2" t="inlineStr">
        <is>
          <t>EIDE-MEM-42</t>
        </is>
      </c>
      <c r="E221" s="2">
        <f>COUNTIF('Anh xa'!$D$2:$D$725,A221)</f>
        <v/>
      </c>
      <c r="F221" s="2">
        <f>IF(E221&gt;0,"Đã phủ","THIẾU")</f>
        <v/>
      </c>
      <c r="G221" s="6" t="inlineStr">
        <is>
          <t>Chưa làm</t>
        </is>
      </c>
      <c r="H221" s="6" t="inlineStr"/>
    </row>
    <row r="222">
      <c r="A222" s="2" t="inlineStr">
        <is>
          <t>MEM-23</t>
        </is>
      </c>
      <c r="B222" s="2" t="inlineStr">
        <is>
          <t>Bộ nhớ &amp; nén (MEM-42)</t>
        </is>
      </c>
      <c r="C222" s="2" t="inlineStr">
        <is>
          <t>Nhiều phiên cùng dự án: khoá tệp, phiên sau chỉ đọc</t>
        </is>
      </c>
      <c r="D222" s="2" t="inlineStr">
        <is>
          <t>EIDE-MEM-42</t>
        </is>
      </c>
      <c r="E222" s="2">
        <f>COUNTIF('Anh xa'!$D$2:$D$725,A222)</f>
        <v/>
      </c>
      <c r="F222" s="2">
        <f>IF(E222&gt;0,"Đã phủ","THIẾU")</f>
        <v/>
      </c>
      <c r="G222" s="6" t="inlineStr">
        <is>
          <t>Chưa làm</t>
        </is>
      </c>
      <c r="H222" s="6" t="inlineStr"/>
    </row>
    <row r="223">
      <c r="A223" s="2" t="inlineStr">
        <is>
          <t>MEM-24</t>
        </is>
      </c>
      <c r="B223" s="2" t="inlineStr">
        <is>
          <t>Bộ nhớ &amp; nén (MEM-42)</t>
        </is>
      </c>
      <c r="C223" s="2" t="inlineStr">
        <is>
          <t>Đo lường bộ nhớ ghi ledger và hiển thị trong Thiết lập</t>
        </is>
      </c>
      <c r="D223" s="2" t="inlineStr">
        <is>
          <t>EIDE-MEM-42</t>
        </is>
      </c>
      <c r="E223" s="2">
        <f>COUNTIF('Anh xa'!$D$2:$D$725,A223)</f>
        <v/>
      </c>
      <c r="F223" s="2">
        <f>IF(E223&gt;0,"Đã phủ","THIẾU")</f>
        <v/>
      </c>
      <c r="G223" s="6" t="inlineStr">
        <is>
          <t>Chưa làm</t>
        </is>
      </c>
      <c r="H223" s="6" t="inlineStr"/>
    </row>
    <row r="224">
      <c r="A224" s="2" t="inlineStr">
        <is>
          <t>ING-01</t>
        </is>
      </c>
      <c r="B224" s="2" t="inlineStr">
        <is>
          <t>Nạp &amp; trích xuất (ING-43)</t>
        </is>
      </c>
      <c r="C224" s="2" t="inlineStr">
        <is>
          <t>Phân loại theo nội dung; thứ tự Office → archive → text; lý do + độ tin cậy</t>
        </is>
      </c>
      <c r="D224" s="2" t="inlineStr">
        <is>
          <t>EIDE-ING-43</t>
        </is>
      </c>
      <c r="E224" s="2">
        <f>COUNTIF('Anh xa'!$D$2:$D$725,A224)</f>
        <v/>
      </c>
      <c r="F224" s="2">
        <f>IF(E224&gt;0,"Đã phủ","THIẾU")</f>
        <v/>
      </c>
      <c r="G224" s="6" t="inlineStr">
        <is>
          <t>Chưa làm</t>
        </is>
      </c>
      <c r="H224" s="6" t="inlineStr"/>
    </row>
    <row r="225">
      <c r="A225" s="2" t="inlineStr">
        <is>
          <t>ING-02</t>
        </is>
      </c>
      <c r="B225" s="2" t="inlineStr">
        <is>
          <t>Nạp &amp; trích xuất (ING-43)</t>
        </is>
      </c>
      <c r="C225" s="2" t="inlineStr">
        <is>
          <t>Ba mức hỗ trợ ĐẦY ĐỦ/MỘT PHẦN/KHÔNG hiển thị, kèm gợi ý thay thế</t>
        </is>
      </c>
      <c r="D225" s="2" t="inlineStr">
        <is>
          <t>EIDE-ING-43</t>
        </is>
      </c>
      <c r="E225" s="2">
        <f>COUNTIF('Anh xa'!$D$2:$D$725,A225)</f>
        <v/>
      </c>
      <c r="F225" s="2">
        <f>IF(E225&gt;0,"Đã phủ","THIẾU")</f>
        <v/>
      </c>
      <c r="G225" s="6" t="inlineStr">
        <is>
          <t>Chưa làm</t>
        </is>
      </c>
      <c r="H225" s="6" t="inlineStr"/>
    </row>
    <row r="226">
      <c r="A226" s="2" t="inlineStr">
        <is>
          <t>ING-03</t>
        </is>
      </c>
      <c r="B226" s="2" t="inlineStr">
        <is>
          <t>Nạp &amp; trích xuất (ING-43)</t>
        </is>
      </c>
      <c r="C226" s="2" t="inlineStr">
        <is>
          <t>Không bao giờ đưa tệp không phải archive vào archive.list</t>
        </is>
      </c>
      <c r="D226" s="2" t="inlineStr">
        <is>
          <t>EIDE-ING-43</t>
        </is>
      </c>
      <c r="E226" s="2">
        <f>COUNTIF('Anh xa'!$D$2:$D$725,A226)</f>
        <v/>
      </c>
      <c r="F226" s="2">
        <f>IF(E226&gt;0,"Đã phủ","THIẾU")</f>
        <v/>
      </c>
      <c r="G226" s="6" t="inlineStr">
        <is>
          <t>Chưa làm</t>
        </is>
      </c>
      <c r="H226" s="6" t="inlineStr"/>
    </row>
    <row r="227">
      <c r="A227" s="2" t="inlineStr">
        <is>
          <t>ING-04</t>
        </is>
      </c>
      <c r="B227" s="2" t="inlineStr">
        <is>
          <t>Nạp &amp; trích xuất (ING-43)</t>
        </is>
      </c>
      <c r="C227" s="2" t="inlineStr">
        <is>
          <t>Archive: bóc đệ quy có giới hạn; chọn tệp khi &gt; 20; chống zip bomb</t>
        </is>
      </c>
      <c r="D227" s="2" t="inlineStr">
        <is>
          <t>EIDE-ING-43</t>
        </is>
      </c>
      <c r="E227" s="2">
        <f>COUNTIF('Anh xa'!$D$2:$D$725,A227)</f>
        <v/>
      </c>
      <c r="F227" s="2">
        <f>IF(E227&gt;0,"Đã phủ","THIẾU")</f>
        <v/>
      </c>
      <c r="G227" s="6" t="inlineStr">
        <is>
          <t>Chưa làm</t>
        </is>
      </c>
      <c r="H227" s="6" t="inlineStr"/>
    </row>
    <row r="228">
      <c r="A228" s="2" t="inlineStr">
        <is>
          <t>ING-05</t>
        </is>
      </c>
      <c r="B228" s="2" t="inlineStr">
        <is>
          <t>Nạp &amp; trích xuất (ING-43)</t>
        </is>
      </c>
      <c r="C228" s="2" t="inlineStr">
        <is>
          <t>Office .docx/.xlsx/.pptx đọc cấu trúc; ảnh nhúng OCR; định dạng cũ chuyển đổi</t>
        </is>
      </c>
      <c r="D228" s="2" t="inlineStr">
        <is>
          <t>EIDE-ING-43</t>
        </is>
      </c>
      <c r="E228" s="2">
        <f>COUNTIF('Anh xa'!$D$2:$D$725,A228)</f>
        <v/>
      </c>
      <c r="F228" s="2">
        <f>IF(E228&gt;0,"Đã phủ","THIẾU")</f>
        <v/>
      </c>
      <c r="G228" s="6" t="inlineStr">
        <is>
          <t>Chưa làm</t>
        </is>
      </c>
      <c r="H228" s="6" t="inlineStr"/>
    </row>
    <row r="229">
      <c r="A229" s="2" t="inlineStr">
        <is>
          <t>ING-06</t>
        </is>
      </c>
      <c r="B229" s="2" t="inlineStr">
        <is>
          <t>Nạp &amp; trích xuất (ING-43)</t>
        </is>
      </c>
      <c r="C229" s="2" t="inlineStr">
        <is>
          <t>Trích dẫn theo loại (page/bbox; heading/table/row; sheet!ô; slide); docx → PDF phái sinh</t>
        </is>
      </c>
      <c r="D229" s="2" t="inlineStr">
        <is>
          <t>EIDE-ING-43</t>
        </is>
      </c>
      <c r="E229" s="2">
        <f>COUNTIF('Anh xa'!$D$2:$D$725,A229)</f>
        <v/>
      </c>
      <c r="F229" s="2">
        <f>IF(E229&gt;0,"Đã phủ","THIẾU")</f>
        <v/>
      </c>
      <c r="G229" s="6" t="inlineStr">
        <is>
          <t>Chưa làm</t>
        </is>
      </c>
      <c r="H229" s="6" t="inlineStr"/>
    </row>
    <row r="230">
      <c r="A230" s="2" t="inlineStr">
        <is>
          <t>ING-07</t>
        </is>
      </c>
      <c r="B230" s="2" t="inlineStr">
        <is>
          <t>Nạp &amp; trích xuất (ING-43)</t>
        </is>
      </c>
      <c r="C230" s="2" t="inlineStr">
        <is>
          <t>Bảng (PDF/Office/MD/HTML) → Fact ứng viên; giá trị đọc bằng mã</t>
        </is>
      </c>
      <c r="D230" s="2" t="inlineStr">
        <is>
          <t>EIDE-ING-43</t>
        </is>
      </c>
      <c r="E230" s="2">
        <f>COUNTIF('Anh xa'!$D$2:$D$725,A230)</f>
        <v/>
      </c>
      <c r="F230" s="2">
        <f>IF(E230&gt;0,"Đã phủ","THIẾU")</f>
        <v/>
      </c>
      <c r="G230" s="6" t="inlineStr">
        <is>
          <t>Chưa làm</t>
        </is>
      </c>
      <c r="H230" s="6" t="inlineStr"/>
    </row>
    <row r="231">
      <c r="A231" s="2" t="inlineStr">
        <is>
          <t>ING-08</t>
        </is>
      </c>
      <c r="B231" s="2" t="inlineStr">
        <is>
          <t>Nạp &amp; trích xuất (ING-43)</t>
        </is>
      </c>
      <c r="C231" s="2" t="inlineStr">
        <is>
          <t>Ô gộp, bảng xoay, min/typ/max chung ô, Note → condition</t>
        </is>
      </c>
      <c r="D231" s="2" t="inlineStr">
        <is>
          <t>EIDE-ING-43</t>
        </is>
      </c>
      <c r="E231" s="2">
        <f>COUNTIF('Anh xa'!$D$2:$D$725,A231)</f>
        <v/>
      </c>
      <c r="F231" s="2">
        <f>IF(E231&gt;0,"Đã phủ","THIẾU")</f>
        <v/>
      </c>
      <c r="G231" s="6" t="inlineStr">
        <is>
          <t>Chưa làm</t>
        </is>
      </c>
      <c r="H231" s="6" t="inlineStr"/>
    </row>
    <row r="232">
      <c r="A232" s="2" t="inlineStr">
        <is>
          <t>ING-09</t>
        </is>
      </c>
      <c r="B232" s="2" t="inlineStr">
        <is>
          <t>Nạp &amp; trích xuất (ING-43)</t>
        </is>
      </c>
      <c r="C232" s="2" t="inlineStr">
        <is>
          <t>EDA: KiCad .net/.kicad_sch; Eagle/EasyEDA chuyển đổi; Altium từ chối đúng lý do; BOM đối chiếu netlist</t>
        </is>
      </c>
      <c r="D232" s="2" t="inlineStr">
        <is>
          <t>EIDE-ING-43</t>
        </is>
      </c>
      <c r="E232" s="2">
        <f>COUNTIF('Anh xa'!$D$2:$D$725,A232)</f>
        <v/>
      </c>
      <c r="F232" s="2">
        <f>IF(E232&gt;0,"Đã phủ","THIẾU")</f>
        <v/>
      </c>
      <c r="G232" s="6" t="inlineStr">
        <is>
          <t>Chưa làm</t>
        </is>
      </c>
      <c r="H232" s="6" t="inlineStr"/>
    </row>
    <row r="233">
      <c r="A233" s="2" t="inlineStr">
        <is>
          <t>ING-10</t>
        </is>
      </c>
      <c r="B233" s="2" t="inlineStr">
        <is>
          <t>Nạp &amp; trích xuất (ING-43)</t>
        </is>
      </c>
      <c r="C233" s="2" t="inlineStr">
        <is>
          <t>Cấu hình vendor (.ioc/sdkconfig/.dts/.ld/map) → Fact tầng CẤU HÌNH</t>
        </is>
      </c>
      <c r="D233" s="2" t="inlineStr">
        <is>
          <t>EIDE-ING-43</t>
        </is>
      </c>
      <c r="E233" s="2">
        <f>COUNTIF('Anh xa'!$D$2:$D$725,A233)</f>
        <v/>
      </c>
      <c r="F233" s="2">
        <f>IF(E233&gt;0,"Đã phủ","THIẾU")</f>
        <v/>
      </c>
      <c r="G233" s="6" t="inlineStr">
        <is>
          <t>Chưa làm</t>
        </is>
      </c>
      <c r="H233" s="6" t="inlineStr"/>
    </row>
    <row r="234">
      <c r="A234" s="2" t="inlineStr">
        <is>
          <t>ING-11</t>
        </is>
      </c>
      <c r="B234" s="2" t="inlineStr">
        <is>
          <t>Nạp &amp; trích xuất (ING-43)</t>
        </is>
      </c>
      <c r="C234" s="2" t="inlineStr">
        <is>
          <t>CẤU HÌNH không là vế giới hạn vật lý; mâu thuẫn với datasheet → phát hiện</t>
        </is>
      </c>
      <c r="D234" s="2" t="inlineStr">
        <is>
          <t>EIDE-ING-43</t>
        </is>
      </c>
      <c r="E234" s="2">
        <f>COUNTIF('Anh xa'!$D$2:$D$725,A234)</f>
        <v/>
      </c>
      <c r="F234" s="2">
        <f>IF(E234&gt;0,"Đã phủ","THIẾU")</f>
        <v/>
      </c>
      <c r="G234" s="6" t="inlineStr">
        <is>
          <t>Chưa làm</t>
        </is>
      </c>
      <c r="H234" s="6" t="inlineStr"/>
    </row>
    <row r="235">
      <c r="A235" s="2" t="inlineStr">
        <is>
          <t>ING-12</t>
        </is>
      </c>
      <c r="B235" s="2" t="inlineStr">
        <is>
          <t>Nạp &amp; trích xuất (ING-43)</t>
        </is>
      </c>
      <c r="C235" s="2" t="inlineStr">
        <is>
          <t>Hình → đoạn RAG figure; đọc hình bằng vision là ĐỒNG</t>
        </is>
      </c>
      <c r="D235" s="2" t="inlineStr">
        <is>
          <t>EIDE-ING-43</t>
        </is>
      </c>
      <c r="E235" s="2">
        <f>COUNTIF('Anh xa'!$D$2:$D$725,A235)</f>
        <v/>
      </c>
      <c r="F235" s="2">
        <f>IF(E235&gt;0,"Đã phủ","THIẾU")</f>
        <v/>
      </c>
      <c r="G235" s="6" t="inlineStr">
        <is>
          <t>Chưa làm</t>
        </is>
      </c>
      <c r="H235" s="6" t="inlineStr"/>
    </row>
    <row r="236">
      <c r="A236" s="2" t="inlineStr">
        <is>
          <t>ING-13</t>
        </is>
      </c>
      <c r="B236" s="2" t="inlineStr">
        <is>
          <t>Nạp &amp; trích xuất (ING-43)</t>
        </is>
      </c>
      <c r="C236" s="2" t="inlineStr">
        <is>
          <t>Đối chiếu chéo nguồn cùng key; quy tắc ưu tiên</t>
        </is>
      </c>
      <c r="D236" s="2" t="inlineStr">
        <is>
          <t>EIDE-ING-43</t>
        </is>
      </c>
      <c r="E236" s="2">
        <f>COUNTIF('Anh xa'!$D$2:$D$725,A236)</f>
        <v/>
      </c>
      <c r="F236" s="2">
        <f>IF(E236&gt;0,"Đã phủ","THIẾU")</f>
        <v/>
      </c>
      <c r="G236" s="6" t="inlineStr">
        <is>
          <t>Chưa làm</t>
        </is>
      </c>
      <c r="H236" s="6" t="inlineStr"/>
    </row>
    <row r="237">
      <c r="A237" s="2" t="inlineStr">
        <is>
          <t>ING-14</t>
        </is>
      </c>
      <c r="B237" s="2" t="inlineStr">
        <is>
          <t>Nạp &amp; trích xuất (ING-43)</t>
        </is>
      </c>
      <c r="C237" s="2" t="inlineStr">
        <is>
          <t>Chuẩn hoá đơn vị/ký hiệu bằng mã; giữ raw; condition có cấu trúc</t>
        </is>
      </c>
      <c r="D237" s="2" t="inlineStr">
        <is>
          <t>EIDE-ING-43</t>
        </is>
      </c>
      <c r="E237" s="2">
        <f>COUNTIF('Anh xa'!$D$2:$D$725,A237)</f>
        <v/>
      </c>
      <c r="F237" s="2">
        <f>IF(E237&gt;0,"Đã phủ","THIẾU")</f>
        <v/>
      </c>
      <c r="G237" s="6" t="inlineStr">
        <is>
          <t>Chưa làm</t>
        </is>
      </c>
      <c r="H237" s="6" t="inlineStr"/>
    </row>
    <row r="238">
      <c r="A238" s="2" t="inlineStr">
        <is>
          <t>ING-15</t>
        </is>
      </c>
      <c r="B238" s="2" t="inlineStr">
        <is>
          <t>Nạp &amp; trích xuất (ING-43)</t>
        </is>
      </c>
      <c r="C238" s="2" t="inlineStr">
        <is>
          <t>Đa ngôn ngữ: nhận diện, OCR đúng gói, key bí danh, embedding đa ngữ</t>
        </is>
      </c>
      <c r="D238" s="2" t="inlineStr">
        <is>
          <t>EIDE-ING-43</t>
        </is>
      </c>
      <c r="E238" s="2">
        <f>COUNTIF('Anh xa'!$D$2:$D$725,A238)</f>
        <v/>
      </c>
      <c r="F238" s="2">
        <f>IF(E238&gt;0,"Đã phủ","THIẾU")</f>
        <v/>
      </c>
      <c r="G238" s="6" t="inlineStr">
        <is>
          <t>Chưa làm</t>
        </is>
      </c>
      <c r="H238" s="6" t="inlineStr"/>
    </row>
    <row r="239">
      <c r="A239" s="2" t="inlineStr">
        <is>
          <t>ING-16</t>
        </is>
      </c>
      <c r="B239" s="2" t="inlineStr">
        <is>
          <t>Nạp &amp; trích xuất (ING-43)</t>
        </is>
      </c>
      <c r="C239" s="2" t="inlineStr">
        <is>
          <t>Mã lỗi E1001–E1008 có message_vi + hint + alternatives</t>
        </is>
      </c>
      <c r="D239" s="2" t="inlineStr">
        <is>
          <t>EIDE-ING-43</t>
        </is>
      </c>
      <c r="E239" s="2">
        <f>COUNTIF('Anh xa'!$D$2:$D$725,A239)</f>
        <v/>
      </c>
      <c r="F239" s="2">
        <f>IF(E239&gt;0,"Đã phủ","THIẾU")</f>
        <v/>
      </c>
      <c r="G239" s="6" t="inlineStr">
        <is>
          <t>Chưa làm</t>
        </is>
      </c>
      <c r="H239" s="6" t="inlineStr"/>
    </row>
    <row r="240">
      <c r="A240" s="2" t="inlineStr">
        <is>
          <t>ING-17</t>
        </is>
      </c>
      <c r="B240" s="2" t="inlineStr">
        <is>
          <t>Nạp &amp; trích xuất (ING-43)</t>
        </is>
      </c>
      <c r="C240" s="2" t="inlineStr">
        <is>
          <t>Giới hạn kích thước/trang; OCR nền có tiến trình</t>
        </is>
      </c>
      <c r="D240" s="2" t="inlineStr">
        <is>
          <t>EIDE-ING-43</t>
        </is>
      </c>
      <c r="E240" s="2">
        <f>COUNTIF('Anh xa'!$D$2:$D$725,A240)</f>
        <v/>
      </c>
      <c r="F240" s="2">
        <f>IF(E240&gt;0,"Đã phủ","THIẾU")</f>
        <v/>
      </c>
      <c r="G240" s="6" t="inlineStr">
        <is>
          <t>Chưa làm</t>
        </is>
      </c>
      <c r="H240" s="6" t="inlineStr"/>
    </row>
    <row r="241">
      <c r="A241" s="2" t="inlineStr">
        <is>
          <t>ING-18</t>
        </is>
      </c>
      <c r="B241" s="2" t="inlineStr">
        <is>
          <t>Nạp &amp; trích xuất (ING-43)</t>
        </is>
      </c>
      <c r="C241" s="2" t="inlineStr">
        <is>
          <t>Nội dung tài liệu là dữ liệu: untrusted, quét P-INJ, không chạy macro</t>
        </is>
      </c>
      <c r="D241" s="2" t="inlineStr">
        <is>
          <t>EIDE-ING-43</t>
        </is>
      </c>
      <c r="E241" s="2">
        <f>COUNTIF('Anh xa'!$D$2:$D$725,A241)</f>
        <v/>
      </c>
      <c r="F241" s="2">
        <f>IF(E241&gt;0,"Đã phủ","THIẾU")</f>
        <v/>
      </c>
      <c r="G241" s="6" t="inlineStr">
        <is>
          <t>Chưa làm</t>
        </is>
      </c>
      <c r="H241" s="6" t="inlineStr"/>
    </row>
    <row r="242">
      <c r="A242" s="2" t="inlineStr">
        <is>
          <t>ING-19</t>
        </is>
      </c>
      <c r="B242" s="2" t="inlineStr">
        <is>
          <t>Nạp &amp; trích xuất (ING-43)</t>
        </is>
      </c>
      <c r="C242" s="2" t="inlineStr">
        <is>
          <t>Gán tầng theo nguồn; Office tự viết → NGƯỜI (chờ chốt)</t>
        </is>
      </c>
      <c r="D242" s="2" t="inlineStr">
        <is>
          <t>EIDE-ING-43</t>
        </is>
      </c>
      <c r="E242" s="2">
        <f>COUNTIF('Anh xa'!$D$2:$D$725,A242)</f>
        <v/>
      </c>
      <c r="F242" s="2">
        <f>IF(E242&gt;0,"Đã phủ","THIẾU")</f>
        <v/>
      </c>
      <c r="G242" s="6" t="inlineStr">
        <is>
          <t>Chưa làm</t>
        </is>
      </c>
      <c r="H242" s="6" t="inlineStr"/>
    </row>
    <row r="243">
      <c r="A243" s="2" t="inlineStr">
        <is>
          <t>ING-20</t>
        </is>
      </c>
      <c r="B243" s="2" t="inlineStr">
        <is>
          <t>Nạp &amp; trích xuất (ING-43)</t>
        </is>
      </c>
      <c r="C243" s="2" t="inlineStr">
        <is>
          <t>Hằng số trong mã → ĐỒNG-mã, chỉ để so sánh</t>
        </is>
      </c>
      <c r="D243" s="2" t="inlineStr">
        <is>
          <t>EIDE-ING-43</t>
        </is>
      </c>
      <c r="E243" s="2">
        <f>COUNTIF('Anh xa'!$D$2:$D$725,A243)</f>
        <v/>
      </c>
      <c r="F243" s="2">
        <f>IF(E243&gt;0,"Đã phủ","THIẾU")</f>
        <v/>
      </c>
      <c r="G243" s="6" t="inlineStr">
        <is>
          <t>Chưa làm</t>
        </is>
      </c>
      <c r="H243" s="6" t="inlineStr"/>
    </row>
    <row r="244">
      <c r="A244" s="2" t="inlineStr">
        <is>
          <t>SCH-01</t>
        </is>
      </c>
      <c r="B244" s="2" t="inlineStr">
        <is>
          <t>Sơ đồ KiCad (SCH-44)</t>
        </is>
      </c>
      <c r="C244" s="2" t="inlineStr">
        <is>
          <t>Sinh sơ đồ từ CKM qua SKiDL; mô hình viết SKiDL, mã kiểm</t>
        </is>
      </c>
      <c r="D244" s="2" t="inlineStr">
        <is>
          <t>EIDE-SCH-44</t>
        </is>
      </c>
      <c r="E244" s="2">
        <f>COUNTIF('Anh xa'!$D$2:$D$725,A244)</f>
        <v/>
      </c>
      <c r="F244" s="2">
        <f>IF(E244&gt;0,"Đã phủ","THIẾU")</f>
        <v/>
      </c>
      <c r="G244" s="6" t="inlineStr">
        <is>
          <t>Chưa làm</t>
        </is>
      </c>
      <c r="H244" s="6" t="inlineStr"/>
    </row>
    <row r="245">
      <c r="A245" s="2" t="inlineStr">
        <is>
          <t>SCH-02</t>
        </is>
      </c>
      <c r="B245" s="2" t="inlineStr">
        <is>
          <t>Sơ đồ KiCad (SCH-44)</t>
        </is>
      </c>
      <c r="C245" s="2" t="inlineStr">
        <is>
          <t>Netlist sinh ra đẳng cấu với CKM; lệch → E7001, dừng</t>
        </is>
      </c>
      <c r="D245" s="2" t="inlineStr">
        <is>
          <t>EIDE-SCH-44</t>
        </is>
      </c>
      <c r="E245" s="2">
        <f>COUNTIF('Anh xa'!$D$2:$D$725,A245)</f>
        <v/>
      </c>
      <c r="F245" s="2">
        <f>IF(E245&gt;0,"Đã phủ","THIẾU")</f>
        <v/>
      </c>
      <c r="G245" s="6" t="inlineStr">
        <is>
          <t>Chưa làm</t>
        </is>
      </c>
      <c r="H245" s="6" t="inlineStr"/>
    </row>
    <row r="246">
      <c r="A246" s="2" t="inlineStr">
        <is>
          <t>SCH-03</t>
        </is>
      </c>
      <c r="B246" s="2" t="inlineStr">
        <is>
          <t>Sơ đồ KiCad (SCH-44)</t>
        </is>
      </c>
      <c r="C246" s="2" t="inlineStr">
        <is>
          <t>Không bịa chân: pinout phải ≥ NGƯỜI; thiếu → E7002</t>
        </is>
      </c>
      <c r="D246" s="2" t="inlineStr">
        <is>
          <t>EIDE-SCH-44</t>
        </is>
      </c>
      <c r="E246" s="2">
        <f>COUNTIF('Anh xa'!$D$2:$D$725,A246)</f>
        <v/>
      </c>
      <c r="F246" s="2">
        <f>IF(E246&gt;0,"Đã phủ","THIẾU")</f>
        <v/>
      </c>
      <c r="G246" s="6" t="inlineStr">
        <is>
          <t>Chưa làm</t>
        </is>
      </c>
      <c r="H246" s="6" t="inlineStr"/>
    </row>
    <row r="247">
      <c r="A247" s="2" t="inlineStr">
        <is>
          <t>SCH-04</t>
        </is>
      </c>
      <c r="B247" s="2" t="inlineStr">
        <is>
          <t>Sơ đồ KiCad (SCH-44)</t>
        </is>
      </c>
      <c r="C247" s="2" t="inlineStr">
        <is>
          <t>Style flat/hierarchical; chọn module</t>
        </is>
      </c>
      <c r="D247" s="2" t="inlineStr">
        <is>
          <t>EIDE-SCH-44</t>
        </is>
      </c>
      <c r="E247" s="2">
        <f>COUNTIF('Anh xa'!$D$2:$D$725,A247)</f>
        <v/>
      </c>
      <c r="F247" s="2">
        <f>IF(E247&gt;0,"Đã phủ","THIẾU")</f>
        <v/>
      </c>
      <c r="G247" s="6" t="inlineStr">
        <is>
          <t>Chưa làm</t>
        </is>
      </c>
      <c r="H247" s="6" t="inlineStr"/>
    </row>
    <row r="248">
      <c r="A248" s="2" t="inlineStr">
        <is>
          <t>SCH-05</t>
        </is>
      </c>
      <c r="B248" s="2" t="inlineStr">
        <is>
          <t>Sơ đồ KiCad (SCH-44)</t>
        </is>
      </c>
      <c r="C248" s="2" t="inlineStr">
        <is>
          <t>Bố cục theo module với tiêu chí số; xác định, lặp lại được</t>
        </is>
      </c>
      <c r="D248" s="2" t="inlineStr">
        <is>
          <t>EIDE-SCH-44</t>
        </is>
      </c>
      <c r="E248" s="2">
        <f>COUNTIF('Anh xa'!$D$2:$D$725,A248)</f>
        <v/>
      </c>
      <c r="F248" s="2">
        <f>IF(E248&gt;0,"Đã phủ","THIẾU")</f>
        <v/>
      </c>
      <c r="G248" s="6" t="inlineStr">
        <is>
          <t>Chưa làm</t>
        </is>
      </c>
      <c r="H248" s="6" t="inlineStr"/>
    </row>
    <row r="249">
      <c r="A249" s="2" t="inlineStr">
        <is>
          <t>SCH-06</t>
        </is>
      </c>
      <c r="B249" s="2" t="inlineStr">
        <is>
          <t>Sơ đồ KiCad (SCH-44)</t>
        </is>
      </c>
      <c r="C249" s="2" t="inlineStr">
        <is>
          <t>Render SVG có id theo ref/net</t>
        </is>
      </c>
      <c r="D249" s="2" t="inlineStr">
        <is>
          <t>EIDE-SCH-44</t>
        </is>
      </c>
      <c r="E249" s="2">
        <f>COUNTIF('Anh xa'!$D$2:$D$725,A249)</f>
        <v/>
      </c>
      <c r="F249" s="2">
        <f>IF(E249&gt;0,"Đã phủ","THIẾU")</f>
        <v/>
      </c>
      <c r="G249" s="6" t="inlineStr">
        <is>
          <t>Chưa làm</t>
        </is>
      </c>
      <c r="H249" s="6" t="inlineStr"/>
    </row>
    <row r="250">
      <c r="A250" s="2" t="inlineStr">
        <is>
          <t>SCH-07</t>
        </is>
      </c>
      <c r="B250" s="2" t="inlineStr">
        <is>
          <t>Sơ đồ KiCad (SCH-44)</t>
        </is>
      </c>
      <c r="C250" s="2" t="inlineStr">
        <is>
          <t>Tương tác: ký hiệu → Fact/nguồn; net → tô sáng + ERC</t>
        </is>
      </c>
      <c r="D250" s="2" t="inlineStr">
        <is>
          <t>EIDE-SCH-44</t>
        </is>
      </c>
      <c r="E250" s="2">
        <f>COUNTIF('Anh xa'!$D$2:$D$725,A250)</f>
        <v/>
      </c>
      <c r="F250" s="2">
        <f>IF(E250&gt;0,"Đã phủ","THIẾU")</f>
        <v/>
      </c>
      <c r="G250" s="6" t="inlineStr">
        <is>
          <t>Chưa làm</t>
        </is>
      </c>
      <c r="H250" s="6" t="inlineStr"/>
    </row>
    <row r="251">
      <c r="A251" s="2" t="inlineStr">
        <is>
          <t>SCH-08</t>
        </is>
      </c>
      <c r="B251" s="2" t="inlineStr">
        <is>
          <t>Sơ đồ KiCad (SCH-44)</t>
        </is>
      </c>
      <c r="C251" s="2" t="inlineStr">
        <is>
          <t>Renderer nội bộ là đường chính; suy giảm về sơ đồ khối</t>
        </is>
      </c>
      <c r="D251" s="2" t="inlineStr">
        <is>
          <t>EIDE-SCH-44</t>
        </is>
      </c>
      <c r="E251" s="2">
        <f>COUNTIF('Anh xa'!$D$2:$D$725,A251)</f>
        <v/>
      </c>
      <c r="F251" s="2">
        <f>IF(E251&gt;0,"Đã phủ","THIẾU")</f>
        <v/>
      </c>
      <c r="G251" s="6" t="inlineStr">
        <is>
          <t>Chưa làm</t>
        </is>
      </c>
      <c r="H251" s="6" t="inlineStr"/>
    </row>
    <row r="252">
      <c r="A252" s="2" t="inlineStr">
        <is>
          <t>SCH-09</t>
        </is>
      </c>
      <c r="B252" s="2" t="inlineStr">
        <is>
          <t>Sơ đồ KiCad (SCH-44)</t>
        </is>
      </c>
      <c r="C252" s="2" t="inlineStr">
        <is>
          <t>Không cài/không gọi/không đề nghị cài KiCad trên máy; thư viện ký hiệu chỉ là dữ liệu qua G-DATA</t>
        </is>
      </c>
      <c r="D252" s="2" t="inlineStr">
        <is>
          <t>EIDE-SCH-44</t>
        </is>
      </c>
      <c r="E252" s="2">
        <f>COUNTIF('Anh xa'!$D$2:$D$725,A252)</f>
        <v/>
      </c>
      <c r="F252" s="2">
        <f>IF(E252&gt;0,"Đã phủ","THIẾU")</f>
        <v/>
      </c>
      <c r="G252" s="6" t="inlineStr">
        <is>
          <t>Chưa làm</t>
        </is>
      </c>
      <c r="H252" s="6" t="inlineStr"/>
    </row>
    <row r="253">
      <c r="A253" s="2" t="inlineStr">
        <is>
          <t>SCH-10</t>
        </is>
      </c>
      <c r="B253" s="2" t="inlineStr">
        <is>
          <t>Sơ đồ KiCad (SCH-44)</t>
        </is>
      </c>
      <c r="C253" s="2" t="inlineStr">
        <is>
          <t>Diff sơ đồ bằng lời (E3)</t>
        </is>
      </c>
      <c r="D253" s="2" t="inlineStr">
        <is>
          <t>EIDE-SCH-44</t>
        </is>
      </c>
      <c r="E253" s="2">
        <f>COUNTIF('Anh xa'!$D$2:$D$725,A253)</f>
        <v/>
      </c>
      <c r="F253" s="2">
        <f>IF(E253&gt;0,"Đã phủ","THIẾU")</f>
        <v/>
      </c>
      <c r="G253" s="6" t="inlineStr">
        <is>
          <t>Chưa làm</t>
        </is>
      </c>
      <c r="H253" s="6" t="inlineStr"/>
    </row>
    <row r="254">
      <c r="A254" s="2" t="inlineStr">
        <is>
          <t>SCH-11</t>
        </is>
      </c>
      <c r="B254" s="2" t="inlineStr">
        <is>
          <t>Sơ đồ KiCad (SCH-44)</t>
        </is>
      </c>
      <c r="C254" s="2" t="inlineStr">
        <is>
          <t>Xuất gói để mở ở máy khác; theo dõi mtime; Nạp lại</t>
        </is>
      </c>
      <c r="D254" s="2" t="inlineStr">
        <is>
          <t>EIDE-SCH-44</t>
        </is>
      </c>
      <c r="E254" s="2">
        <f>COUNTIF('Anh xa'!$D$2:$D$725,A254)</f>
        <v/>
      </c>
      <c r="F254" s="2">
        <f>IF(E254&gt;0,"Đã phủ","THIẾU")</f>
        <v/>
      </c>
      <c r="G254" s="6" t="inlineStr">
        <is>
          <t>Chưa làm</t>
        </is>
      </c>
      <c r="H254" s="6" t="inlineStr"/>
    </row>
    <row r="255">
      <c r="A255" s="2" t="inlineStr">
        <is>
          <t>SCH-12</t>
        </is>
      </c>
      <c r="B255" s="2" t="inlineStr">
        <is>
          <t>Sơ đồ KiCad (SCH-44)</t>
        </is>
      </c>
      <c r="C255" s="2" t="inlineStr">
        <is>
          <t>Round-trip phân loại thay đổi: bố cục / giá trị / cấu trúc</t>
        </is>
      </c>
      <c r="D255" s="2" t="inlineStr">
        <is>
          <t>EIDE-SCH-44</t>
        </is>
      </c>
      <c r="E255" s="2">
        <f>COUNTIF('Anh xa'!$D$2:$D$725,A255)</f>
        <v/>
      </c>
      <c r="F255" s="2">
        <f>IF(E255&gt;0,"Đã phủ","THIẾU")</f>
        <v/>
      </c>
      <c r="G255" s="6" t="inlineStr">
        <is>
          <t>Chưa làm</t>
        </is>
      </c>
      <c r="H255" s="6" t="inlineStr"/>
    </row>
    <row r="256">
      <c r="A256" s="2" t="inlineStr">
        <is>
          <t>SCH-13</t>
        </is>
      </c>
      <c r="B256" s="2" t="inlineStr">
        <is>
          <t>Sơ đồ KiCad (SCH-44)</t>
        </is>
      </c>
      <c r="C256" s="2" t="inlineStr">
        <is>
          <t>Thay đổi cấu trúc từ KiCad → thẻ hỏi, không ghi đè CKM im lặng</t>
        </is>
      </c>
      <c r="D256" s="2" t="inlineStr">
        <is>
          <t>EIDE-SCH-44</t>
        </is>
      </c>
      <c r="E256" s="2">
        <f>COUNTIF('Anh xa'!$D$2:$D$725,A256)</f>
        <v/>
      </c>
      <c r="F256" s="2">
        <f>IF(E256&gt;0,"Đã phủ","THIẾU")</f>
        <v/>
      </c>
      <c r="G256" s="6" t="inlineStr">
        <is>
          <t>Chưa làm</t>
        </is>
      </c>
      <c r="H256" s="6" t="inlineStr"/>
    </row>
    <row r="257">
      <c r="A257" s="2" t="inlineStr">
        <is>
          <t>SCH-14</t>
        </is>
      </c>
      <c r="B257" s="2" t="inlineStr">
        <is>
          <t>Sơ đồ KiCad (SCH-44)</t>
        </is>
      </c>
      <c r="C257" s="2" t="inlineStr">
        <is>
          <t>Symbol lib chính thức đối chiếu Fact ≥ 95 %</t>
        </is>
      </c>
      <c r="D257" s="2" t="inlineStr">
        <is>
          <t>EIDE-SCH-44</t>
        </is>
      </c>
      <c r="E257" s="2">
        <f>COUNTIF('Anh xa'!$D$2:$D$725,A257)</f>
        <v/>
      </c>
      <c r="F257" s="2">
        <f>IF(E257&gt;0,"Đã phủ","THIẾU")</f>
        <v/>
      </c>
      <c r="G257" s="6" t="inlineStr">
        <is>
          <t>Chưa làm</t>
        </is>
      </c>
      <c r="H257" s="6" t="inlineStr"/>
    </row>
    <row r="258">
      <c r="A258" s="2" t="inlineStr">
        <is>
          <t>SCH-15</t>
        </is>
      </c>
      <c r="B258" s="2" t="inlineStr">
        <is>
          <t>Sơ đồ KiCad (SCH-44)</t>
        </is>
      </c>
      <c r="C258" s="2" t="inlineStr">
        <is>
          <t>Symbol sinh từ Fact có ghi nguồn</t>
        </is>
      </c>
      <c r="D258" s="2" t="inlineStr">
        <is>
          <t>EIDE-SCH-44</t>
        </is>
      </c>
      <c r="E258" s="2">
        <f>COUNTIF('Anh xa'!$D$2:$D$725,A258)</f>
        <v/>
      </c>
      <c r="F258" s="2">
        <f>IF(E258&gt;0,"Đã phủ","THIẾU")</f>
        <v/>
      </c>
      <c r="G258" s="6" t="inlineStr">
        <is>
          <t>Chưa làm</t>
        </is>
      </c>
      <c r="H258" s="6" t="inlineStr"/>
    </row>
    <row r="259">
      <c r="A259" s="2" t="inlineStr">
        <is>
          <t>SCH-16</t>
        </is>
      </c>
      <c r="B259" s="2" t="inlineStr">
        <is>
          <t>Sơ đồ KiCad (SCH-44)</t>
        </is>
      </c>
      <c r="C259" s="2" t="inlineStr">
        <is>
          <t>Gói sch vào snapshot/release</t>
        </is>
      </c>
      <c r="D259" s="2" t="inlineStr">
        <is>
          <t>EIDE-SCH-44</t>
        </is>
      </c>
      <c r="E259" s="2">
        <f>COUNTIF('Anh xa'!$D$2:$D$725,A259)</f>
        <v/>
      </c>
      <c r="F259" s="2">
        <f>IF(E259&gt;0,"Đã phủ","THIẾU")</f>
        <v/>
      </c>
      <c r="G259" s="6" t="inlineStr">
        <is>
          <t>Chưa làm</t>
        </is>
      </c>
      <c r="H259" s="6" t="inlineStr"/>
    </row>
    <row r="260">
      <c r="A260" s="2" t="inlineStr">
        <is>
          <t>SCH-17</t>
        </is>
      </c>
      <c r="B260" s="2" t="inlineStr">
        <is>
          <t>Sơ đồ KiCad (SCH-44)</t>
        </is>
      </c>
      <c r="C260" s="2" t="inlineStr">
        <is>
          <t>Cờ features.schematic mặc định tắt; tắt = không có nhánh mã sch nào chạy</t>
        </is>
      </c>
      <c r="D260" s="2" t="inlineStr">
        <is>
          <t>EIDE-SCH-44</t>
        </is>
      </c>
      <c r="E260" s="2">
        <f>COUNTIF('Anh xa'!$D$2:$D$725,A260)</f>
        <v/>
      </c>
      <c r="F260" s="2">
        <f>IF(E260&gt;0,"Đã phủ","THIẾU")</f>
        <v/>
      </c>
      <c r="G260" s="6" t="inlineStr">
        <is>
          <t>Chưa làm</t>
        </is>
      </c>
      <c r="H260" s="6" t="inlineStr"/>
    </row>
    <row r="261">
      <c r="A261" s="2" t="inlineStr">
        <is>
          <t>SCH-18</t>
        </is>
      </c>
      <c r="B261" s="2" t="inlineStr">
        <is>
          <t>Sơ đồ KiCad (SCH-44)</t>
        </is>
      </c>
      <c r="C261" s="2" t="inlineStr">
        <is>
          <t>Không đổi hợp đồng tool cũ; lược đồ chỉ cộng thêm; migration có down()</t>
        </is>
      </c>
      <c r="D261" s="2" t="inlineStr">
        <is>
          <t>EIDE-SCH-44</t>
        </is>
      </c>
      <c r="E261" s="2">
        <f>COUNTIF('Anh xa'!$D$2:$D$725,A261)</f>
        <v/>
      </c>
      <c r="F261" s="2">
        <f>IF(E261&gt;0,"Đã phủ","THIẾU")</f>
        <v/>
      </c>
      <c r="G261" s="6" t="inlineStr">
        <is>
          <t>Chưa làm</t>
        </is>
      </c>
      <c r="H261" s="6" t="inlineStr"/>
    </row>
    <row r="262">
      <c r="A262" s="2" t="inlineStr">
        <is>
          <t>SCH-19</t>
        </is>
      </c>
      <c r="B262" s="2" t="inlineStr">
        <is>
          <t>Sơ đồ KiCad (SCH-44)</t>
        </is>
      </c>
      <c r="C262" s="2" t="inlineStr">
        <is>
          <t>Hồi quy hai chế độ giống 100 % trước khi merge</t>
        </is>
      </c>
      <c r="D262" s="2" t="inlineStr">
        <is>
          <t>EIDE-SCH-44</t>
        </is>
      </c>
      <c r="E262" s="2">
        <f>COUNTIF('Anh xa'!$D$2:$D$725,A262)</f>
        <v/>
      </c>
      <c r="F262" s="2">
        <f>IF(E262&gt;0,"Đã phủ","THIẾU")</f>
        <v/>
      </c>
      <c r="G262" s="6" t="inlineStr">
        <is>
          <t>Chưa làm</t>
        </is>
      </c>
      <c r="H262" s="6" t="inlineStr"/>
    </row>
    <row r="263">
      <c r="A263" s="2" t="inlineStr">
        <is>
          <t>SCH-20</t>
        </is>
      </c>
      <c r="B263" s="2" t="inlineStr">
        <is>
          <t>Sơ đồ KiCad (SCH-44)</t>
        </is>
      </c>
      <c r="C263" s="2" t="inlineStr">
        <is>
          <t>uuid ổn định theo ref; giữ bố cục người đã sửa khi sinh lại</t>
        </is>
      </c>
      <c r="D263" s="2" t="inlineStr">
        <is>
          <t>EIDE-SCH-44</t>
        </is>
      </c>
      <c r="E263" s="2">
        <f>COUNTIF('Anh xa'!$D$2:$D$725,A263)</f>
        <v/>
      </c>
      <c r="F263" s="2">
        <f>IF(E263&gt;0,"Đã phủ","THIẾU")</f>
        <v/>
      </c>
      <c r="G263" s="6" t="inlineStr">
        <is>
          <t>Chưa làm</t>
        </is>
      </c>
      <c r="H263" s="6" t="inlineStr"/>
    </row>
    <row r="264">
      <c r="A264" s="2" t="inlineStr">
        <is>
          <t>SCH-21</t>
        </is>
      </c>
      <c r="B264" s="2" t="inlineStr">
        <is>
          <t>Sơ đồ KiCad (SCH-44)</t>
        </is>
      </c>
      <c r="C264" s="2" t="inlineStr">
        <is>
          <t>Mọi tệp sch là changeset hoàn tác được; G-FILE khi ghi đè tệp người sửa</t>
        </is>
      </c>
      <c r="D264" s="2" t="inlineStr">
        <is>
          <t>EIDE-SCH-44</t>
        </is>
      </c>
      <c r="E264" s="2">
        <f>COUNTIF('Anh xa'!$D$2:$D$725,A264)</f>
        <v/>
      </c>
      <c r="F264" s="2">
        <f>IF(E264&gt;0,"Đã phủ","THIẾU")</f>
        <v/>
      </c>
      <c r="G264" s="6" t="inlineStr">
        <is>
          <t>Chưa làm</t>
        </is>
      </c>
      <c r="H264" s="6" t="inlineStr"/>
    </row>
    <row r="265">
      <c r="A265" s="2" t="inlineStr">
        <is>
          <t>SCH-22</t>
        </is>
      </c>
      <c r="B265" s="2" t="inlineStr">
        <is>
          <t>Sơ đồ KiCad (SCH-44)</t>
        </is>
      </c>
      <c r="C265" s="2" t="inlineStr">
        <is>
          <t>PCB/Gerber vẫn ngoài phạm vi</t>
        </is>
      </c>
      <c r="D265" s="2" t="inlineStr">
        <is>
          <t>EIDE-SCH-44</t>
        </is>
      </c>
      <c r="E265" s="2">
        <f>COUNTIF('Anh xa'!$D$2:$D$725,A265)</f>
        <v/>
      </c>
      <c r="F265" s="2">
        <f>IF(E265&gt;0,"Đã phủ","THIẾU")</f>
        <v/>
      </c>
      <c r="G265" s="6" t="inlineStr">
        <is>
          <t>Chưa làm</t>
        </is>
      </c>
      <c r="H265" s="6" t="inlineStr"/>
    </row>
    <row r="266">
      <c r="A266" s="2" t="inlineStr">
        <is>
          <t>HIER-01</t>
        </is>
      </c>
      <c r="B266" s="2" t="inlineStr">
        <is>
          <t>Cây khối phân cấp (HIER-45)</t>
        </is>
      </c>
      <c r="C266" s="2" t="inlineStr">
        <is>
          <t>Module là nút cây có parent/kind/path; linh kiện là lá; độ sâu đệ quy; &gt; 4 cảnh báo</t>
        </is>
      </c>
      <c r="D266" s="2" t="inlineStr">
        <is>
          <t>EIDE-HIER-45</t>
        </is>
      </c>
      <c r="E266" s="2">
        <f>COUNTIF('Anh xa'!$D$2:$D$725,A266)</f>
        <v/>
      </c>
      <c r="F266" s="2">
        <f>IF(E266&gt;0,"Đã phủ","THIẾU")</f>
        <v/>
      </c>
      <c r="G266" s="6" t="inlineStr">
        <is>
          <t>Chưa làm</t>
        </is>
      </c>
      <c r="H266" s="6" t="inlineStr"/>
    </row>
    <row r="267">
      <c r="A267" s="2" t="inlineStr">
        <is>
          <t>HIER-02</t>
        </is>
      </c>
      <c r="B267" s="2" t="inlineStr">
        <is>
          <t>Cây khối phân cấp (HIER-45)</t>
        </is>
      </c>
      <c r="C267" s="2" t="inlineStr">
        <is>
          <t>Port ở biên khối: tên, hướng, kiểu, ràng buộc; lá có Port = pin từ Fact</t>
        </is>
      </c>
      <c r="D267" s="2" t="inlineStr">
        <is>
          <t>EIDE-HIER-45</t>
        </is>
      </c>
      <c r="E267" s="2">
        <f>COUNTIF('Anh xa'!$D$2:$D$725,A267)</f>
        <v/>
      </c>
      <c r="F267" s="2">
        <f>IF(E267&gt;0,"Đã phủ","THIẾU")</f>
        <v/>
      </c>
      <c r="G267" s="6" t="inlineStr">
        <is>
          <t>Chưa làm</t>
        </is>
      </c>
      <c r="H267" s="6" t="inlineStr"/>
    </row>
    <row r="268">
      <c r="A268" s="2" t="inlineStr">
        <is>
          <t>HIER-03</t>
        </is>
      </c>
      <c r="B268" s="2" t="inlineStr">
        <is>
          <t>Cây khối phân cấp (HIER-45)</t>
        </is>
      </c>
      <c r="C268" s="2" t="inlineStr">
        <is>
          <t>Net theo phạm vi khối; nối chỉ Port của con trực tiếp hoặc Port lên cha</t>
        </is>
      </c>
      <c r="D268" s="2" t="inlineStr">
        <is>
          <t>EIDE-HIER-45</t>
        </is>
      </c>
      <c r="E268" s="2">
        <f>COUNTIF('Anh xa'!$D$2:$D$725,A268)</f>
        <v/>
      </c>
      <c r="F268" s="2">
        <f>IF(E268&gt;0,"Đã phủ","THIẾU")</f>
        <v/>
      </c>
      <c r="G268" s="6" t="inlineStr">
        <is>
          <t>Chưa làm</t>
        </is>
      </c>
      <c r="H268" s="6" t="inlineStr"/>
    </row>
    <row r="269">
      <c r="A269" s="2" t="inlineStr">
        <is>
          <t>HIER-04</t>
        </is>
      </c>
      <c r="B269" s="2" t="inlineStr">
        <is>
          <t>Cây khối phân cấp (HIER-45)</t>
        </is>
      </c>
      <c r="C269" s="2" t="inlineStr">
        <is>
          <t>flatten(cây) bằng mã là nguồn cho mọi tool phẳng; tool cũ không đổi</t>
        </is>
      </c>
      <c r="D269" s="2" t="inlineStr">
        <is>
          <t>EIDE-HIER-45</t>
        </is>
      </c>
      <c r="E269" s="2">
        <f>COUNTIF('Anh xa'!$D$2:$D$725,A269)</f>
        <v/>
      </c>
      <c r="F269" s="2">
        <f>IF(E269&gt;0,"Đã phủ","THIẾU")</f>
        <v/>
      </c>
      <c r="G269" s="6" t="inlineStr">
        <is>
          <t>Chưa làm</t>
        </is>
      </c>
      <c r="H269" s="6" t="inlineStr"/>
    </row>
    <row r="270">
      <c r="A270" s="2" t="inlineStr">
        <is>
          <t>HIER-05</t>
        </is>
      </c>
      <c r="B270" s="2" t="inlineStr">
        <is>
          <t>Cây khối phân cấp (HIER-45)</t>
        </is>
      </c>
      <c r="C270" s="2" t="inlineStr">
        <is>
          <t>Bất biến E8001–E8006 kiểm sau mỗi thay đổi</t>
        </is>
      </c>
      <c r="D270" s="2" t="inlineStr">
        <is>
          <t>EIDE-HIER-45</t>
        </is>
      </c>
      <c r="E270" s="2">
        <f>COUNTIF('Anh xa'!$D$2:$D$725,A270)</f>
        <v/>
      </c>
      <c r="F270" s="2">
        <f>IF(E270&gt;0,"Đã phủ","THIẾU")</f>
        <v/>
      </c>
      <c r="G270" s="6" t="inlineStr">
        <is>
          <t>Chưa làm</t>
        </is>
      </c>
      <c r="H270" s="6" t="inlineStr"/>
    </row>
    <row r="271">
      <c r="A271" s="2" t="inlineStr">
        <is>
          <t>HIER-06</t>
        </is>
      </c>
      <c r="B271" s="2" t="inlineStr">
        <is>
          <t>Cây khối phân cấp (HIER-45)</t>
        </is>
      </c>
      <c r="C271" s="2" t="inlineStr">
        <is>
          <t>Fact/REQ gắn được ở mọi cấp; ràng buộc theo cây kiểm bằng mã</t>
        </is>
      </c>
      <c r="D271" s="2" t="inlineStr">
        <is>
          <t>EIDE-HIER-45</t>
        </is>
      </c>
      <c r="E271" s="2">
        <f>COUNTIF('Anh xa'!$D$2:$D$725,A271)</f>
        <v/>
      </c>
      <c r="F271" s="2">
        <f>IF(E271&gt;0,"Đã phủ","THIẾU")</f>
        <v/>
      </c>
      <c r="G271" s="6" t="inlineStr">
        <is>
          <t>Chưa làm</t>
        </is>
      </c>
      <c r="H271" s="6" t="inlineStr"/>
    </row>
    <row r="272">
      <c r="A272" s="2" t="inlineStr">
        <is>
          <t>HIER-07</t>
        </is>
      </c>
      <c r="B272" s="2" t="inlineStr">
        <is>
          <t>Cây khối phân cấp (HIER-45)</t>
        </is>
      </c>
      <c r="C272" s="2" t="inlineStr">
        <is>
          <t>STALE theo cây: nội bộ không lan; Port lan tới cha và anh em nối</t>
        </is>
      </c>
      <c r="D272" s="2" t="inlineStr">
        <is>
          <t>EIDE-HIER-45</t>
        </is>
      </c>
      <c r="E272" s="2">
        <f>COUNTIF('Anh xa'!$D$2:$D$725,A272)</f>
        <v/>
      </c>
      <c r="F272" s="2">
        <f>IF(E272&gt;0,"Đã phủ","THIẾU")</f>
        <v/>
      </c>
      <c r="G272" s="6" t="inlineStr">
        <is>
          <t>Chưa làm</t>
        </is>
      </c>
      <c r="H272" s="6" t="inlineStr"/>
    </row>
    <row r="273">
      <c r="A273" s="2" t="inlineStr">
        <is>
          <t>HIER-08</t>
        </is>
      </c>
      <c r="B273" s="2" t="inlineStr">
        <is>
          <t>Cây khối phân cấp (HIER-45)</t>
        </is>
      </c>
      <c r="C273" s="2" t="inlineStr">
        <is>
          <t>Thư viện khối block@semver: manifest, params, instantiate có nguồn, 3 tầng lưu</t>
        </is>
      </c>
      <c r="D273" s="2" t="inlineStr">
        <is>
          <t>EIDE-HIER-45</t>
        </is>
      </c>
      <c r="E273" s="2">
        <f>COUNTIF('Anh xa'!$D$2:$D$725,A273)</f>
        <v/>
      </c>
      <c r="F273" s="2">
        <f>IF(E273&gt;0,"Đã phủ","THIẾU")</f>
        <v/>
      </c>
      <c r="G273" s="6" t="inlineStr">
        <is>
          <t>Chưa làm</t>
        </is>
      </c>
      <c r="H273" s="6" t="inlineStr"/>
    </row>
    <row r="274">
      <c r="A274" s="2" t="inlineStr">
        <is>
          <t>HIER-09</t>
        </is>
      </c>
      <c r="B274" s="2" t="inlineStr">
        <is>
          <t>Cây khối phân cấp (HIER-45)</t>
        </is>
      </c>
      <c r="C274" s="2" t="inlineStr">
        <is>
          <t>Trích khối từ mạch thành thư viện có kiểm khép kín</t>
        </is>
      </c>
      <c r="D274" s="2" t="inlineStr">
        <is>
          <t>EIDE-HIER-45</t>
        </is>
      </c>
      <c r="E274" s="2">
        <f>COUNTIF('Anh xa'!$D$2:$D$725,A274)</f>
        <v/>
      </c>
      <c r="F274" s="2">
        <f>IF(E274&gt;0,"Đã phủ","THIẾU")</f>
        <v/>
      </c>
      <c r="G274" s="6" t="inlineStr">
        <is>
          <t>Chưa làm</t>
        </is>
      </c>
      <c r="H274" s="6" t="inlineStr"/>
    </row>
    <row r="275">
      <c r="A275" s="2" t="inlineStr">
        <is>
          <t>HIER-10</t>
        </is>
      </c>
      <c r="B275" s="2" t="inlineStr">
        <is>
          <t>Cây khối phân cấp (HIER-45)</t>
        </is>
      </c>
      <c r="C275" s="2" t="inlineStr">
        <is>
          <t>SKiDL 1-1 với cây; netlist SKiDL = flatten</t>
        </is>
      </c>
      <c r="D275" s="2" t="inlineStr">
        <is>
          <t>EIDE-HIER-45</t>
        </is>
      </c>
      <c r="E275" s="2">
        <f>COUNTIF('Anh xa'!$D$2:$D$725,A275)</f>
        <v/>
      </c>
      <c r="F275" s="2">
        <f>IF(E275&gt;0,"Đã phủ","THIẾU")</f>
        <v/>
      </c>
      <c r="G275" s="6" t="inlineStr">
        <is>
          <t>Chưa làm</t>
        </is>
      </c>
      <c r="H275" s="6" t="inlineStr"/>
    </row>
    <row r="276">
      <c r="A276" s="2" t="inlineStr">
        <is>
          <t>HIER-11</t>
        </is>
      </c>
      <c r="B276" s="2" t="inlineStr">
        <is>
          <t>Cây khối phân cấp (HIER-45)</t>
        </is>
      </c>
      <c r="C276" s="2" t="inlineStr">
        <is>
          <t>KiCad hierarchical: sheet = khối, sheet pin = Port; flat = vùng + global label</t>
        </is>
      </c>
      <c r="D276" s="2" t="inlineStr">
        <is>
          <t>EIDE-HIER-45</t>
        </is>
      </c>
      <c r="E276" s="2">
        <f>COUNTIF('Anh xa'!$D$2:$D$725,A276)</f>
        <v/>
      </c>
      <c r="F276" s="2">
        <f>IF(E276&gt;0,"Đã phủ","THIẾU")</f>
        <v/>
      </c>
      <c r="G276" s="6" t="inlineStr">
        <is>
          <t>Chưa làm</t>
        </is>
      </c>
      <c r="H276" s="6" t="inlineStr"/>
    </row>
    <row r="277">
      <c r="A277" s="2" t="inlineStr">
        <is>
          <t>HIER-12</t>
        </is>
      </c>
      <c r="B277" s="2" t="inlineStr">
        <is>
          <t>Cây khối phân cấp (HIER-45)</t>
        </is>
      </c>
      <c r="C277" s="2" t="inlineStr">
        <is>
          <t>Round-trip .kicad_sch phân cấp → cây</t>
        </is>
      </c>
      <c r="D277" s="2" t="inlineStr">
        <is>
          <t>EIDE-HIER-45</t>
        </is>
      </c>
      <c r="E277" s="2">
        <f>COUNTIF('Anh xa'!$D$2:$D$725,A277)</f>
        <v/>
      </c>
      <c r="F277" s="2">
        <f>IF(E277&gt;0,"Đã phủ","THIẾU")</f>
        <v/>
      </c>
      <c r="G277" s="6" t="inlineStr">
        <is>
          <t>Chưa làm</t>
        </is>
      </c>
      <c r="H277" s="6" t="inlineStr"/>
    </row>
    <row r="278">
      <c r="A278" s="2" t="inlineStr">
        <is>
          <t>HIER-13</t>
        </is>
      </c>
      <c r="B278" s="2" t="inlineStr">
        <is>
          <t>Cây khối phân cấp (HIER-45)</t>
        </is>
      </c>
      <c r="C278" s="2" t="inlineStr">
        <is>
          <t>UI cây gập/mở, breadcrumb, sơ đồ khối con, bảng Port, ERC theo khối, kéo thả = changeset</t>
        </is>
      </c>
      <c r="D278" s="2" t="inlineStr">
        <is>
          <t>EIDE-HIER-45</t>
        </is>
      </c>
      <c r="E278" s="2">
        <f>COUNTIF('Anh xa'!$D$2:$D$725,A278)</f>
        <v/>
      </c>
      <c r="F278" s="2">
        <f>IF(E278&gt;0,"Đã phủ","THIẾU")</f>
        <v/>
      </c>
      <c r="G278" s="6" t="inlineStr">
        <is>
          <t>Chưa làm</t>
        </is>
      </c>
      <c r="H278" s="6" t="inlineStr"/>
    </row>
    <row r="279">
      <c r="A279" s="2" t="inlineStr">
        <is>
          <t>HIER-14</t>
        </is>
      </c>
      <c r="B279" s="2" t="inlineStr">
        <is>
          <t>Cây khối phân cấp (HIER-45)</t>
        </is>
      </c>
      <c r="C279" s="2" t="inlineStr">
        <is>
          <t>Lớp giải thích cho khối (7 câu)</t>
        </is>
      </c>
      <c r="D279" s="2" t="inlineStr">
        <is>
          <t>EIDE-HIER-45</t>
        </is>
      </c>
      <c r="E279" s="2">
        <f>COUNTIF('Anh xa'!$D$2:$D$725,A279)</f>
        <v/>
      </c>
      <c r="F279" s="2">
        <f>IF(E279&gt;0,"Đã phủ","THIẾU")</f>
        <v/>
      </c>
      <c r="G279" s="6" t="inlineStr">
        <is>
          <t>Chưa làm</t>
        </is>
      </c>
      <c r="H279" s="6" t="inlineStr"/>
    </row>
    <row r="280">
      <c r="A280" s="2" t="inlineStr">
        <is>
          <t>HIER-15</t>
        </is>
      </c>
      <c r="B280" s="2" t="inlineStr">
        <is>
          <t>Cây khối phân cấp (HIER-45)</t>
        </is>
      </c>
      <c r="C280" s="2" t="inlineStr">
        <is>
          <t>Migration cộng thêm có down(); dự án cũ chạy như trước</t>
        </is>
      </c>
      <c r="D280" s="2" t="inlineStr">
        <is>
          <t>EIDE-HIER-45</t>
        </is>
      </c>
      <c r="E280" s="2">
        <f>COUNTIF('Anh xa'!$D$2:$D$725,A280)</f>
        <v/>
      </c>
      <c r="F280" s="2">
        <f>IF(E280&gt;0,"Đã phủ","THIẾU")</f>
        <v/>
      </c>
      <c r="G280" s="6" t="inlineStr">
        <is>
          <t>Chưa làm</t>
        </is>
      </c>
      <c r="H280" s="6" t="inlineStr"/>
    </row>
    <row r="281">
      <c r="A281" s="2" t="inlineStr">
        <is>
          <t>HIER-16</t>
        </is>
      </c>
      <c r="B281" s="2" t="inlineStr">
        <is>
          <t>Cây khối phân cấp (HIER-45)</t>
        </is>
      </c>
      <c r="C281" s="2" t="inlineStr">
        <is>
          <t>Snapshot/hộ chiếu ghi block@semver đã dùng</t>
        </is>
      </c>
      <c r="D281" s="2" t="inlineStr">
        <is>
          <t>EIDE-HIER-45</t>
        </is>
      </c>
      <c r="E281" s="2">
        <f>COUNTIF('Anh xa'!$D$2:$D$725,A281)</f>
        <v/>
      </c>
      <c r="F281" s="2">
        <f>IF(E281&gt;0,"Đã phủ","THIẾU")</f>
        <v/>
      </c>
      <c r="G281" s="6" t="inlineStr">
        <is>
          <t>Chưa làm</t>
        </is>
      </c>
      <c r="H281" s="6" t="inlineStr"/>
    </row>
    <row r="282">
      <c r="A282" s="2" t="inlineStr">
        <is>
          <t>HIER-17</t>
        </is>
      </c>
      <c r="B282" s="2" t="inlineStr">
        <is>
          <t>Cây khối phân cấp (HIER-45)</t>
        </is>
      </c>
      <c r="C282" s="2" t="inlineStr">
        <is>
          <t>ERC/BOM/truy vết báo theo path khối</t>
        </is>
      </c>
      <c r="D282" s="2" t="inlineStr">
        <is>
          <t>EIDE-HIER-45</t>
        </is>
      </c>
      <c r="E282" s="2">
        <f>COUNTIF('Anh xa'!$D$2:$D$725,A282)</f>
        <v/>
      </c>
      <c r="F282" s="2">
        <f>IF(E282&gt;0,"Đã phủ","THIẾU")</f>
        <v/>
      </c>
      <c r="G282" s="6" t="inlineStr">
        <is>
          <t>Chưa làm</t>
        </is>
      </c>
      <c r="H282" s="6" t="inlineStr"/>
    </row>
    <row r="283">
      <c r="A283" s="2" t="inlineStr">
        <is>
          <t>HIER-18</t>
        </is>
      </c>
      <c r="B283" s="2" t="inlineStr">
        <is>
          <t>Cây khối phân cấp (HIER-45)</t>
        </is>
      </c>
      <c r="C283" s="2" t="inlineStr">
        <is>
          <t>Hồi quy toàn bộ giống 100 % sau migration</t>
        </is>
      </c>
      <c r="D283" s="2" t="inlineStr">
        <is>
          <t>EIDE-HIER-45</t>
        </is>
      </c>
      <c r="E283" s="2">
        <f>COUNTIF('Anh xa'!$D$2:$D$725,A283)</f>
        <v/>
      </c>
      <c r="F283" s="2">
        <f>IF(E283&gt;0,"Đã phủ","THIẾU")</f>
        <v/>
      </c>
      <c r="G283" s="6" t="inlineStr">
        <is>
          <t>Chưa làm</t>
        </is>
      </c>
      <c r="H283" s="6" t="inlineStr"/>
    </row>
  </sheetData>
  <conditionalFormatting sqref="F2:F283">
    <cfRule type="cellIs" priority="1" operator="equal" dxfId="0">
      <formula>"THIẾU"</formula>
    </cfRule>
    <cfRule type="cellIs" priority="2" operator="equal" dxfId="1">
      <formula>"Đã phủ"</formula>
    </cfRule>
  </conditionalFormatting>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showDropDown="0" showInputMessage="0" showErrorMessage="0" allowBlank="1" type="list">
      <formula1>"Chưa làm,Đang làm,Đã làm,Không áp dụng"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28"/>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26" customWidth="1" min="3" max="3"/>
    <col width="34" customWidth="1" min="4" max="4"/>
    <col width="60" customWidth="1" min="5" max="5"/>
    <col width="10" customWidth="1" min="6" max="6"/>
    <col width="22" customWidth="1" min="7" max="7"/>
    <col width="12" customWidth="1" min="8" max="8"/>
    <col width="14" customWidth="1" min="9" max="9"/>
    <col width="18" customWidth="1" min="10" max="10"/>
    <col width="30" customWidth="1" min="11" max="11"/>
  </cols>
  <sheetData>
    <row r="1" ht="30" customHeight="1">
      <c r="A1" s="1" t="inlineStr">
        <is>
          <t>Mã UI</t>
        </is>
      </c>
      <c r="B1" s="1" t="inlineStr">
        <is>
          <t>Cấp</t>
        </is>
      </c>
      <c r="C1" s="1" t="inlineStr">
        <is>
          <t>Vùng (cấp 1)</t>
        </is>
      </c>
      <c r="D1" s="1" t="inlineStr">
        <is>
          <t>Khối (cấp 2)</t>
        </is>
      </c>
      <c r="E1" s="1" t="inlineStr">
        <is>
          <t>Widget / hành động (cấp 3)</t>
        </is>
      </c>
      <c r="F1" s="1" t="inlineStr">
        <is>
          <t>Loại</t>
        </is>
      </c>
      <c r="G1" s="1" t="inlineStr">
        <is>
          <t>Hiện vật</t>
        </is>
      </c>
      <c r="H1" s="1" t="inlineStr">
        <is>
          <t>Số yêu cầu (công thức)</t>
        </is>
      </c>
      <c r="I1" s="1" t="inlineStr">
        <is>
          <t>Trạng thái ánh xạ</t>
        </is>
      </c>
      <c r="J1" s="1" t="inlineStr">
        <is>
          <t>Trạng thái hiện thực</t>
        </is>
      </c>
      <c r="K1" s="1" t="inlineStr">
        <is>
          <t>Ghi chú rà soát</t>
        </is>
      </c>
    </row>
    <row r="2">
      <c r="A2" s="7" t="inlineStr">
        <is>
          <t>A0</t>
        </is>
      </c>
      <c r="B2" s="7" t="n">
        <v>1</v>
      </c>
      <c r="C2" s="7" t="inlineStr">
        <is>
          <t>Thanh trạng thái</t>
        </is>
      </c>
      <c r="D2" s="2" t="inlineStr"/>
      <c r="E2" s="2" t="inlineStr"/>
      <c r="F2" s="2" t="inlineStr">
        <is>
          <t>bar</t>
        </is>
      </c>
      <c r="G2" s="2" t="inlineStr"/>
      <c r="H2" s="2">
        <f>COUNTIF('Anh xa'!$A$2:$A$725,"A0.*")</f>
        <v/>
      </c>
      <c r="I2" s="2">
        <f>IF(H2&gt;0,"Đã ánh xạ","THIẾU")</f>
        <v/>
      </c>
      <c r="J2" s="6" t="inlineStr">
        <is>
          <t>Chưa làm</t>
        </is>
      </c>
      <c r="K2" s="6" t="inlineStr"/>
    </row>
    <row r="3">
      <c r="A3" s="2" t="inlineStr">
        <is>
          <t>A0.1</t>
        </is>
      </c>
      <c r="B3" s="2" t="n">
        <v>2</v>
      </c>
      <c r="C3" s="2" t="inlineStr">
        <is>
          <t>Thanh trạng thái</t>
        </is>
      </c>
      <c r="D3" s="2" t="inlineStr">
        <is>
          <t>Trạng thái dự án</t>
        </is>
      </c>
      <c r="E3" s="2" t="inlineStr"/>
      <c r="F3" s="2" t="inlineStr">
        <is>
          <t>khối</t>
        </is>
      </c>
      <c r="G3" s="2" t="inlineStr"/>
      <c r="H3" s="2">
        <f>COUNTIF('Anh xa'!$A$2:$A$725,"A0.1")+COUNTIF('Anh xa'!$A$2:$A$725,"A0.1.*")</f>
        <v/>
      </c>
      <c r="I3" s="2">
        <f>IF(H3&gt;0,"Đã ánh xạ","THIẾU")</f>
        <v/>
      </c>
      <c r="J3" s="6" t="inlineStr">
        <is>
          <t>Chưa làm</t>
        </is>
      </c>
      <c r="K3" s="6" t="inlineStr"/>
    </row>
    <row r="4">
      <c r="A4" s="2" t="inlineStr">
        <is>
          <t>A0.1.1</t>
        </is>
      </c>
      <c r="B4" s="2" t="n">
        <v>3</v>
      </c>
      <c r="C4" s="2" t="inlineStr">
        <is>
          <t>Thanh trạng thái</t>
        </is>
      </c>
      <c r="D4" s="2" t="inlineStr">
        <is>
          <t>Trạng thái dự án</t>
        </is>
      </c>
      <c r="E4" s="2" t="inlineStr">
        <is>
          <t>Tên dự án + nhánh hiện tại</t>
        </is>
      </c>
      <c r="F4" s="2" t="inlineStr">
        <is>
          <t>display</t>
        </is>
      </c>
      <c r="G4" s="2" t="inlineStr"/>
      <c r="H4" s="2">
        <f>COUNTIF('Anh xa'!$A$2:$A$725,A4)</f>
        <v/>
      </c>
      <c r="I4" s="2">
        <f>IF(H4&gt;0,"Đã ánh xạ","THIẾU")</f>
        <v/>
      </c>
      <c r="J4" s="6" t="inlineStr">
        <is>
          <t>Chưa làm</t>
        </is>
      </c>
      <c r="K4" s="6" t="inlineStr"/>
    </row>
    <row r="5">
      <c r="A5" s="2" t="inlineStr">
        <is>
          <t>A0.1.2</t>
        </is>
      </c>
      <c r="B5" s="2" t="n">
        <v>3</v>
      </c>
      <c r="C5" s="2" t="inlineStr">
        <is>
          <t>Thanh trạng thái</t>
        </is>
      </c>
      <c r="D5" s="2" t="inlineStr">
        <is>
          <t>Trạng thái dự án</t>
        </is>
      </c>
      <c r="E5" s="2" t="inlineStr">
        <is>
          <t>Chip đã ghim (ns.part@semver) + ISA</t>
        </is>
      </c>
      <c r="F5" s="2" t="inlineStr">
        <is>
          <t>display</t>
        </is>
      </c>
      <c r="G5" s="2" t="inlineStr"/>
      <c r="H5" s="2">
        <f>COUNTIF('Anh xa'!$A$2:$A$725,A5)</f>
        <v/>
      </c>
      <c r="I5" s="2">
        <f>IF(H5&gt;0,"Đã ánh xạ","THIẾU")</f>
        <v/>
      </c>
      <c r="J5" s="6" t="inlineStr">
        <is>
          <t>Chưa làm</t>
        </is>
      </c>
      <c r="K5" s="6" t="inlineStr"/>
    </row>
    <row r="6">
      <c r="A6" s="2" t="inlineStr">
        <is>
          <t>A0.1.3</t>
        </is>
      </c>
      <c r="B6" s="2" t="n">
        <v>3</v>
      </c>
      <c r="C6" s="2" t="inlineStr">
        <is>
          <t>Thanh trạng thái</t>
        </is>
      </c>
      <c r="D6" s="2" t="inlineStr">
        <is>
          <t>Trạng thái dự án</t>
        </is>
      </c>
      <c r="E6" s="2" t="inlineStr">
        <is>
          <t>Fact theo tầng (VÀNG/BẠC/NGƯỜI/ĐỒNG)</t>
        </is>
      </c>
      <c r="F6" s="2" t="inlineStr">
        <is>
          <t>display</t>
        </is>
      </c>
      <c r="G6" s="2" t="inlineStr"/>
      <c r="H6" s="2">
        <f>COUNTIF('Anh xa'!$A$2:$A$725,A6)</f>
        <v/>
      </c>
      <c r="I6" s="2">
        <f>IF(H6&gt;0,"Đã ánh xạ","THIẾU")</f>
        <v/>
      </c>
      <c r="J6" s="6" t="inlineStr">
        <is>
          <t>Chưa làm</t>
        </is>
      </c>
      <c r="K6" s="6" t="inlineStr"/>
    </row>
    <row r="7">
      <c r="A7" s="2" t="inlineStr">
        <is>
          <t>A0.1.4</t>
        </is>
      </c>
      <c r="B7" s="2" t="n">
        <v>3</v>
      </c>
      <c r="C7" s="2" t="inlineStr">
        <is>
          <t>Thanh trạng thái</t>
        </is>
      </c>
      <c r="D7" s="2" t="inlineStr">
        <is>
          <t>Trạng thái dự án</t>
        </is>
      </c>
      <c r="E7" s="2" t="inlineStr">
        <is>
          <t>Chặng hiện tại C1–C7</t>
        </is>
      </c>
      <c r="F7" s="2" t="inlineStr">
        <is>
          <t>display</t>
        </is>
      </c>
      <c r="G7" s="2" t="inlineStr"/>
      <c r="H7" s="2">
        <f>COUNTIF('Anh xa'!$A$2:$A$725,A7)</f>
        <v/>
      </c>
      <c r="I7" s="2">
        <f>IF(H7&gt;0,"Đã ánh xạ","THIẾU")</f>
        <v/>
      </c>
      <c r="J7" s="6" t="inlineStr">
        <is>
          <t>Chưa làm</t>
        </is>
      </c>
      <c r="K7" s="6" t="inlineStr"/>
    </row>
    <row r="8">
      <c r="A8" s="2" t="inlineStr">
        <is>
          <t>A0.1.5</t>
        </is>
      </c>
      <c r="B8" s="2" t="n">
        <v>3</v>
      </c>
      <c r="C8" s="2" t="inlineStr">
        <is>
          <t>Thanh trạng thái</t>
        </is>
      </c>
      <c r="D8" s="2" t="inlineStr">
        <is>
          <t>Trạng thái dự án</t>
        </is>
      </c>
      <c r="E8" s="2" t="inlineStr">
        <is>
          <t>Snapshot gần nhất + khoảng cách (changeset)</t>
        </is>
      </c>
      <c r="F8" s="2" t="inlineStr">
        <is>
          <t>display</t>
        </is>
      </c>
      <c r="G8" s="2" t="inlineStr"/>
      <c r="H8" s="2">
        <f>COUNTIF('Anh xa'!$A$2:$A$725,A8)</f>
        <v/>
      </c>
      <c r="I8" s="2">
        <f>IF(H8&gt;0,"Đã ánh xạ","THIẾU")</f>
        <v/>
      </c>
      <c r="J8" s="6" t="inlineStr">
        <is>
          <t>Chưa làm</t>
        </is>
      </c>
      <c r="K8" s="6" t="inlineStr"/>
    </row>
    <row r="9">
      <c r="A9" s="2" t="inlineStr">
        <is>
          <t>A0.1.6</t>
        </is>
      </c>
      <c r="B9" s="2" t="n">
        <v>3</v>
      </c>
      <c r="C9" s="2" t="inlineStr">
        <is>
          <t>Thanh trạng thái</t>
        </is>
      </c>
      <c r="D9" s="2" t="inlineStr">
        <is>
          <t>Trạng thái dự án</t>
        </is>
      </c>
      <c r="E9" s="2" t="inlineStr">
        <is>
          <t>Số hiện vật STALE (bấm → Lịch sử)</t>
        </is>
      </c>
      <c r="F9" s="2" t="inlineStr">
        <is>
          <t>nav</t>
        </is>
      </c>
      <c r="G9" s="2" t="inlineStr"/>
      <c r="H9" s="2">
        <f>COUNTIF('Anh xa'!$A$2:$A$725,A9)</f>
        <v/>
      </c>
      <c r="I9" s="2">
        <f>IF(H9&gt;0,"Đã ánh xạ","THIẾU")</f>
        <v/>
      </c>
      <c r="J9" s="6" t="inlineStr">
        <is>
          <t>Chưa làm</t>
        </is>
      </c>
      <c r="K9" s="6" t="inlineStr"/>
    </row>
    <row r="10">
      <c r="A10" s="2" t="inlineStr">
        <is>
          <t>A0.1.7</t>
        </is>
      </c>
      <c r="B10" s="2" t="n">
        <v>3</v>
      </c>
      <c r="C10" s="2" t="inlineStr">
        <is>
          <t>Thanh trạng thái</t>
        </is>
      </c>
      <c r="D10" s="2" t="inlineStr">
        <is>
          <t>Trạng thái dự án</t>
        </is>
      </c>
      <c r="E10" s="2" t="inlineStr">
        <is>
          <t>Mức tự chủ hiện tại (A0–A4) + mô hình</t>
        </is>
      </c>
      <c r="F10" s="2" t="inlineStr">
        <is>
          <t>display</t>
        </is>
      </c>
      <c r="G10" s="2" t="inlineStr"/>
      <c r="H10" s="2">
        <f>COUNTIF('Anh xa'!$A$2:$A$725,A10)</f>
        <v/>
      </c>
      <c r="I10" s="2">
        <f>IF(H10&gt;0,"Đã ánh xạ","THIẾU")</f>
        <v/>
      </c>
      <c r="J10" s="6" t="inlineStr">
        <is>
          <t>Chưa làm</t>
        </is>
      </c>
      <c r="K10" s="6" t="inlineStr"/>
    </row>
    <row r="11">
      <c r="A11" s="2" t="inlineStr">
        <is>
          <t>A0.1.8</t>
        </is>
      </c>
      <c r="B11" s="2" t="n">
        <v>3</v>
      </c>
      <c r="C11" s="2" t="inlineStr">
        <is>
          <t>Thanh trạng thái</t>
        </is>
      </c>
      <c r="D11" s="2" t="inlineStr">
        <is>
          <t>Trạng thái dự án</t>
        </is>
      </c>
      <c r="E11" s="2" t="inlineStr">
        <is>
          <t>Ngân sách lượt: tool/40 · giây/300 · ngữ cảnh %</t>
        </is>
      </c>
      <c r="F11" s="2" t="inlineStr">
        <is>
          <t>display</t>
        </is>
      </c>
      <c r="G11" s="2" t="inlineStr"/>
      <c r="H11" s="2">
        <f>COUNTIF('Anh xa'!$A$2:$A$725,A11)</f>
        <v/>
      </c>
      <c r="I11" s="2">
        <f>IF(H11&gt;0,"Đã ánh xạ","THIẾU")</f>
        <v/>
      </c>
      <c r="J11" s="6" t="inlineStr">
        <is>
          <t>Chưa làm</t>
        </is>
      </c>
      <c r="K11" s="6" t="inlineStr"/>
    </row>
    <row r="12">
      <c r="A12" s="2" t="inlineStr">
        <is>
          <t>A0.1.9</t>
        </is>
      </c>
      <c r="B12" s="2" t="n">
        <v>3</v>
      </c>
      <c r="C12" s="2" t="inlineStr">
        <is>
          <t>Thanh trạng thái</t>
        </is>
      </c>
      <c r="D12" s="2" t="inlineStr">
        <is>
          <t>Trạng thái dự án</t>
        </is>
      </c>
      <c r="E12" s="2" t="inlineStr">
        <is>
          <t>Trạng thái kết nối lõi/mạng</t>
        </is>
      </c>
      <c r="F12" s="2" t="inlineStr">
        <is>
          <t>display</t>
        </is>
      </c>
      <c r="G12" s="2" t="inlineStr"/>
      <c r="H12" s="2">
        <f>COUNTIF('Anh xa'!$A$2:$A$725,A12)</f>
        <v/>
      </c>
      <c r="I12" s="2">
        <f>IF(H12&gt;0,"Đã ánh xạ","THIẾU")</f>
        <v/>
      </c>
      <c r="J12" s="6" t="inlineStr">
        <is>
          <t>Chưa làm</t>
        </is>
      </c>
      <c r="K12" s="6" t="inlineStr"/>
    </row>
    <row r="13">
      <c r="A13" s="7" t="inlineStr">
        <is>
          <t>A1</t>
        </is>
      </c>
      <c r="B13" s="7" t="n">
        <v>1</v>
      </c>
      <c r="C13" s="7" t="inlineStr">
        <is>
          <t>Bàn giao tiếp (Console)</t>
        </is>
      </c>
      <c r="D13" s="2" t="inlineStr"/>
      <c r="E13" s="2" t="inlineStr"/>
      <c r="F13" s="2" t="inlineStr">
        <is>
          <t>panel</t>
        </is>
      </c>
      <c r="G13" s="2" t="inlineStr"/>
      <c r="H13" s="2">
        <f>COUNTIF('Anh xa'!$A$2:$A$725,"A1.*")</f>
        <v/>
      </c>
      <c r="I13" s="2">
        <f>IF(H13&gt;0,"Đã ánh xạ","THIẾU")</f>
        <v/>
      </c>
      <c r="J13" s="6" t="inlineStr">
        <is>
          <t>Chưa làm</t>
        </is>
      </c>
      <c r="K13" s="6" t="inlineStr"/>
    </row>
    <row r="14">
      <c r="A14" s="2" t="inlineStr">
        <is>
          <t>A1.1</t>
        </is>
      </c>
      <c r="B14" s="2" t="n">
        <v>2</v>
      </c>
      <c r="C14" s="2" t="inlineStr">
        <is>
          <t>Bàn giao tiếp (Console)</t>
        </is>
      </c>
      <c r="D14" s="2" t="inlineStr">
        <is>
          <t>Dòng hội thoại (transcript)</t>
        </is>
      </c>
      <c r="E14" s="2" t="inlineStr"/>
      <c r="F14" s="2" t="inlineStr">
        <is>
          <t>khối</t>
        </is>
      </c>
      <c r="G14" s="2" t="inlineStr"/>
      <c r="H14" s="2">
        <f>COUNTIF('Anh xa'!$A$2:$A$725,"A1.1")+COUNTIF('Anh xa'!$A$2:$A$725,"A1.1.*")</f>
        <v/>
      </c>
      <c r="I14" s="2">
        <f>IF(H14&gt;0,"Đã ánh xạ","THIẾU")</f>
        <v/>
      </c>
      <c r="J14" s="6" t="inlineStr">
        <is>
          <t>Chưa làm</t>
        </is>
      </c>
      <c r="K14" s="6" t="inlineStr"/>
    </row>
    <row r="15">
      <c r="A15" s="2" t="inlineStr">
        <is>
          <t>A1.1.1</t>
        </is>
      </c>
      <c r="B15" s="2" t="n">
        <v>3</v>
      </c>
      <c r="C15" s="2" t="inlineStr">
        <is>
          <t>Bàn giao tiếp (Console)</t>
        </is>
      </c>
      <c r="D15" s="2" t="inlineStr">
        <is>
          <t>Dòng hội thoại (transcript)</t>
        </is>
      </c>
      <c r="E15" s="2" t="inlineStr">
        <is>
          <t>Dòng [Tác tử] (stream, markdown, liên kết mở tab)</t>
        </is>
      </c>
      <c r="F15" s="2" t="inlineStr">
        <is>
          <t>display</t>
        </is>
      </c>
      <c r="G15" s="2" t="inlineStr"/>
      <c r="H15" s="2">
        <f>COUNTIF('Anh xa'!$A$2:$A$725,A15)</f>
        <v/>
      </c>
      <c r="I15" s="2">
        <f>IF(H15&gt;0,"Đã ánh xạ","THIẾU")</f>
        <v/>
      </c>
      <c r="J15" s="6" t="inlineStr">
        <is>
          <t>Chưa làm</t>
        </is>
      </c>
      <c r="K15" s="6" t="inlineStr"/>
    </row>
    <row r="16">
      <c r="A16" s="2" t="inlineStr">
        <is>
          <t>A1.1.2</t>
        </is>
      </c>
      <c r="B16" s="2" t="n">
        <v>3</v>
      </c>
      <c r="C16" s="2" t="inlineStr">
        <is>
          <t>Bàn giao tiếp (Console)</t>
        </is>
      </c>
      <c r="D16" s="2" t="inlineStr">
        <is>
          <t>Dòng hội thoại (transcript)</t>
        </is>
      </c>
      <c r="E16" s="2" t="inlineStr">
        <is>
          <t>Dòng [Bạn] cho MỌI HumanAct (kể cả thao tác trên tab)</t>
        </is>
      </c>
      <c r="F16" s="2" t="inlineStr">
        <is>
          <t>display</t>
        </is>
      </c>
      <c r="G16" s="2" t="inlineStr"/>
      <c r="H16" s="2">
        <f>COUNTIF('Anh xa'!$A$2:$A$725,A16)</f>
        <v/>
      </c>
      <c r="I16" s="2">
        <f>IF(H16&gt;0,"Đã ánh xạ","THIẾU")</f>
        <v/>
      </c>
      <c r="J16" s="6" t="inlineStr">
        <is>
          <t>Chưa làm</t>
        </is>
      </c>
      <c r="K16" s="6" t="inlineStr"/>
    </row>
    <row r="17">
      <c r="A17" s="2" t="inlineStr">
        <is>
          <t>A1.1.3</t>
        </is>
      </c>
      <c r="B17" s="2" t="n">
        <v>3</v>
      </c>
      <c r="C17" s="2" t="inlineStr">
        <is>
          <t>Bàn giao tiếp (Console)</t>
        </is>
      </c>
      <c r="D17" s="2" t="inlineStr">
        <is>
          <t>Dòng hội thoại (transcript)</t>
        </is>
      </c>
      <c r="E17" s="2" t="inlineStr">
        <is>
          <t>Dòng [Hệ thống] sự cố/thông báo</t>
        </is>
      </c>
      <c r="F17" s="2" t="inlineStr">
        <is>
          <t>display</t>
        </is>
      </c>
      <c r="G17" s="2" t="inlineStr"/>
      <c r="H17" s="2">
        <f>COUNTIF('Anh xa'!$A$2:$A$725,A17)</f>
        <v/>
      </c>
      <c r="I17" s="2">
        <f>IF(H17&gt;0,"Đã ánh xạ","THIẾU")</f>
        <v/>
      </c>
      <c r="J17" s="6" t="inlineStr">
        <is>
          <t>Chưa làm</t>
        </is>
      </c>
      <c r="K17" s="6" t="inlineStr"/>
    </row>
    <row r="18">
      <c r="A18" s="2" t="inlineStr">
        <is>
          <t>A1.1.4</t>
        </is>
      </c>
      <c r="B18" s="2" t="n">
        <v>3</v>
      </c>
      <c r="C18" s="2" t="inlineStr">
        <is>
          <t>Bàn giao tiếp (Console)</t>
        </is>
      </c>
      <c r="D18" s="2" t="inlineStr">
        <is>
          <t>Dòng hội thoại (transcript)</t>
        </is>
      </c>
      <c r="E18" s="2" t="inlineStr">
        <is>
          <t>Báo cáo lượt (đã làm / bỏ / giả định / hoàn tác tới đâu / chi phí)</t>
        </is>
      </c>
      <c r="F18" s="2" t="inlineStr">
        <is>
          <t>display</t>
        </is>
      </c>
      <c r="G18" s="2" t="inlineStr"/>
      <c r="H18" s="2">
        <f>COUNTIF('Anh xa'!$A$2:$A$725,A18)</f>
        <v/>
      </c>
      <c r="I18" s="2">
        <f>IF(H18&gt;0,"Đã ánh xạ","THIẾU")</f>
        <v/>
      </c>
      <c r="J18" s="6" t="inlineStr">
        <is>
          <t>Chưa làm</t>
        </is>
      </c>
      <c r="K18" s="6" t="inlineStr"/>
    </row>
    <row r="19">
      <c r="A19" s="2" t="inlineStr">
        <is>
          <t>A1.1.5</t>
        </is>
      </c>
      <c r="B19" s="2" t="n">
        <v>3</v>
      </c>
      <c r="C19" s="2" t="inlineStr">
        <is>
          <t>Bàn giao tiếp (Console)</t>
        </is>
      </c>
      <c r="D19" s="2" t="inlineStr">
        <is>
          <t>Dòng hội thoại (transcript)</t>
        </is>
      </c>
      <c r="E19" s="2" t="inlineStr">
        <is>
          <t>Phát lại (replay) transcript từ sổ cái</t>
        </is>
      </c>
      <c r="F19" s="2" t="inlineStr">
        <is>
          <t>action</t>
        </is>
      </c>
      <c r="G19" s="2" t="inlineStr"/>
      <c r="H19" s="2">
        <f>COUNTIF('Anh xa'!$A$2:$A$725,A19)</f>
        <v/>
      </c>
      <c r="I19" s="2">
        <f>IF(H19&gt;0,"Đã ánh xạ","THIẾU")</f>
        <v/>
      </c>
      <c r="J19" s="6" t="inlineStr">
        <is>
          <t>Chưa làm</t>
        </is>
      </c>
      <c r="K19" s="6" t="inlineStr"/>
    </row>
    <row r="20">
      <c r="A20" s="2" t="inlineStr">
        <is>
          <t>A1.2</t>
        </is>
      </c>
      <c r="B20" s="2" t="n">
        <v>2</v>
      </c>
      <c r="C20" s="2" t="inlineStr">
        <is>
          <t>Bàn giao tiếp (Console)</t>
        </is>
      </c>
      <c r="D20" s="2" t="inlineStr">
        <is>
          <t>Ô nhập</t>
        </is>
      </c>
      <c r="E20" s="2" t="inlineStr"/>
      <c r="F20" s="2" t="inlineStr">
        <is>
          <t>khối</t>
        </is>
      </c>
      <c r="G20" s="2" t="inlineStr"/>
      <c r="H20" s="2">
        <f>COUNTIF('Anh xa'!$A$2:$A$725,"A1.2")+COUNTIF('Anh xa'!$A$2:$A$725,"A1.2.*")</f>
        <v/>
      </c>
      <c r="I20" s="2">
        <f>IF(H20&gt;0,"Đã ánh xạ","THIẾU")</f>
        <v/>
      </c>
      <c r="J20" s="6" t="inlineStr">
        <is>
          <t>Chưa làm</t>
        </is>
      </c>
      <c r="K20" s="6" t="inlineStr"/>
    </row>
    <row r="21">
      <c r="A21" s="2" t="inlineStr">
        <is>
          <t>A1.2.1</t>
        </is>
      </c>
      <c r="B21" s="2" t="n">
        <v>3</v>
      </c>
      <c r="C21" s="2" t="inlineStr">
        <is>
          <t>Bàn giao tiếp (Console)</t>
        </is>
      </c>
      <c r="D21" s="2" t="inlineStr">
        <is>
          <t>Ô nhập</t>
        </is>
      </c>
      <c r="E21" s="2" t="inlineStr">
        <is>
          <t>Gõ tự do (say) + Enter gửi</t>
        </is>
      </c>
      <c r="F21" s="2" t="inlineStr">
        <is>
          <t>edit</t>
        </is>
      </c>
      <c r="G21" s="2" t="inlineStr"/>
      <c r="H21" s="2">
        <f>COUNTIF('Anh xa'!$A$2:$A$725,A21)</f>
        <v/>
      </c>
      <c r="I21" s="2">
        <f>IF(H21&gt;0,"Đã ánh xạ","THIẾU")</f>
        <v/>
      </c>
      <c r="J21" s="6" t="inlineStr">
        <is>
          <t>Chưa làm</t>
        </is>
      </c>
      <c r="K21" s="6" t="inlineStr"/>
    </row>
    <row r="22">
      <c r="A22" s="2" t="inlineStr">
        <is>
          <t>A1.2.2</t>
        </is>
      </c>
      <c r="B22" s="2" t="n">
        <v>3</v>
      </c>
      <c r="C22" s="2" t="inlineStr">
        <is>
          <t>Bàn giao tiếp (Console)</t>
        </is>
      </c>
      <c r="D22" s="2" t="inlineStr">
        <is>
          <t>Ô nhập</t>
        </is>
      </c>
      <c r="E22" s="2" t="inlineStr">
        <is>
          <t>Đính kèm tệp (upload)</t>
        </is>
      </c>
      <c r="F22" s="2" t="inlineStr">
        <is>
          <t>edit</t>
        </is>
      </c>
      <c r="G22" s="2" t="inlineStr"/>
      <c r="H22" s="2">
        <f>COUNTIF('Anh xa'!$A$2:$A$725,A22)</f>
        <v/>
      </c>
      <c r="I22" s="2">
        <f>IF(H22&gt;0,"Đã ánh xạ","THIẾU")</f>
        <v/>
      </c>
      <c r="J22" s="6" t="inlineStr">
        <is>
          <t>Chưa làm</t>
        </is>
      </c>
      <c r="K22" s="6" t="inlineStr"/>
    </row>
    <row r="23">
      <c r="A23" s="2" t="inlineStr">
        <is>
          <t>A1.2.3</t>
        </is>
      </c>
      <c r="B23" s="2" t="n">
        <v>3</v>
      </c>
      <c r="C23" s="2" t="inlineStr">
        <is>
          <t>Bàn giao tiếp (Console)</t>
        </is>
      </c>
      <c r="D23" s="2" t="inlineStr">
        <is>
          <t>Ô nhập</t>
        </is>
      </c>
      <c r="E23" s="2" t="inlineStr">
        <is>
          <t>Lệnh nhanh: /dung /tiep-tuc /hoan-tac /snapshot /nhanh</t>
        </is>
      </c>
      <c r="F23" s="2" t="inlineStr">
        <is>
          <t>action</t>
        </is>
      </c>
      <c r="G23" s="2" t="inlineStr"/>
      <c r="H23" s="2">
        <f>COUNTIF('Anh xa'!$A$2:$A$725,A23)</f>
        <v/>
      </c>
      <c r="I23" s="2">
        <f>IF(H23&gt;0,"Đã ánh xạ","THIẾU")</f>
        <v/>
      </c>
      <c r="J23" s="6" t="inlineStr">
        <is>
          <t>Chưa làm</t>
        </is>
      </c>
      <c r="K23" s="6" t="inlineStr"/>
    </row>
    <row r="24">
      <c r="A24" s="2" t="inlineStr">
        <is>
          <t>A1.2.4</t>
        </is>
      </c>
      <c r="B24" s="2" t="n">
        <v>3</v>
      </c>
      <c r="C24" s="2" t="inlineStr">
        <is>
          <t>Bàn giao tiếp (Console)</t>
        </is>
      </c>
      <c r="D24" s="2" t="inlineStr">
        <is>
          <t>Ô nhập</t>
        </is>
      </c>
      <c r="E24" s="2" t="inlineStr">
        <is>
          <t>Gợi ý điền sẵn từ ngữ cảnh (chip, tệp, run vừa nhắc)</t>
        </is>
      </c>
      <c r="F24" s="2" t="inlineStr">
        <is>
          <t>display</t>
        </is>
      </c>
      <c r="G24" s="2" t="inlineStr"/>
      <c r="H24" s="2">
        <f>COUNTIF('Anh xa'!$A$2:$A$725,A24)</f>
        <v/>
      </c>
      <c r="I24" s="2">
        <f>IF(H24&gt;0,"Đã ánh xạ","THIẾU")</f>
        <v/>
      </c>
      <c r="J24" s="6" t="inlineStr">
        <is>
          <t>Chưa làm</t>
        </is>
      </c>
      <c r="K24" s="6" t="inlineStr"/>
    </row>
    <row r="25">
      <c r="A25" s="2" t="inlineStr">
        <is>
          <t>A1.3</t>
        </is>
      </c>
      <c r="B25" s="2" t="n">
        <v>2</v>
      </c>
      <c r="C25" s="2" t="inlineStr">
        <is>
          <t>Bàn giao tiếp (Console)</t>
        </is>
      </c>
      <c r="D25" s="2" t="inlineStr">
        <is>
          <t>Thẻ đang chờ (Card)</t>
        </is>
      </c>
      <c r="E25" s="2" t="inlineStr"/>
      <c r="F25" s="2" t="inlineStr">
        <is>
          <t>khối</t>
        </is>
      </c>
      <c r="G25" s="2" t="inlineStr"/>
      <c r="H25" s="2">
        <f>COUNTIF('Anh xa'!$A$2:$A$725,"A1.3")+COUNTIF('Anh xa'!$A$2:$A$725,"A1.3.*")</f>
        <v/>
      </c>
      <c r="I25" s="2">
        <f>IF(H25&gt;0,"Đã ánh xạ","THIẾU")</f>
        <v/>
      </c>
      <c r="J25" s="6" t="inlineStr">
        <is>
          <t>Chưa làm</t>
        </is>
      </c>
      <c r="K25" s="6" t="inlineStr"/>
    </row>
    <row r="26">
      <c r="A26" s="2" t="inlineStr">
        <is>
          <t>A1.3.1</t>
        </is>
      </c>
      <c r="B26" s="2" t="n">
        <v>3</v>
      </c>
      <c r="C26" s="2" t="inlineStr">
        <is>
          <t>Bàn giao tiếp (Console)</t>
        </is>
      </c>
      <c r="D26" s="2" t="inlineStr">
        <is>
          <t>Thẻ đang chờ (Card)</t>
        </is>
      </c>
      <c r="E26" s="2" t="inlineStr">
        <is>
          <t>Thẻ làm rõ (clarify) nhiều mục, mục bắt buộc/tuỳ chọn có default</t>
        </is>
      </c>
      <c r="F26" s="2" t="inlineStr">
        <is>
          <t>edit</t>
        </is>
      </c>
      <c r="G26" s="2" t="inlineStr"/>
      <c r="H26" s="2">
        <f>COUNTIF('Anh xa'!$A$2:$A$725,A26)</f>
        <v/>
      </c>
      <c r="I26" s="2">
        <f>IF(H26&gt;0,"Đã ánh xạ","THIẾU")</f>
        <v/>
      </c>
      <c r="J26" s="6" t="inlineStr">
        <is>
          <t>Chưa làm</t>
        </is>
      </c>
      <c r="K26" s="6" t="inlineStr"/>
    </row>
    <row r="27">
      <c r="A27" s="2" t="inlineStr">
        <is>
          <t>A1.3.2</t>
        </is>
      </c>
      <c r="B27" s="2" t="n">
        <v>3</v>
      </c>
      <c r="C27" s="2" t="inlineStr">
        <is>
          <t>Bàn giao tiếp (Console)</t>
        </is>
      </c>
      <c r="D27" s="2" t="inlineStr">
        <is>
          <t>Thẻ đang chờ (Card)</t>
        </is>
      </c>
      <c r="E27" s="2" t="inlineStr">
        <is>
          <t>Thẻ đề nghị (proposal) 3 lựa chọn — ví dụ datasheet chip</t>
        </is>
      </c>
      <c r="F27" s="2" t="inlineStr">
        <is>
          <t>edit</t>
        </is>
      </c>
      <c r="G27" s="2" t="inlineStr"/>
      <c r="H27" s="2">
        <f>COUNTIF('Anh xa'!$A$2:$A$725,A27)</f>
        <v/>
      </c>
      <c r="I27" s="2">
        <f>IF(H27&gt;0,"Đã ánh xạ","THIẾU")</f>
        <v/>
      </c>
      <c r="J27" s="6" t="inlineStr">
        <is>
          <t>Chưa làm</t>
        </is>
      </c>
      <c r="K27" s="6" t="inlineStr"/>
    </row>
    <row r="28">
      <c r="A28" s="2" t="inlineStr">
        <is>
          <t>A1.3.3</t>
        </is>
      </c>
      <c r="B28" s="2" t="n">
        <v>3</v>
      </c>
      <c r="C28" s="2" t="inlineStr">
        <is>
          <t>Bàn giao tiếp (Console)</t>
        </is>
      </c>
      <c r="D28" s="2" t="inlineStr">
        <is>
          <t>Thẻ đang chờ (Card)</t>
        </is>
      </c>
      <c r="E28" s="2" t="inlineStr">
        <is>
          <t>Thẻ kế hoạch (plan) có checkbox bước + chi phí + giả định</t>
        </is>
      </c>
      <c r="F28" s="2" t="inlineStr">
        <is>
          <t>edit</t>
        </is>
      </c>
      <c r="G28" s="2" t="inlineStr"/>
      <c r="H28" s="2">
        <f>COUNTIF('Anh xa'!$A$2:$A$725,A28)</f>
        <v/>
      </c>
      <c r="I28" s="2">
        <f>IF(H28&gt;0,"Đã ánh xạ","THIẾU")</f>
        <v/>
      </c>
      <c r="J28" s="6" t="inlineStr">
        <is>
          <t>Chưa làm</t>
        </is>
      </c>
      <c r="K28" s="6" t="inlineStr"/>
    </row>
    <row r="29">
      <c r="A29" s="2" t="inlineStr">
        <is>
          <t>A1.3.4</t>
        </is>
      </c>
      <c r="B29" s="2" t="n">
        <v>3</v>
      </c>
      <c r="C29" s="2" t="inlineStr">
        <is>
          <t>Bàn giao tiếp (Console)</t>
        </is>
      </c>
      <c r="D29" s="2" t="inlineStr">
        <is>
          <t>Thẻ đang chờ (Card)</t>
        </is>
      </c>
      <c r="E29" s="2" t="inlineStr">
        <is>
          <t>Thẻ tiêu chí (criteria) form assert</t>
        </is>
      </c>
      <c r="F29" s="2" t="inlineStr">
        <is>
          <t>edit</t>
        </is>
      </c>
      <c r="G29" s="2" t="inlineStr"/>
      <c r="H29" s="2">
        <f>COUNTIF('Anh xa'!$A$2:$A$725,A29)</f>
        <v/>
      </c>
      <c r="I29" s="2">
        <f>IF(H29&gt;0,"Đã ánh xạ","THIẾU")</f>
        <v/>
      </c>
      <c r="J29" s="6" t="inlineStr">
        <is>
          <t>Chưa làm</t>
        </is>
      </c>
      <c r="K29" s="6" t="inlineStr"/>
    </row>
    <row r="30">
      <c r="A30" s="2" t="inlineStr">
        <is>
          <t>A1.3.5</t>
        </is>
      </c>
      <c r="B30" s="2" t="n">
        <v>3</v>
      </c>
      <c r="C30" s="2" t="inlineStr">
        <is>
          <t>Bàn giao tiếp (Console)</t>
        </is>
      </c>
      <c r="D30" s="2" t="inlineStr">
        <is>
          <t>Thẻ đang chờ (Card)</t>
        </is>
      </c>
      <c r="E30" s="2" t="inlineStr">
        <is>
          <t>Thẻ báo cáo (report) + Mở tab / Hoàn tác</t>
        </is>
      </c>
      <c r="F30" s="2" t="inlineStr">
        <is>
          <t>display</t>
        </is>
      </c>
      <c r="G30" s="2" t="inlineStr"/>
      <c r="H30" s="2">
        <f>COUNTIF('Anh xa'!$A$2:$A$725,A30)</f>
        <v/>
      </c>
      <c r="I30" s="2">
        <f>IF(H30&gt;0,"Đã ánh xạ","THIẾU")</f>
        <v/>
      </c>
      <c r="J30" s="6" t="inlineStr">
        <is>
          <t>Chưa làm</t>
        </is>
      </c>
      <c r="K30" s="6" t="inlineStr"/>
    </row>
    <row r="31">
      <c r="A31" s="2" t="inlineStr">
        <is>
          <t>A1.3.6</t>
        </is>
      </c>
      <c r="B31" s="2" t="n">
        <v>3</v>
      </c>
      <c r="C31" s="2" t="inlineStr">
        <is>
          <t>Bàn giao tiếp (Console)</t>
        </is>
      </c>
      <c r="D31" s="2" t="inlineStr">
        <is>
          <t>Thẻ đang chờ (Card)</t>
        </is>
      </c>
      <c r="E31" s="2" t="inlineStr">
        <is>
          <t>Thẻ đã đóng/hết hạn (mờ, giữ nội dung)</t>
        </is>
      </c>
      <c r="F31" s="2" t="inlineStr">
        <is>
          <t>display</t>
        </is>
      </c>
      <c r="G31" s="2" t="inlineStr"/>
      <c r="H31" s="2">
        <f>COUNTIF('Anh xa'!$A$2:$A$725,A31)</f>
        <v/>
      </c>
      <c r="I31" s="2">
        <f>IF(H31&gt;0,"Đã ánh xạ","THIẾU")</f>
        <v/>
      </c>
      <c r="J31" s="6" t="inlineStr">
        <is>
          <t>Chưa làm</t>
        </is>
      </c>
      <c r="K31" s="6" t="inlineStr"/>
    </row>
    <row r="32">
      <c r="A32" s="2" t="inlineStr">
        <is>
          <t>A1.4</t>
        </is>
      </c>
      <c r="B32" s="2" t="n">
        <v>2</v>
      </c>
      <c r="C32" s="2" t="inlineStr">
        <is>
          <t>Bàn giao tiếp (Console)</t>
        </is>
      </c>
      <c r="D32" s="2" t="inlineStr">
        <is>
          <t>Thẻ Run (lượt đang chạy)</t>
        </is>
      </c>
      <c r="E32" s="2" t="inlineStr"/>
      <c r="F32" s="2" t="inlineStr">
        <is>
          <t>khối</t>
        </is>
      </c>
      <c r="G32" s="2" t="inlineStr"/>
      <c r="H32" s="2">
        <f>COUNTIF('Anh xa'!$A$2:$A$725,"A1.4")+COUNTIF('Anh xa'!$A$2:$A$725,"A1.4.*")</f>
        <v/>
      </c>
      <c r="I32" s="2">
        <f>IF(H32&gt;0,"Đã ánh xạ","THIẾU")</f>
        <v/>
      </c>
      <c r="J32" s="6" t="inlineStr">
        <is>
          <t>Chưa làm</t>
        </is>
      </c>
      <c r="K32" s="6" t="inlineStr"/>
    </row>
    <row r="33">
      <c r="A33" s="2" t="inlineStr">
        <is>
          <t>A1.4.1</t>
        </is>
      </c>
      <c r="B33" s="2" t="n">
        <v>3</v>
      </c>
      <c r="C33" s="2" t="inlineStr">
        <is>
          <t>Bàn giao tiếp (Console)</t>
        </is>
      </c>
      <c r="D33" s="2" t="inlineStr">
        <is>
          <t>Thẻ Run (lượt đang chạy)</t>
        </is>
      </c>
      <c r="E33" s="2" t="inlineStr">
        <is>
          <t>Tiến trình theo bước/tool (đang chạy, xong, bỏ, chờ cổng)</t>
        </is>
      </c>
      <c r="F33" s="2" t="inlineStr">
        <is>
          <t>display</t>
        </is>
      </c>
      <c r="G33" s="2" t="inlineStr"/>
      <c r="H33" s="2">
        <f>COUNTIF('Anh xa'!$A$2:$A$725,A33)</f>
        <v/>
      </c>
      <c r="I33" s="2">
        <f>IF(H33&gt;0,"Đã ánh xạ","THIẾU")</f>
        <v/>
      </c>
      <c r="J33" s="6" t="inlineStr">
        <is>
          <t>Chưa làm</t>
        </is>
      </c>
      <c r="K33" s="6" t="inlineStr"/>
    </row>
    <row r="34">
      <c r="A34" s="2" t="inlineStr">
        <is>
          <t>A1.4.2</t>
        </is>
      </c>
      <c r="B34" s="2" t="n">
        <v>3</v>
      </c>
      <c r="C34" s="2" t="inlineStr">
        <is>
          <t>Bàn giao tiếp (Console)</t>
        </is>
      </c>
      <c r="D34" s="2" t="inlineStr">
        <is>
          <t>Thẻ Run (lượt đang chạy)</t>
        </is>
      </c>
      <c r="E34" s="2" t="inlineStr">
        <is>
          <t>Subagent đang chạy (tên, tool được phép, trạng thái)</t>
        </is>
      </c>
      <c r="F34" s="2" t="inlineStr">
        <is>
          <t>display</t>
        </is>
      </c>
      <c r="G34" s="2" t="inlineStr"/>
      <c r="H34" s="2">
        <f>COUNTIF('Anh xa'!$A$2:$A$725,A34)</f>
        <v/>
      </c>
      <c r="I34" s="2">
        <f>IF(H34&gt;0,"Đã ánh xạ","THIẾU")</f>
        <v/>
      </c>
      <c r="J34" s="6" t="inlineStr">
        <is>
          <t>Chưa làm</t>
        </is>
      </c>
      <c r="K34" s="6" t="inlineStr"/>
    </row>
    <row r="35">
      <c r="A35" s="2" t="inlineStr">
        <is>
          <t>A1.4.3</t>
        </is>
      </c>
      <c r="B35" s="2" t="n">
        <v>3</v>
      </c>
      <c r="C35" s="2" t="inlineStr">
        <is>
          <t>Bàn giao tiếp (Console)</t>
        </is>
      </c>
      <c r="D35" s="2" t="inlineStr">
        <is>
          <t>Thẻ Run (lượt đang chạy)</t>
        </is>
      </c>
      <c r="E35" s="2" t="inlineStr">
        <is>
          <t>Nút Dừng khẩn</t>
        </is>
      </c>
      <c r="F35" s="2" t="inlineStr">
        <is>
          <t>action</t>
        </is>
      </c>
      <c r="G35" s="2" t="inlineStr"/>
      <c r="H35" s="2">
        <f>COUNTIF('Anh xa'!$A$2:$A$725,A35)</f>
        <v/>
      </c>
      <c r="I35" s="2">
        <f>IF(H35&gt;0,"Đã ánh xạ","THIẾU")</f>
        <v/>
      </c>
      <c r="J35" s="6" t="inlineStr">
        <is>
          <t>Chưa làm</t>
        </is>
      </c>
      <c r="K35" s="6" t="inlineStr"/>
    </row>
    <row r="36">
      <c r="A36" s="2" t="inlineStr">
        <is>
          <t>A1.4.4</t>
        </is>
      </c>
      <c r="B36" s="2" t="n">
        <v>3</v>
      </c>
      <c r="C36" s="2" t="inlineStr">
        <is>
          <t>Bàn giao tiếp (Console)</t>
        </is>
      </c>
      <c r="D36" s="2" t="inlineStr">
        <is>
          <t>Thẻ Run (lượt đang chạy)</t>
        </is>
      </c>
      <c r="E36" s="2" t="inlineStr">
        <is>
          <t>Nút Hoàn tác lượt (30 s không cần thẻ)</t>
        </is>
      </c>
      <c r="F36" s="2" t="inlineStr">
        <is>
          <t>action</t>
        </is>
      </c>
      <c r="G36" s="2" t="inlineStr"/>
      <c r="H36" s="2">
        <f>COUNTIF('Anh xa'!$A$2:$A$725,A36)</f>
        <v/>
      </c>
      <c r="I36" s="2">
        <f>IF(H36&gt;0,"Đã ánh xạ","THIẾU")</f>
        <v/>
      </c>
      <c r="J36" s="6" t="inlineStr">
        <is>
          <t>Chưa làm</t>
        </is>
      </c>
      <c r="K36" s="6" t="inlineStr"/>
    </row>
    <row r="37">
      <c r="A37" s="2" t="inlineStr">
        <is>
          <t>A1.4.5</t>
        </is>
      </c>
      <c r="B37" s="2" t="n">
        <v>3</v>
      </c>
      <c r="C37" s="2" t="inlineStr">
        <is>
          <t>Bàn giao tiếp (Console)</t>
        </is>
      </c>
      <c r="D37" s="2" t="inlineStr">
        <is>
          <t>Thẻ Run (lượt đang chạy)</t>
        </is>
      </c>
      <c r="E37" s="2" t="inlineStr">
        <is>
          <t>Nút Ghi bản ưng ý</t>
        </is>
      </c>
      <c r="F37" s="2" t="inlineStr">
        <is>
          <t>action</t>
        </is>
      </c>
      <c r="G37" s="2" t="inlineStr"/>
      <c r="H37" s="2">
        <f>COUNTIF('Anh xa'!$A$2:$A$725,A37)</f>
        <v/>
      </c>
      <c r="I37" s="2">
        <f>IF(H37&gt;0,"Đã ánh xạ","THIẾU")</f>
        <v/>
      </c>
      <c r="J37" s="6" t="inlineStr">
        <is>
          <t>Chưa làm</t>
        </is>
      </c>
      <c r="K37" s="6" t="inlineStr"/>
    </row>
    <row r="38">
      <c r="A38" s="2" t="inlineStr">
        <is>
          <t>A1.4.6</t>
        </is>
      </c>
      <c r="B38" s="2" t="n">
        <v>3</v>
      </c>
      <c r="C38" s="2" t="inlineStr">
        <is>
          <t>Bàn giao tiếp (Console)</t>
        </is>
      </c>
      <c r="D38" s="2" t="inlineStr">
        <is>
          <t>Thẻ Run (lượt đang chạy)</t>
        </is>
      </c>
      <c r="E38" s="2" t="inlineStr">
        <is>
          <t>Giả định đang dùng của lượt</t>
        </is>
      </c>
      <c r="F38" s="2" t="inlineStr">
        <is>
          <t>display</t>
        </is>
      </c>
      <c r="G38" s="2" t="inlineStr"/>
      <c r="H38" s="2">
        <f>COUNTIF('Anh xa'!$A$2:$A$725,A38)</f>
        <v/>
      </c>
      <c r="I38" s="2">
        <f>IF(H38&gt;0,"Đã ánh xạ","THIẾU")</f>
        <v/>
      </c>
      <c r="J38" s="6" t="inlineStr">
        <is>
          <t>Chưa làm</t>
        </is>
      </c>
      <c r="K38" s="6" t="inlineStr"/>
    </row>
    <row r="39">
      <c r="A39" s="2" t="inlineStr">
        <is>
          <t>A1.4.7</t>
        </is>
      </c>
      <c r="B39" s="2" t="n">
        <v>3</v>
      </c>
      <c r="C39" s="2" t="inlineStr">
        <is>
          <t>Bàn giao tiếp (Console)</t>
        </is>
      </c>
      <c r="D39" s="2" t="inlineStr">
        <is>
          <t>Thẻ Run (lượt đang chạy)</t>
        </is>
      </c>
      <c r="E39" s="2" t="inlineStr">
        <is>
          <t>Chi phí token/giây đến hiện tại</t>
        </is>
      </c>
      <c r="F39" s="2" t="inlineStr">
        <is>
          <t>display</t>
        </is>
      </c>
      <c r="G39" s="2" t="inlineStr"/>
      <c r="H39" s="2">
        <f>COUNTIF('Anh xa'!$A$2:$A$725,A39)</f>
        <v/>
      </c>
      <c r="I39" s="2">
        <f>IF(H39&gt;0,"Đã ánh xạ","THIẾU")</f>
        <v/>
      </c>
      <c r="J39" s="6" t="inlineStr">
        <is>
          <t>Chưa làm</t>
        </is>
      </c>
      <c r="K39" s="6" t="inlineStr"/>
    </row>
    <row r="40">
      <c r="A40" s="2" t="inlineStr">
        <is>
          <t>A1.4.8</t>
        </is>
      </c>
      <c r="B40" s="2" t="n">
        <v>3</v>
      </c>
      <c r="C40" s="2" t="inlineStr">
        <is>
          <t>Bàn giao tiếp (Console)</t>
        </is>
      </c>
      <c r="D40" s="2" t="inlineStr">
        <is>
          <t>Thẻ Run (lượt đang chạy)</t>
        </is>
      </c>
      <c r="E40" s="2" t="inlineStr">
        <is>
          <t>Nút Tiếp tục (sau sự cố/dừng)</t>
        </is>
      </c>
      <c r="F40" s="2" t="inlineStr">
        <is>
          <t>action</t>
        </is>
      </c>
      <c r="G40" s="2" t="inlineStr"/>
      <c r="H40" s="2">
        <f>COUNTIF('Anh xa'!$A$2:$A$725,A40)</f>
        <v/>
      </c>
      <c r="I40" s="2">
        <f>IF(H40&gt;0,"Đã ánh xạ","THIẾU")</f>
        <v/>
      </c>
      <c r="J40" s="6" t="inlineStr">
        <is>
          <t>Chưa làm</t>
        </is>
      </c>
      <c r="K40" s="6" t="inlineStr"/>
    </row>
    <row r="41">
      <c r="A41" s="2" t="inlineStr">
        <is>
          <t>A1.5</t>
        </is>
      </c>
      <c r="B41" s="2" t="n">
        <v>2</v>
      </c>
      <c r="C41" s="2" t="inlineStr">
        <is>
          <t>Bàn giao tiếp (Console)</t>
        </is>
      </c>
      <c r="D41" s="2" t="inlineStr">
        <is>
          <t>Kích cỡ Console</t>
        </is>
      </c>
      <c r="E41" s="2" t="inlineStr"/>
      <c r="F41" s="2" t="inlineStr">
        <is>
          <t>khối</t>
        </is>
      </c>
      <c r="G41" s="2" t="inlineStr"/>
      <c r="H41" s="2">
        <f>COUNTIF('Anh xa'!$A$2:$A$725,"A1.5")+COUNTIF('Anh xa'!$A$2:$A$725,"A1.5.*")</f>
        <v/>
      </c>
      <c r="I41" s="2">
        <f>IF(H41&gt;0,"Đã ánh xạ","THIẾU")</f>
        <v/>
      </c>
      <c r="J41" s="6" t="inlineStr">
        <is>
          <t>Chưa làm</t>
        </is>
      </c>
      <c r="K41" s="6" t="inlineStr"/>
    </row>
    <row r="42">
      <c r="A42" s="2" t="inlineStr">
        <is>
          <t>A1.5.1</t>
        </is>
      </c>
      <c r="B42" s="2" t="n">
        <v>3</v>
      </c>
      <c r="C42" s="2" t="inlineStr">
        <is>
          <t>Bàn giao tiếp (Console)</t>
        </is>
      </c>
      <c r="D42" s="2" t="inlineStr">
        <is>
          <t>Kích cỡ Console</t>
        </is>
      </c>
      <c r="E42" s="2" t="inlineStr">
        <is>
          <t>Chuyển 3 cỡ (hẹp/vừa/rộng)</t>
        </is>
      </c>
      <c r="F42" s="2" t="inlineStr">
        <is>
          <t>action</t>
        </is>
      </c>
      <c r="G42" s="2" t="inlineStr"/>
      <c r="H42" s="2">
        <f>COUNTIF('Anh xa'!$A$2:$A$725,A42)</f>
        <v/>
      </c>
      <c r="I42" s="2">
        <f>IF(H42&gt;0,"Đã ánh xạ","THIẾU")</f>
        <v/>
      </c>
      <c r="J42" s="6" t="inlineStr">
        <is>
          <t>Chưa làm</t>
        </is>
      </c>
      <c r="K42" s="6" t="inlineStr"/>
    </row>
    <row r="43">
      <c r="A43" s="7" t="inlineStr">
        <is>
          <t>A2</t>
        </is>
      </c>
      <c r="B43" s="7" t="n">
        <v>1</v>
      </c>
      <c r="C43" s="7" t="inlineStr">
        <is>
          <t>Tab Yêu cầu &amp; Giải pháp</t>
        </is>
      </c>
      <c r="D43" s="2" t="inlineStr"/>
      <c r="E43" s="2" t="inlineStr"/>
      <c r="F43" s="2" t="inlineStr">
        <is>
          <t>tab</t>
        </is>
      </c>
      <c r="G43" s="2" t="inlineStr"/>
      <c r="H43" s="2">
        <f>COUNTIF('Anh xa'!$A$2:$A$725,"A2.*")</f>
        <v/>
      </c>
      <c r="I43" s="2">
        <f>IF(H43&gt;0,"Đã ánh xạ","THIẾU")</f>
        <v/>
      </c>
      <c r="J43" s="6" t="inlineStr">
        <is>
          <t>Chưa làm</t>
        </is>
      </c>
      <c r="K43" s="6" t="inlineStr"/>
    </row>
    <row r="44">
      <c r="A44" s="2" t="inlineStr">
        <is>
          <t>A2.1</t>
        </is>
      </c>
      <c r="B44" s="2" t="n">
        <v>2</v>
      </c>
      <c r="C44" s="2" t="inlineStr">
        <is>
          <t>Tab Yêu cầu &amp; Giải pháp</t>
        </is>
      </c>
      <c r="D44" s="2" t="inlineStr">
        <is>
          <t>Đặc tả yêu cầu (có phiên bản)</t>
        </is>
      </c>
      <c r="E44" s="2" t="inlineStr"/>
      <c r="F44" s="2" t="inlineStr">
        <is>
          <t>khối</t>
        </is>
      </c>
      <c r="G44" s="2" t="inlineStr">
        <is>
          <t>AR01</t>
        </is>
      </c>
      <c r="H44" s="2">
        <f>COUNTIF('Anh xa'!$A$2:$A$725,"A2.1")+COUNTIF('Anh xa'!$A$2:$A$725,"A2.1.*")</f>
        <v/>
      </c>
      <c r="I44" s="2">
        <f>IF(H44&gt;0,"Đã ánh xạ","THIẾU")</f>
        <v/>
      </c>
      <c r="J44" s="6" t="inlineStr">
        <is>
          <t>Chưa làm</t>
        </is>
      </c>
      <c r="K44" s="6" t="inlineStr"/>
    </row>
    <row r="45">
      <c r="A45" s="2" t="inlineStr">
        <is>
          <t>A2.1.1</t>
        </is>
      </c>
      <c r="B45" s="2" t="n">
        <v>3</v>
      </c>
      <c r="C45" s="2" t="inlineStr">
        <is>
          <t>Tab Yêu cầu &amp; Giải pháp</t>
        </is>
      </c>
      <c r="D45" s="2" t="inlineStr">
        <is>
          <t>Đặc tả yêu cầu (có phiên bản)</t>
        </is>
      </c>
      <c r="E45" s="2" t="inlineStr">
        <is>
          <t>Tóm tắt + Vì sao? + Giải thích thêm (lớp giải thích)</t>
        </is>
      </c>
      <c r="F45" s="2" t="inlineStr">
        <is>
          <t>display</t>
        </is>
      </c>
      <c r="G45" s="2" t="inlineStr">
        <is>
          <t>AR01</t>
        </is>
      </c>
      <c r="H45" s="2">
        <f>COUNTIF('Anh xa'!$A$2:$A$725,A45)</f>
        <v/>
      </c>
      <c r="I45" s="2">
        <f>IF(H45&gt;0,"Đã ánh xạ","THIẾU")</f>
        <v/>
      </c>
      <c r="J45" s="6" t="inlineStr">
        <is>
          <t>Chưa làm</t>
        </is>
      </c>
      <c r="K45" s="6" t="inlineStr"/>
    </row>
    <row r="46">
      <c r="A46" s="2" t="inlineStr">
        <is>
          <t>A2.1.0</t>
        </is>
      </c>
      <c r="B46" s="2" t="n">
        <v>3</v>
      </c>
      <c r="C46" s="2" t="inlineStr">
        <is>
          <t>Tab Yêu cầu &amp; Giải pháp</t>
        </is>
      </c>
      <c r="D46" s="2" t="inlineStr">
        <is>
          <t>Đặc tả yêu cầu (có phiên bản)</t>
        </is>
      </c>
      <c r="E46" s="2" t="inlineStr">
        <is>
          <t>Khối chuẩn: gập/mở chi tiết; một hành động tiếp theo nổi bật (next)</t>
        </is>
      </c>
      <c r="F46" s="2" t="inlineStr">
        <is>
          <t>display</t>
        </is>
      </c>
      <c r="G46" s="2" t="inlineStr">
        <is>
          <t>AR01</t>
        </is>
      </c>
      <c r="H46" s="2">
        <f>COUNTIF('Anh xa'!$A$2:$A$725,A46)</f>
        <v/>
      </c>
      <c r="I46" s="2">
        <f>IF(H46&gt;0,"Đã ánh xạ","THIẾU")</f>
        <v/>
      </c>
      <c r="J46" s="6" t="inlineStr">
        <is>
          <t>Chưa làm</t>
        </is>
      </c>
      <c r="K46" s="6" t="inlineStr"/>
    </row>
    <row r="47">
      <c r="A47" s="2" t="inlineStr">
        <is>
          <t>A2.1.2</t>
        </is>
      </c>
      <c r="B47" s="2" t="n">
        <v>3</v>
      </c>
      <c r="C47" s="2" t="inlineStr">
        <is>
          <t>Tab Yêu cầu &amp; Giải pháp</t>
        </is>
      </c>
      <c r="D47" s="2" t="inlineStr">
        <is>
          <t>Đặc tả yêu cầu (có phiên bản)</t>
        </is>
      </c>
      <c r="E47" s="2" t="inlineStr">
        <is>
          <t>Bảng REQ (FR/NFR/UR): mô tả, tiêu chí đo, cột 'trích lời anh' (source_quote)</t>
        </is>
      </c>
      <c r="F47" s="2" t="inlineStr">
        <is>
          <t>display</t>
        </is>
      </c>
      <c r="G47" s="2" t="inlineStr">
        <is>
          <t>AR01</t>
        </is>
      </c>
      <c r="H47" s="2">
        <f>COUNTIF('Anh xa'!$A$2:$A$725,A47)</f>
        <v/>
      </c>
      <c r="I47" s="2">
        <f>IF(H47&gt;0,"Đã ánh xạ","THIẾU")</f>
        <v/>
      </c>
      <c r="J47" s="6" t="inlineStr">
        <is>
          <t>Chưa làm</t>
        </is>
      </c>
      <c r="K47" s="6" t="inlineStr"/>
    </row>
    <row r="48">
      <c r="A48" s="2" t="inlineStr">
        <is>
          <t>A2.1.3</t>
        </is>
      </c>
      <c r="B48" s="2" t="n">
        <v>3</v>
      </c>
      <c r="C48" s="2" t="inlineStr">
        <is>
          <t>Tab Yêu cầu &amp; Giải pháp</t>
        </is>
      </c>
      <c r="D48" s="2" t="inlineStr">
        <is>
          <t>Đặc tả yêu cầu (có phiên bản)</t>
        </is>
      </c>
      <c r="E48" s="2" t="inlineStr">
        <is>
          <t>Sửa mô tả/tiêu chí inline + ô 'vì sao'</t>
        </is>
      </c>
      <c r="F48" s="2" t="inlineStr">
        <is>
          <t>edit</t>
        </is>
      </c>
      <c r="G48" s="2" t="inlineStr">
        <is>
          <t>AR01</t>
        </is>
      </c>
      <c r="H48" s="2">
        <f>COUNTIF('Anh xa'!$A$2:$A$725,A48)</f>
        <v/>
      </c>
      <c r="I48" s="2">
        <f>IF(H48&gt;0,"Đã ánh xạ","THIẾU")</f>
        <v/>
      </c>
      <c r="J48" s="6" t="inlineStr">
        <is>
          <t>Chưa làm</t>
        </is>
      </c>
      <c r="K48" s="6" t="inlineStr"/>
    </row>
    <row r="49">
      <c r="A49" s="2" t="inlineStr">
        <is>
          <t>A2.1.4</t>
        </is>
      </c>
      <c r="B49" s="2" t="n">
        <v>3</v>
      </c>
      <c r="C49" s="2" t="inlineStr">
        <is>
          <t>Tab Yêu cầu &amp; Giải pháp</t>
        </is>
      </c>
      <c r="D49" s="2" t="inlineStr">
        <is>
          <t>Đặc tả yêu cầu (có phiên bản)</t>
        </is>
      </c>
      <c r="E49" s="2" t="inlineStr">
        <is>
          <t>Thêm / xoá REQ</t>
        </is>
      </c>
      <c r="F49" s="2" t="inlineStr">
        <is>
          <t>edit</t>
        </is>
      </c>
      <c r="G49" s="2" t="inlineStr">
        <is>
          <t>AR01</t>
        </is>
      </c>
      <c r="H49" s="2">
        <f>COUNTIF('Anh xa'!$A$2:$A$725,A49)</f>
        <v/>
      </c>
      <c r="I49" s="2">
        <f>IF(H49&gt;0,"Đã ánh xạ","THIẾU")</f>
        <v/>
      </c>
      <c r="J49" s="6" t="inlineStr">
        <is>
          <t>Chưa làm</t>
        </is>
      </c>
      <c r="K49" s="6" t="inlineStr"/>
    </row>
    <row r="50">
      <c r="A50" s="2" t="inlineStr">
        <is>
          <t>A2.1.5</t>
        </is>
      </c>
      <c r="B50" s="2" t="n">
        <v>3</v>
      </c>
      <c r="C50" s="2" t="inlineStr">
        <is>
          <t>Tab Yêu cầu &amp; Giải pháp</t>
        </is>
      </c>
      <c r="D50" s="2" t="inlineStr">
        <is>
          <t>Đặc tả yêu cầu (có phiên bản)</t>
        </is>
      </c>
      <c r="E50" s="2" t="inlineStr">
        <is>
          <t>Đánh dấu 'không đúng ý tôi'</t>
        </is>
      </c>
      <c r="F50" s="2" t="inlineStr">
        <is>
          <t>edit</t>
        </is>
      </c>
      <c r="G50" s="2" t="inlineStr">
        <is>
          <t>AR01</t>
        </is>
      </c>
      <c r="H50" s="2">
        <f>COUNTIF('Anh xa'!$A$2:$A$725,A50)</f>
        <v/>
      </c>
      <c r="I50" s="2">
        <f>IF(H50&gt;0,"Đã ánh xạ","THIẾU")</f>
        <v/>
      </c>
      <c r="J50" s="6" t="inlineStr">
        <is>
          <t>Chưa làm</t>
        </is>
      </c>
      <c r="K50" s="6" t="inlineStr"/>
    </row>
    <row r="51">
      <c r="A51" s="2" t="inlineStr">
        <is>
          <t>A2.1.6</t>
        </is>
      </c>
      <c r="B51" s="2" t="n">
        <v>3</v>
      </c>
      <c r="C51" s="2" t="inlineStr">
        <is>
          <t>Tab Yêu cầu &amp; Giải pháp</t>
        </is>
      </c>
      <c r="D51" s="2" t="inlineStr">
        <is>
          <t>Đặc tả yêu cầu (có phiên bản)</t>
        </is>
      </c>
      <c r="E51" s="2" t="inlineStr">
        <is>
          <t>Chọn phiên bản v1/v2… và diff bằng lời + tô màu</t>
        </is>
      </c>
      <c r="F51" s="2" t="inlineStr">
        <is>
          <t>display</t>
        </is>
      </c>
      <c r="G51" s="2" t="inlineStr">
        <is>
          <t>AR01</t>
        </is>
      </c>
      <c r="H51" s="2">
        <f>COUNTIF('Anh xa'!$A$2:$A$725,A51)</f>
        <v/>
      </c>
      <c r="I51" s="2">
        <f>IF(H51&gt;0,"Đã ánh xạ","THIẾU")</f>
        <v/>
      </c>
      <c r="J51" s="6" t="inlineStr">
        <is>
          <t>Chưa làm</t>
        </is>
      </c>
      <c r="K51" s="6" t="inlineStr"/>
    </row>
    <row r="52">
      <c r="A52" s="2" t="inlineStr">
        <is>
          <t>A2.1.7</t>
        </is>
      </c>
      <c r="B52" s="2" t="n">
        <v>3</v>
      </c>
      <c r="C52" s="2" t="inlineStr">
        <is>
          <t>Tab Yêu cầu &amp; Giải pháp</t>
        </is>
      </c>
      <c r="D52" s="2" t="inlineStr">
        <is>
          <t>Đặc tả yêu cầu (có phiên bản)</t>
        </is>
      </c>
      <c r="E52" s="2" t="inlineStr">
        <is>
          <t>Băng STALE (hạ nguồn cần cập nhật) + nút Chấp nhận STALE</t>
        </is>
      </c>
      <c r="F52" s="2" t="inlineStr">
        <is>
          <t>action</t>
        </is>
      </c>
      <c r="G52" s="2" t="inlineStr">
        <is>
          <t>AR01</t>
        </is>
      </c>
      <c r="H52" s="2">
        <f>COUNTIF('Anh xa'!$A$2:$A$725,A52)</f>
        <v/>
      </c>
      <c r="I52" s="2">
        <f>IF(H52&gt;0,"Đã ánh xạ","THIẾU")</f>
        <v/>
      </c>
      <c r="J52" s="6" t="inlineStr">
        <is>
          <t>Chưa làm</t>
        </is>
      </c>
      <c r="K52" s="6" t="inlineStr"/>
    </row>
    <row r="53">
      <c r="A53" s="2" t="inlineStr">
        <is>
          <t>A2.1.8</t>
        </is>
      </c>
      <c r="B53" s="2" t="n">
        <v>3</v>
      </c>
      <c r="C53" s="2" t="inlineStr">
        <is>
          <t>Tab Yêu cầu &amp; Giải pháp</t>
        </is>
      </c>
      <c r="D53" s="2" t="inlineStr">
        <is>
          <t>Đặc tả yêu cầu (có phiên bản)</t>
        </is>
      </c>
      <c r="E53" s="2" t="inlineStr">
        <is>
          <t>Thanh tác giả (người/tác tử) + changeset</t>
        </is>
      </c>
      <c r="F53" s="2" t="inlineStr">
        <is>
          <t>display</t>
        </is>
      </c>
      <c r="G53" s="2" t="inlineStr">
        <is>
          <t>AR01</t>
        </is>
      </c>
      <c r="H53" s="2">
        <f>COUNTIF('Anh xa'!$A$2:$A$725,A53)</f>
        <v/>
      </c>
      <c r="I53" s="2">
        <f>IF(H53&gt;0,"Đã ánh xạ","THIẾU")</f>
        <v/>
      </c>
      <c r="J53" s="6" t="inlineStr">
        <is>
          <t>Chưa làm</t>
        </is>
      </c>
      <c r="K53" s="6" t="inlineStr"/>
    </row>
    <row r="54">
      <c r="A54" s="2" t="inlineStr">
        <is>
          <t>A2.2</t>
        </is>
      </c>
      <c r="B54" s="2" t="n">
        <v>2</v>
      </c>
      <c r="C54" s="2" t="inlineStr">
        <is>
          <t>Tab Yêu cầu &amp; Giải pháp</t>
        </is>
      </c>
      <c r="D54" s="2" t="inlineStr">
        <is>
          <t>Rủi ro (tách riêng khỏi FR)</t>
        </is>
      </c>
      <c r="E54" s="2" t="inlineStr"/>
      <c r="F54" s="2" t="inlineStr">
        <is>
          <t>khối</t>
        </is>
      </c>
      <c r="G54" s="2" t="inlineStr">
        <is>
          <t>AR01</t>
        </is>
      </c>
      <c r="H54" s="2">
        <f>COUNTIF('Anh xa'!$A$2:$A$725,"A2.2")+COUNTIF('Anh xa'!$A$2:$A$725,"A2.2.*")</f>
        <v/>
      </c>
      <c r="I54" s="2">
        <f>IF(H54&gt;0,"Đã ánh xạ","THIẾU")</f>
        <v/>
      </c>
      <c r="J54" s="6" t="inlineStr">
        <is>
          <t>Chưa làm</t>
        </is>
      </c>
      <c r="K54" s="6" t="inlineStr"/>
    </row>
    <row r="55">
      <c r="A55" s="2" t="inlineStr">
        <is>
          <t>A2.2.1</t>
        </is>
      </c>
      <c r="B55" s="2" t="n">
        <v>3</v>
      </c>
      <c r="C55" s="2" t="inlineStr">
        <is>
          <t>Tab Yêu cầu &amp; Giải pháp</t>
        </is>
      </c>
      <c r="D55" s="2" t="inlineStr">
        <is>
          <t>Rủi ro (tách riêng khỏi FR)</t>
        </is>
      </c>
      <c r="E55" s="2" t="inlineStr">
        <is>
          <t>Bảng rủi ro: mô tả, mức, đề xuất, nguồn</t>
        </is>
      </c>
      <c r="F55" s="2" t="inlineStr">
        <is>
          <t>display</t>
        </is>
      </c>
      <c r="G55" s="2" t="inlineStr">
        <is>
          <t>AR01</t>
        </is>
      </c>
      <c r="H55" s="2">
        <f>COUNTIF('Anh xa'!$A$2:$A$725,A55)</f>
        <v/>
      </c>
      <c r="I55" s="2">
        <f>IF(H55&gt;0,"Đã ánh xạ","THIẾU")</f>
        <v/>
      </c>
      <c r="J55" s="6" t="inlineStr">
        <is>
          <t>Chưa làm</t>
        </is>
      </c>
      <c r="K55" s="6" t="inlineStr"/>
    </row>
    <row r="56">
      <c r="A56" s="2" t="inlineStr">
        <is>
          <t>A2.2.2</t>
        </is>
      </c>
      <c r="B56" s="2" t="n">
        <v>3</v>
      </c>
      <c r="C56" s="2" t="inlineStr">
        <is>
          <t>Tab Yêu cầu &amp; Giải pháp</t>
        </is>
      </c>
      <c r="D56" s="2" t="inlineStr">
        <is>
          <t>Rủi ro (tách riêng khỏi FR)</t>
        </is>
      </c>
      <c r="E56" s="2" t="inlineStr">
        <is>
          <t>Chấp nhận rủi ro có lý do</t>
        </is>
      </c>
      <c r="F56" s="2" t="inlineStr">
        <is>
          <t>edit</t>
        </is>
      </c>
      <c r="G56" s="2" t="inlineStr">
        <is>
          <t>AR01</t>
        </is>
      </c>
      <c r="H56" s="2">
        <f>COUNTIF('Anh xa'!$A$2:$A$725,A56)</f>
        <v/>
      </c>
      <c r="I56" s="2">
        <f>IF(H56&gt;0,"Đã ánh xạ","THIẾU")</f>
        <v/>
      </c>
      <c r="J56" s="6" t="inlineStr">
        <is>
          <t>Chưa làm</t>
        </is>
      </c>
      <c r="K56" s="6" t="inlineStr"/>
    </row>
    <row r="57">
      <c r="A57" s="2" t="inlineStr">
        <is>
          <t>A2.3</t>
        </is>
      </c>
      <c r="B57" s="2" t="n">
        <v>2</v>
      </c>
      <c r="C57" s="2" t="inlineStr">
        <is>
          <t>Tab Yêu cầu &amp; Giải pháp</t>
        </is>
      </c>
      <c r="D57" s="2" t="inlineStr">
        <is>
          <t>Phương án (2–4) so sánh</t>
        </is>
      </c>
      <c r="E57" s="2" t="inlineStr"/>
      <c r="F57" s="2" t="inlineStr">
        <is>
          <t>khối</t>
        </is>
      </c>
      <c r="G57" s="2" t="inlineStr">
        <is>
          <t>AR02</t>
        </is>
      </c>
      <c r="H57" s="2">
        <f>COUNTIF('Anh xa'!$A$2:$A$725,"A2.3")+COUNTIF('Anh xa'!$A$2:$A$725,"A2.3.*")</f>
        <v/>
      </c>
      <c r="I57" s="2">
        <f>IF(H57&gt;0,"Đã ánh xạ","THIẾU")</f>
        <v/>
      </c>
      <c r="J57" s="6" t="inlineStr">
        <is>
          <t>Chưa làm</t>
        </is>
      </c>
      <c r="K57" s="6" t="inlineStr"/>
    </row>
    <row r="58">
      <c r="A58" s="2" t="inlineStr">
        <is>
          <t>A2.3.1</t>
        </is>
      </c>
      <c r="B58" s="2" t="n">
        <v>3</v>
      </c>
      <c r="C58" s="2" t="inlineStr">
        <is>
          <t>Tab Yêu cầu &amp; Giải pháp</t>
        </is>
      </c>
      <c r="D58" s="2" t="inlineStr">
        <is>
          <t>Phương án (2–4) so sánh</t>
        </is>
      </c>
      <c r="E58" s="2" t="inlineStr">
        <is>
          <t>Bảng so sánh: kiến trúc, linh kiện, chi phí, độ khó, rủi ro, nguồn; điểm theo ràng buộc</t>
        </is>
      </c>
      <c r="F58" s="2" t="inlineStr">
        <is>
          <t>display</t>
        </is>
      </c>
      <c r="G58" s="2" t="inlineStr">
        <is>
          <t>AR02</t>
        </is>
      </c>
      <c r="H58" s="2">
        <f>COUNTIF('Anh xa'!$A$2:$A$725,A58)</f>
        <v/>
      </c>
      <c r="I58" s="2">
        <f>IF(H58&gt;0,"Đã ánh xạ","THIẾU")</f>
        <v/>
      </c>
      <c r="J58" s="6" t="inlineStr">
        <is>
          <t>Chưa làm</t>
        </is>
      </c>
      <c r="K58" s="6" t="inlineStr"/>
    </row>
    <row r="59">
      <c r="A59" s="2" t="inlineStr">
        <is>
          <t>A2.3.2</t>
        </is>
      </c>
      <c r="B59" s="2" t="n">
        <v>3</v>
      </c>
      <c r="C59" s="2" t="inlineStr">
        <is>
          <t>Tab Yêu cầu &amp; Giải pháp</t>
        </is>
      </c>
      <c r="D59" s="2" t="inlineStr">
        <is>
          <t>Phương án (2–4) so sánh</t>
        </is>
      </c>
      <c r="E59" s="2" t="inlineStr">
        <is>
          <t>Số ước lượng (ĐỒNG) tô nghiêng vs số có nguồn</t>
        </is>
      </c>
      <c r="F59" s="2" t="inlineStr">
        <is>
          <t>display</t>
        </is>
      </c>
      <c r="G59" s="2" t="inlineStr">
        <is>
          <t>AR02</t>
        </is>
      </c>
      <c r="H59" s="2">
        <f>COUNTIF('Anh xa'!$A$2:$A$725,A59)</f>
        <v/>
      </c>
      <c r="I59" s="2">
        <f>IF(H59&gt;0,"Đã ánh xạ","THIẾU")</f>
        <v/>
      </c>
      <c r="J59" s="6" t="inlineStr">
        <is>
          <t>Chưa làm</t>
        </is>
      </c>
      <c r="K59" s="6" t="inlineStr"/>
    </row>
    <row r="60">
      <c r="A60" s="2" t="inlineStr">
        <is>
          <t>A2.3.3</t>
        </is>
      </c>
      <c r="B60" s="2" t="n">
        <v>3</v>
      </c>
      <c r="C60" s="2" t="inlineStr">
        <is>
          <t>Tab Yêu cầu &amp; Giải pháp</t>
        </is>
      </c>
      <c r="D60" s="2" t="inlineStr">
        <is>
          <t>Phương án (2–4) so sánh</t>
        </is>
      </c>
      <c r="E60" s="2" t="inlineStr">
        <is>
          <t>Chọn phương án (→ thẻ G-DESIGN)</t>
        </is>
      </c>
      <c r="F60" s="2" t="inlineStr">
        <is>
          <t>action</t>
        </is>
      </c>
      <c r="G60" s="2" t="inlineStr">
        <is>
          <t>AR02</t>
        </is>
      </c>
      <c r="H60" s="2">
        <f>COUNTIF('Anh xa'!$A$2:$A$725,A60)</f>
        <v/>
      </c>
      <c r="I60" s="2">
        <f>IF(H60&gt;0,"Đã ánh xạ","THIẾU")</f>
        <v/>
      </c>
      <c r="J60" s="6" t="inlineStr">
        <is>
          <t>Chưa làm</t>
        </is>
      </c>
      <c r="K60" s="6" t="inlineStr"/>
    </row>
    <row r="61">
      <c r="A61" s="2" t="inlineStr">
        <is>
          <t>A2.3.4</t>
        </is>
      </c>
      <c r="B61" s="2" t="n">
        <v>3</v>
      </c>
      <c r="C61" s="2" t="inlineStr">
        <is>
          <t>Tab Yêu cầu &amp; Giải pháp</t>
        </is>
      </c>
      <c r="D61" s="2" t="inlineStr">
        <is>
          <t>Phương án (2–4) so sánh</t>
        </is>
      </c>
      <c r="E61" s="2" t="inlineStr">
        <is>
          <t>Sửa chi phí/độ khó; thêm phương án bằng lời</t>
        </is>
      </c>
      <c r="F61" s="2" t="inlineStr">
        <is>
          <t>edit</t>
        </is>
      </c>
      <c r="G61" s="2" t="inlineStr">
        <is>
          <t>AR02</t>
        </is>
      </c>
      <c r="H61" s="2">
        <f>COUNTIF('Anh xa'!$A$2:$A$725,A61)</f>
        <v/>
      </c>
      <c r="I61" s="2">
        <f>IF(H61&gt;0,"Đã ánh xạ","THIẾU")</f>
        <v/>
      </c>
      <c r="J61" s="6" t="inlineStr">
        <is>
          <t>Chưa làm</t>
        </is>
      </c>
      <c r="K61" s="6" t="inlineStr"/>
    </row>
    <row r="62">
      <c r="A62" s="2" t="inlineStr">
        <is>
          <t>A2.3.5</t>
        </is>
      </c>
      <c r="B62" s="2" t="n">
        <v>3</v>
      </c>
      <c r="C62" s="2" t="inlineStr">
        <is>
          <t>Tab Yêu cầu &amp; Giải pháp</t>
        </is>
      </c>
      <c r="D62" s="2" t="inlineStr">
        <is>
          <t>Phương án (2–4) so sánh</t>
        </is>
      </c>
      <c r="E62" s="2" t="inlineStr">
        <is>
          <t>Rẽ nhánh để thử phương án khác song song</t>
        </is>
      </c>
      <c r="F62" s="2" t="inlineStr">
        <is>
          <t>action</t>
        </is>
      </c>
      <c r="G62" s="2" t="inlineStr">
        <is>
          <t>AR02</t>
        </is>
      </c>
      <c r="H62" s="2">
        <f>COUNTIF('Anh xa'!$A$2:$A$725,A62)</f>
        <v/>
      </c>
      <c r="I62" s="2">
        <f>IF(H62&gt;0,"Đã ánh xạ","THIẾU")</f>
        <v/>
      </c>
      <c r="J62" s="6" t="inlineStr">
        <is>
          <t>Chưa làm</t>
        </is>
      </c>
      <c r="K62" s="6" t="inlineStr"/>
    </row>
    <row r="63">
      <c r="A63" s="2" t="inlineStr">
        <is>
          <t>A2.4</t>
        </is>
      </c>
      <c r="B63" s="2" t="n">
        <v>2</v>
      </c>
      <c r="C63" s="2" t="inlineStr">
        <is>
          <t>Tab Yêu cầu &amp; Giải pháp</t>
        </is>
      </c>
      <c r="D63" s="2" t="inlineStr">
        <is>
          <t>Quyết định (ADR)</t>
        </is>
      </c>
      <c r="E63" s="2" t="inlineStr"/>
      <c r="F63" s="2" t="inlineStr">
        <is>
          <t>khối</t>
        </is>
      </c>
      <c r="G63" s="2" t="inlineStr">
        <is>
          <t>AR03</t>
        </is>
      </c>
      <c r="H63" s="2">
        <f>COUNTIF('Anh xa'!$A$2:$A$725,"A2.4")+COUNTIF('Anh xa'!$A$2:$A$725,"A2.4.*")</f>
        <v/>
      </c>
      <c r="I63" s="2">
        <f>IF(H63&gt;0,"Đã ánh xạ","THIẾU")</f>
        <v/>
      </c>
      <c r="J63" s="6" t="inlineStr">
        <is>
          <t>Chưa làm</t>
        </is>
      </c>
      <c r="K63" s="6" t="inlineStr"/>
    </row>
    <row r="64">
      <c r="A64" s="2" t="inlineStr">
        <is>
          <t>A2.4.1</t>
        </is>
      </c>
      <c r="B64" s="2" t="n">
        <v>3</v>
      </c>
      <c r="C64" s="2" t="inlineStr">
        <is>
          <t>Tab Yêu cầu &amp; Giải pháp</t>
        </is>
      </c>
      <c r="D64" s="2" t="inlineStr">
        <is>
          <t>Quyết định (ADR)</t>
        </is>
      </c>
      <c r="E64" s="2" t="inlineStr">
        <is>
          <t>Thẻ ADR: context, options, choice, consequences, ai quyết</t>
        </is>
      </c>
      <c r="F64" s="2" t="inlineStr">
        <is>
          <t>display</t>
        </is>
      </c>
      <c r="G64" s="2" t="inlineStr">
        <is>
          <t>AR03</t>
        </is>
      </c>
      <c r="H64" s="2">
        <f>COUNTIF('Anh xa'!$A$2:$A$725,A64)</f>
        <v/>
      </c>
      <c r="I64" s="2">
        <f>IF(H64&gt;0,"Đã ánh xạ","THIẾU")</f>
        <v/>
      </c>
      <c r="J64" s="6" t="inlineStr">
        <is>
          <t>Chưa làm</t>
        </is>
      </c>
      <c r="K64" s="6" t="inlineStr"/>
    </row>
    <row r="65">
      <c r="A65" s="2" t="inlineStr">
        <is>
          <t>A2.4.2</t>
        </is>
      </c>
      <c r="B65" s="2" t="n">
        <v>3</v>
      </c>
      <c r="C65" s="2" t="inlineStr">
        <is>
          <t>Tab Yêu cầu &amp; Giải pháp</t>
        </is>
      </c>
      <c r="D65" s="2" t="inlineStr">
        <is>
          <t>Quyết định (ADR)</t>
        </is>
      </c>
      <c r="E65" s="2" t="inlineStr">
        <is>
          <t>Sửa/ghi đè quyết định (→ ADR mới có human_act_ref)</t>
        </is>
      </c>
      <c r="F65" s="2" t="inlineStr">
        <is>
          <t>edit</t>
        </is>
      </c>
      <c r="G65" s="2" t="inlineStr">
        <is>
          <t>AR03</t>
        </is>
      </c>
      <c r="H65" s="2">
        <f>COUNTIF('Anh xa'!$A$2:$A$725,A65)</f>
        <v/>
      </c>
      <c r="I65" s="2">
        <f>IF(H65&gt;0,"Đã ánh xạ","THIẾU")</f>
        <v/>
      </c>
      <c r="J65" s="6" t="inlineStr">
        <is>
          <t>Chưa làm</t>
        </is>
      </c>
      <c r="K65" s="6" t="inlineStr"/>
    </row>
    <row r="66">
      <c r="A66" s="2" t="inlineStr">
        <is>
          <t>A2.5</t>
        </is>
      </c>
      <c r="B66" s="2" t="n">
        <v>2</v>
      </c>
      <c r="C66" s="2" t="inlineStr">
        <is>
          <t>Tab Yêu cầu &amp; Giải pháp</t>
        </is>
      </c>
      <c r="D66" s="2" t="inlineStr">
        <is>
          <t>Mâu thuẫn &amp; khả thi vật lý</t>
        </is>
      </c>
      <c r="E66" s="2" t="inlineStr"/>
      <c r="F66" s="2" t="inlineStr">
        <is>
          <t>khối</t>
        </is>
      </c>
      <c r="G66" s="2" t="inlineStr"/>
      <c r="H66" s="2">
        <f>COUNTIF('Anh xa'!$A$2:$A$725,"A2.5")+COUNTIF('Anh xa'!$A$2:$A$725,"A2.5.*")</f>
        <v/>
      </c>
      <c r="I66" s="2">
        <f>IF(H66&gt;0,"Đã ánh xạ","THIẾU")</f>
        <v/>
      </c>
      <c r="J66" s="6" t="inlineStr">
        <is>
          <t>Chưa làm</t>
        </is>
      </c>
      <c r="K66" s="6" t="inlineStr"/>
    </row>
    <row r="67">
      <c r="A67" s="2" t="inlineStr">
        <is>
          <t>A2.5.1</t>
        </is>
      </c>
      <c r="B67" s="2" t="n">
        <v>3</v>
      </c>
      <c r="C67" s="2" t="inlineStr">
        <is>
          <t>Tab Yêu cầu &amp; Giải pháp</t>
        </is>
      </c>
      <c r="D67" s="2" t="inlineStr">
        <is>
          <t>Mâu thuẫn &amp; khả thi vật lý</t>
        </is>
      </c>
      <c r="E67" s="2" t="inlineStr">
        <is>
          <t>Khối 'Mâu thuẫn phát hiện' bằng số có nguồn (băng thông, pin…)</t>
        </is>
      </c>
      <c r="F67" s="2" t="inlineStr">
        <is>
          <t>display</t>
        </is>
      </c>
      <c r="G67" s="2" t="inlineStr"/>
      <c r="H67" s="2">
        <f>COUNTIF('Anh xa'!$A$2:$A$725,A67)</f>
        <v/>
      </c>
      <c r="I67" s="2">
        <f>IF(H67&gt;0,"Đã ánh xạ","THIẾU")</f>
        <v/>
      </c>
      <c r="J67" s="6" t="inlineStr">
        <is>
          <t>Chưa làm</t>
        </is>
      </c>
      <c r="K67" s="6" t="inlineStr"/>
    </row>
    <row r="68">
      <c r="A68" s="2" t="inlineStr">
        <is>
          <t>A2.5.2</t>
        </is>
      </c>
      <c r="B68" s="2" t="n">
        <v>3</v>
      </c>
      <c r="C68" s="2" t="inlineStr">
        <is>
          <t>Tab Yêu cầu &amp; Giải pháp</t>
        </is>
      </c>
      <c r="D68" s="2" t="inlineStr">
        <is>
          <t>Mâu thuẫn &amp; khả thi vật lý</t>
        </is>
      </c>
      <c r="E68" s="2" t="inlineStr">
        <is>
          <t>Đề xuất nới ràng buộc nào</t>
        </is>
      </c>
      <c r="F68" s="2" t="inlineStr">
        <is>
          <t>display</t>
        </is>
      </c>
      <c r="G68" s="2" t="inlineStr"/>
      <c r="H68" s="2">
        <f>COUNTIF('Anh xa'!$A$2:$A$725,A68)</f>
        <v/>
      </c>
      <c r="I68" s="2">
        <f>IF(H68&gt;0,"Đã ánh xạ","THIẾU")</f>
        <v/>
      </c>
      <c r="J68" s="6" t="inlineStr">
        <is>
          <t>Chưa làm</t>
        </is>
      </c>
      <c r="K68" s="6" t="inlineStr"/>
    </row>
    <row r="69">
      <c r="A69" s="2" t="inlineStr">
        <is>
          <t>A2.6</t>
        </is>
      </c>
      <c r="B69" s="2" t="n">
        <v>2</v>
      </c>
      <c r="C69" s="2" t="inlineStr">
        <is>
          <t>Tab Yêu cầu &amp; Giải pháp</t>
        </is>
      </c>
      <c r="D69" s="2" t="inlineStr">
        <is>
          <t>Ma trận truy vết</t>
        </is>
      </c>
      <c r="E69" s="2" t="inlineStr"/>
      <c r="F69" s="2" t="inlineStr">
        <is>
          <t>khối</t>
        </is>
      </c>
      <c r="G69" s="2" t="inlineStr"/>
      <c r="H69" s="2">
        <f>COUNTIF('Anh xa'!$A$2:$A$725,"A2.6")+COUNTIF('Anh xa'!$A$2:$A$725,"A2.6.*")</f>
        <v/>
      </c>
      <c r="I69" s="2">
        <f>IF(H69&gt;0,"Đã ánh xạ","THIẾU")</f>
        <v/>
      </c>
      <c r="J69" s="6" t="inlineStr">
        <is>
          <t>Chưa làm</t>
        </is>
      </c>
      <c r="K69" s="6" t="inlineStr"/>
    </row>
    <row r="70">
      <c r="A70" s="2" t="inlineStr">
        <is>
          <t>A2.6.1</t>
        </is>
      </c>
      <c r="B70" s="2" t="n">
        <v>3</v>
      </c>
      <c r="C70" s="2" t="inlineStr">
        <is>
          <t>Tab Yêu cầu &amp; Giải pháp</t>
        </is>
      </c>
      <c r="D70" s="2" t="inlineStr">
        <is>
          <t>Ma trận truy vết</t>
        </is>
      </c>
      <c r="E70" s="2" t="inlineStr">
        <is>
          <t>REQ ↔ module ↔ mã ↔ test, cột 'đứt ở đâu'</t>
        </is>
      </c>
      <c r="F70" s="2" t="inlineStr">
        <is>
          <t>display</t>
        </is>
      </c>
      <c r="G70" s="2" t="inlineStr"/>
      <c r="H70" s="2">
        <f>COUNTIF('Anh xa'!$A$2:$A$725,A70)</f>
        <v/>
      </c>
      <c r="I70" s="2">
        <f>IF(H70&gt;0,"Đã ánh xạ","THIẾU")</f>
        <v/>
      </c>
      <c r="J70" s="6" t="inlineStr">
        <is>
          <t>Chưa làm</t>
        </is>
      </c>
      <c r="K70" s="6" t="inlineStr"/>
    </row>
    <row r="71">
      <c r="A71" s="7" t="inlineStr">
        <is>
          <t>A3</t>
        </is>
      </c>
      <c r="B71" s="7" t="n">
        <v>1</v>
      </c>
      <c r="C71" s="7" t="inlineStr">
        <is>
          <t>Tab Tài liệu &amp; Nguồn</t>
        </is>
      </c>
      <c r="D71" s="2" t="inlineStr"/>
      <c r="E71" s="2" t="inlineStr"/>
      <c r="F71" s="2" t="inlineStr">
        <is>
          <t>tab</t>
        </is>
      </c>
      <c r="G71" s="2" t="inlineStr"/>
      <c r="H71" s="2">
        <f>COUNTIF('Anh xa'!$A$2:$A$725,"A3.*")</f>
        <v/>
      </c>
      <c r="I71" s="2">
        <f>IF(H71&gt;0,"Đã ánh xạ","THIẾU")</f>
        <v/>
      </c>
      <c r="J71" s="6" t="inlineStr">
        <is>
          <t>Chưa làm</t>
        </is>
      </c>
      <c r="K71" s="6" t="inlineStr"/>
    </row>
    <row r="72">
      <c r="A72" s="2" t="inlineStr">
        <is>
          <t>A3.1</t>
        </is>
      </c>
      <c r="B72" s="2" t="n">
        <v>2</v>
      </c>
      <c r="C72" s="2" t="inlineStr">
        <is>
          <t>Tab Tài liệu &amp; Nguồn</t>
        </is>
      </c>
      <c r="D72" s="2" t="inlineStr">
        <is>
          <t>Nạp tài liệu</t>
        </is>
      </c>
      <c r="E72" s="2" t="inlineStr"/>
      <c r="F72" s="2" t="inlineStr">
        <is>
          <t>khối</t>
        </is>
      </c>
      <c r="G72" s="2" t="inlineStr"/>
      <c r="H72" s="2">
        <f>COUNTIF('Anh xa'!$A$2:$A$725,"A3.1")+COUNTIF('Anh xa'!$A$2:$A$725,"A3.1.*")</f>
        <v/>
      </c>
      <c r="I72" s="2">
        <f>IF(H72&gt;0,"Đã ánh xạ","THIẾU")</f>
        <v/>
      </c>
      <c r="J72" s="6" t="inlineStr">
        <is>
          <t>Chưa làm</t>
        </is>
      </c>
      <c r="K72" s="6" t="inlineStr"/>
    </row>
    <row r="73">
      <c r="A73" s="2" t="inlineStr">
        <is>
          <t>A3.1.1</t>
        </is>
      </c>
      <c r="B73" s="2" t="n">
        <v>3</v>
      </c>
      <c r="C73" s="2" t="inlineStr">
        <is>
          <t>Tab Tài liệu &amp; Nguồn</t>
        </is>
      </c>
      <c r="D73" s="2" t="inlineStr">
        <is>
          <t>Nạp tài liệu</t>
        </is>
      </c>
      <c r="E73" s="2" t="inlineStr">
        <is>
          <t>Kéo thả / chọn tệp (PDF, zip, ảnh, netlist, mã)</t>
        </is>
      </c>
      <c r="F73" s="2" t="inlineStr">
        <is>
          <t>edit</t>
        </is>
      </c>
      <c r="G73" s="2" t="inlineStr"/>
      <c r="H73" s="2">
        <f>COUNTIF('Anh xa'!$A$2:$A$725,A73)</f>
        <v/>
      </c>
      <c r="I73" s="2">
        <f>IF(H73&gt;0,"Đã ánh xạ","THIẾU")</f>
        <v/>
      </c>
      <c r="J73" s="6" t="inlineStr">
        <is>
          <t>Chưa làm</t>
        </is>
      </c>
      <c r="K73" s="6" t="inlineStr"/>
    </row>
    <row r="74">
      <c r="A74" s="2" t="inlineStr">
        <is>
          <t>A3.1.2</t>
        </is>
      </c>
      <c r="B74" s="2" t="n">
        <v>3</v>
      </c>
      <c r="C74" s="2" t="inlineStr">
        <is>
          <t>Tab Tài liệu &amp; Nguồn</t>
        </is>
      </c>
      <c r="D74" s="2" t="inlineStr">
        <is>
          <t>Nạp tài liệu</t>
        </is>
      </c>
      <c r="E74" s="2" t="inlineStr">
        <is>
          <t>Dán URL nguồn riêng</t>
        </is>
      </c>
      <c r="F74" s="2" t="inlineStr">
        <is>
          <t>edit</t>
        </is>
      </c>
      <c r="G74" s="2" t="inlineStr"/>
      <c r="H74" s="2">
        <f>COUNTIF('Anh xa'!$A$2:$A$725,A74)</f>
        <v/>
      </c>
      <c r="I74" s="2">
        <f>IF(H74&gt;0,"Đã ánh xạ","THIẾU")</f>
        <v/>
      </c>
      <c r="J74" s="6" t="inlineStr">
        <is>
          <t>Chưa làm</t>
        </is>
      </c>
      <c r="K74" s="6" t="inlineStr"/>
    </row>
    <row r="75">
      <c r="A75" s="2" t="inlineStr">
        <is>
          <t>A3.1.3</t>
        </is>
      </c>
      <c r="B75" s="2" t="n">
        <v>3</v>
      </c>
      <c r="C75" s="2" t="inlineStr">
        <is>
          <t>Tab Tài liệu &amp; Nguồn</t>
        </is>
      </c>
      <c r="D75" s="2" t="inlineStr">
        <is>
          <t>Nạp tài liệu</t>
        </is>
      </c>
      <c r="E75" s="2" t="inlineStr">
        <is>
          <t>Phân loại tệp theo nội dung + lý do lỗi đúng (Altium không hỗ trợ, tệp hỏng)</t>
        </is>
      </c>
      <c r="F75" s="2" t="inlineStr">
        <is>
          <t>display</t>
        </is>
      </c>
      <c r="G75" s="2" t="inlineStr"/>
      <c r="H75" s="2">
        <f>COUNTIF('Anh xa'!$A$2:$A$725,A75)</f>
        <v/>
      </c>
      <c r="I75" s="2">
        <f>IF(H75&gt;0,"Đã ánh xạ","THIẾU")</f>
        <v/>
      </c>
      <c r="J75" s="6" t="inlineStr">
        <is>
          <t>Chưa làm</t>
        </is>
      </c>
      <c r="K75" s="6" t="inlineStr"/>
    </row>
    <row r="76">
      <c r="A76" s="2" t="inlineStr">
        <is>
          <t>A3.2</t>
        </is>
      </c>
      <c r="B76" s="2" t="n">
        <v>2</v>
      </c>
      <c r="C76" s="2" t="inlineStr">
        <is>
          <t>Tab Tài liệu &amp; Nguồn</t>
        </is>
      </c>
      <c r="D76" s="2" t="inlineStr">
        <is>
          <t>Ứng viên tìm được</t>
        </is>
      </c>
      <c r="E76" s="2" t="inlineStr"/>
      <c r="F76" s="2" t="inlineStr">
        <is>
          <t>khối</t>
        </is>
      </c>
      <c r="G76" s="2" t="inlineStr"/>
      <c r="H76" s="2">
        <f>COUNTIF('Anh xa'!$A$2:$A$725,"A3.2")+COUNTIF('Anh xa'!$A$2:$A$725,"A3.2.*")</f>
        <v/>
      </c>
      <c r="I76" s="2">
        <f>IF(H76&gt;0,"Đã ánh xạ","THIẾU")</f>
        <v/>
      </c>
      <c r="J76" s="6" t="inlineStr">
        <is>
          <t>Chưa làm</t>
        </is>
      </c>
      <c r="K76" s="6" t="inlineStr"/>
    </row>
    <row r="77">
      <c r="A77" s="2" t="inlineStr">
        <is>
          <t>A3.2.1</t>
        </is>
      </c>
      <c r="B77" s="2" t="n">
        <v>3</v>
      </c>
      <c r="C77" s="2" t="inlineStr">
        <is>
          <t>Tab Tài liệu &amp; Nguồn</t>
        </is>
      </c>
      <c r="D77" s="2" t="inlineStr">
        <is>
          <t>Ứng viên tìm được</t>
        </is>
      </c>
      <c r="E77" s="2" t="inlineStr">
        <is>
          <t>Bảng: tiêu đề, URL, nhà phát hành (nhãn nhà sản xuất/bên thứ ba), phiên bản, kích thước, hash</t>
        </is>
      </c>
      <c r="F77" s="2" t="inlineStr">
        <is>
          <t>display</t>
        </is>
      </c>
      <c r="G77" s="2" t="inlineStr"/>
      <c r="H77" s="2">
        <f>COUNTIF('Anh xa'!$A$2:$A$725,A77)</f>
        <v/>
      </c>
      <c r="I77" s="2">
        <f>IF(H77&gt;0,"Đã ánh xạ","THIẾU")</f>
        <v/>
      </c>
      <c r="J77" s="6" t="inlineStr">
        <is>
          <t>Chưa làm</t>
        </is>
      </c>
      <c r="K77" s="6" t="inlineStr"/>
    </row>
    <row r="78">
      <c r="A78" s="2" t="inlineStr">
        <is>
          <t>A3.2.2</t>
        </is>
      </c>
      <c r="B78" s="2" t="n">
        <v>3</v>
      </c>
      <c r="C78" s="2" t="inlineStr">
        <is>
          <t>Tab Tài liệu &amp; Nguồn</t>
        </is>
      </c>
      <c r="D78" s="2" t="inlineStr">
        <is>
          <t>Ứng viên tìm được</t>
        </is>
      </c>
      <c r="E78" s="2" t="inlineStr">
        <is>
          <t>Duyệt / Từ chối từng nguồn (→ thẻ G-DATA)</t>
        </is>
      </c>
      <c r="F78" s="2" t="inlineStr">
        <is>
          <t>action</t>
        </is>
      </c>
      <c r="G78" s="2" t="inlineStr"/>
      <c r="H78" s="2">
        <f>COUNTIF('Anh xa'!$A$2:$A$725,A78)</f>
        <v/>
      </c>
      <c r="I78" s="2">
        <f>IF(H78&gt;0,"Đã ánh xạ","THIẾU")</f>
        <v/>
      </c>
      <c r="J78" s="6" t="inlineStr">
        <is>
          <t>Chưa làm</t>
        </is>
      </c>
      <c r="K78" s="6" t="inlineStr"/>
    </row>
    <row r="79">
      <c r="A79" s="2" t="inlineStr">
        <is>
          <t>A3.2.3</t>
        </is>
      </c>
      <c r="B79" s="2" t="n">
        <v>3</v>
      </c>
      <c r="C79" s="2" t="inlineStr">
        <is>
          <t>Tab Tài liệu &amp; Nguồn</t>
        </is>
      </c>
      <c r="D79" s="2" t="inlineStr">
        <is>
          <t>Ứng viên tìm được</t>
        </is>
      </c>
      <c r="E79" s="2" t="inlineStr">
        <is>
          <t>Không tìm thấy — khối riêng, đề xuất thay thế/xin tệp</t>
        </is>
      </c>
      <c r="F79" s="2" t="inlineStr">
        <is>
          <t>display</t>
        </is>
      </c>
      <c r="G79" s="2" t="inlineStr"/>
      <c r="H79" s="2">
        <f>COUNTIF('Anh xa'!$A$2:$A$725,A79)</f>
        <v/>
      </c>
      <c r="I79" s="2">
        <f>IF(H79&gt;0,"Đã ánh xạ","THIẾU")</f>
        <v/>
      </c>
      <c r="J79" s="6" t="inlineStr">
        <is>
          <t>Chưa làm</t>
        </is>
      </c>
      <c r="K79" s="6" t="inlineStr"/>
    </row>
    <row r="80">
      <c r="A80" s="2" t="inlineStr">
        <is>
          <t>A3.3</t>
        </is>
      </c>
      <c r="B80" s="2" t="n">
        <v>2</v>
      </c>
      <c r="C80" s="2" t="inlineStr">
        <is>
          <t>Tab Tài liệu &amp; Nguồn</t>
        </is>
      </c>
      <c r="D80" s="2" t="inlineStr">
        <is>
          <t>Trích xuất</t>
        </is>
      </c>
      <c r="E80" s="2" t="inlineStr"/>
      <c r="F80" s="2" t="inlineStr">
        <is>
          <t>khối</t>
        </is>
      </c>
      <c r="G80" s="2" t="inlineStr"/>
      <c r="H80" s="2">
        <f>COUNTIF('Anh xa'!$A$2:$A$725,"A3.3")+COUNTIF('Anh xa'!$A$2:$A$725,"A3.3.*")</f>
        <v/>
      </c>
      <c r="I80" s="2">
        <f>IF(H80&gt;0,"Đã ánh xạ","THIẾU")</f>
        <v/>
      </c>
      <c r="J80" s="6" t="inlineStr">
        <is>
          <t>Chưa làm</t>
        </is>
      </c>
      <c r="K80" s="6" t="inlineStr"/>
    </row>
    <row r="81">
      <c r="A81" s="2" t="inlineStr">
        <is>
          <t>A3.3.1</t>
        </is>
      </c>
      <c r="B81" s="2" t="n">
        <v>3</v>
      </c>
      <c r="C81" s="2" t="inlineStr">
        <is>
          <t>Tab Tài liệu &amp; Nguồn</t>
        </is>
      </c>
      <c r="D81" s="2" t="inlineStr">
        <is>
          <t>Trích xuất</t>
        </is>
      </c>
      <c r="E81" s="2" t="inlineStr">
        <is>
          <t>Tiến trình: trang, bảng, OCR (điểm tin cậy), Fact ứng viên</t>
        </is>
      </c>
      <c r="F81" s="2" t="inlineStr">
        <is>
          <t>display</t>
        </is>
      </c>
      <c r="G81" s="2" t="inlineStr"/>
      <c r="H81" s="2">
        <f>COUNTIF('Anh xa'!$A$2:$A$725,A81)</f>
        <v/>
      </c>
      <c r="I81" s="2">
        <f>IF(H81&gt;0,"Đã ánh xạ","THIẾU")</f>
        <v/>
      </c>
      <c r="J81" s="6" t="inlineStr">
        <is>
          <t>Chưa làm</t>
        </is>
      </c>
      <c r="K81" s="6" t="inlineStr"/>
    </row>
    <row r="82">
      <c r="A82" s="2" t="inlineStr">
        <is>
          <t>A3.3.2</t>
        </is>
      </c>
      <c r="B82" s="2" t="n">
        <v>3</v>
      </c>
      <c r="C82" s="2" t="inlineStr">
        <is>
          <t>Tab Tài liệu &amp; Nguồn</t>
        </is>
      </c>
      <c r="D82" s="2" t="inlineStr">
        <is>
          <t>Trích xuất</t>
        </is>
      </c>
      <c r="E82" s="2" t="inlineStr">
        <is>
          <t>Cảnh báo đỏ P-INJ (nội dung chứa chỉ dẫn lạ)</t>
        </is>
      </c>
      <c r="F82" s="2" t="inlineStr">
        <is>
          <t>display</t>
        </is>
      </c>
      <c r="G82" s="2" t="inlineStr"/>
      <c r="H82" s="2">
        <f>COUNTIF('Anh xa'!$A$2:$A$725,A82)</f>
        <v/>
      </c>
      <c r="I82" s="2">
        <f>IF(H82&gt;0,"Đã ánh xạ","THIẾU")</f>
        <v/>
      </c>
      <c r="J82" s="6" t="inlineStr">
        <is>
          <t>Chưa làm</t>
        </is>
      </c>
      <c r="K82" s="6" t="inlineStr"/>
    </row>
    <row r="83">
      <c r="A83" s="2" t="inlineStr">
        <is>
          <t>A3.4</t>
        </is>
      </c>
      <c r="B83" s="2" t="n">
        <v>2</v>
      </c>
      <c r="C83" s="2" t="inlineStr">
        <is>
          <t>Tab Tài liệu &amp; Nguồn</t>
        </is>
      </c>
      <c r="D83" s="2" t="inlineStr">
        <is>
          <t>Phiên bản tài liệu</t>
        </is>
      </c>
      <c r="E83" s="2" t="inlineStr"/>
      <c r="F83" s="2" t="inlineStr">
        <is>
          <t>khối</t>
        </is>
      </c>
      <c r="G83" s="2" t="inlineStr">
        <is>
          <t>AR05</t>
        </is>
      </c>
      <c r="H83" s="2">
        <f>COUNTIF('Anh xa'!$A$2:$A$725,"A3.4")+COUNTIF('Anh xa'!$A$2:$A$725,"A3.4.*")</f>
        <v/>
      </c>
      <c r="I83" s="2">
        <f>IF(H83&gt;0,"Đã ánh xạ","THIẾU")</f>
        <v/>
      </c>
      <c r="J83" s="6" t="inlineStr">
        <is>
          <t>Chưa làm</t>
        </is>
      </c>
      <c r="K83" s="6" t="inlineStr"/>
    </row>
    <row r="84">
      <c r="A84" s="2" t="inlineStr">
        <is>
          <t>A3.4.1</t>
        </is>
      </c>
      <c r="B84" s="2" t="n">
        <v>3</v>
      </c>
      <c r="C84" s="2" t="inlineStr">
        <is>
          <t>Tab Tài liệu &amp; Nguồn</t>
        </is>
      </c>
      <c r="D84" s="2" t="inlineStr">
        <is>
          <t>Phiên bản tài liệu</t>
        </is>
      </c>
      <c r="E84" s="2" t="inlineStr">
        <is>
          <t>Bảng khác biệt giữa hai phiên bản theo key; chọn bản dùng</t>
        </is>
      </c>
      <c r="F84" s="2" t="inlineStr">
        <is>
          <t>edit</t>
        </is>
      </c>
      <c r="G84" s="2" t="inlineStr">
        <is>
          <t>AR05</t>
        </is>
      </c>
      <c r="H84" s="2">
        <f>COUNTIF('Anh xa'!$A$2:$A$725,A84)</f>
        <v/>
      </c>
      <c r="I84" s="2">
        <f>IF(H84&gt;0,"Đã ánh xạ","THIẾU")</f>
        <v/>
      </c>
      <c r="J84" s="6" t="inlineStr">
        <is>
          <t>Chưa làm</t>
        </is>
      </c>
      <c r="K84" s="6" t="inlineStr"/>
    </row>
    <row r="85">
      <c r="A85" s="2" t="inlineStr">
        <is>
          <t>A3.4.2</t>
        </is>
      </c>
      <c r="B85" s="2" t="n">
        <v>3</v>
      </c>
      <c r="C85" s="2" t="inlineStr">
        <is>
          <t>Tab Tài liệu &amp; Nguồn</t>
        </is>
      </c>
      <c r="D85" s="2" t="inlineStr">
        <is>
          <t>Phiên bản tài liệu</t>
        </is>
      </c>
      <c r="E85" s="2" t="inlineStr">
        <is>
          <t>Errata áp dụng (supersedes)</t>
        </is>
      </c>
      <c r="F85" s="2" t="inlineStr">
        <is>
          <t>display</t>
        </is>
      </c>
      <c r="G85" s="2" t="inlineStr">
        <is>
          <t>AR05</t>
        </is>
      </c>
      <c r="H85" s="2">
        <f>COUNTIF('Anh xa'!$A$2:$A$725,A85)</f>
        <v/>
      </c>
      <c r="I85" s="2">
        <f>IF(H85&gt;0,"Đã ánh xạ","THIẾU")</f>
        <v/>
      </c>
      <c r="J85" s="6" t="inlineStr">
        <is>
          <t>Chưa làm</t>
        </is>
      </c>
      <c r="K85" s="6" t="inlineStr"/>
    </row>
    <row r="86">
      <c r="A86" s="2" t="inlineStr">
        <is>
          <t>A3.6</t>
        </is>
      </c>
      <c r="B86" s="2" t="n">
        <v>2</v>
      </c>
      <c r="C86" s="2" t="inlineStr">
        <is>
          <t>Tab Tài liệu &amp; Nguồn</t>
        </is>
      </c>
      <c r="D86" s="2" t="inlineStr">
        <is>
          <t>Nạp &amp; trích xuất theo định dạng (ING-43)</t>
        </is>
      </c>
      <c r="E86" s="2" t="inlineStr"/>
      <c r="F86" s="2" t="inlineStr">
        <is>
          <t>khối</t>
        </is>
      </c>
      <c r="G86" s="2" t="inlineStr"/>
      <c r="H86" s="2">
        <f>COUNTIF('Anh xa'!$A$2:$A$725,"A3.6")+COUNTIF('Anh xa'!$A$2:$A$725,"A3.6.*")</f>
        <v/>
      </c>
      <c r="I86" s="2">
        <f>IF(H86&gt;0,"Đã ánh xạ","THIẾU")</f>
        <v/>
      </c>
      <c r="J86" s="6" t="inlineStr">
        <is>
          <t>Chưa làm</t>
        </is>
      </c>
      <c r="K86" s="6" t="inlineStr"/>
    </row>
    <row r="87">
      <c r="A87" s="2" t="inlineStr">
        <is>
          <t>A3.6.1</t>
        </is>
      </c>
      <c r="B87" s="2" t="n">
        <v>3</v>
      </c>
      <c r="C87" s="2" t="inlineStr">
        <is>
          <t>Tab Tài liệu &amp; Nguồn</t>
        </is>
      </c>
      <c r="D87" s="2" t="inlineStr">
        <is>
          <t>Nạp &amp; trích xuất theo định dạng (ING-43)</t>
        </is>
      </c>
      <c r="E87" s="2" t="inlineStr">
        <is>
          <t>Cây tệp sau phân loại: loại, độ tin cậy, lý do, mức hỗ trợ + gợi ý thay thế</t>
        </is>
      </c>
      <c r="F87" s="2" t="inlineStr">
        <is>
          <t>display</t>
        </is>
      </c>
      <c r="G87" s="2" t="inlineStr"/>
      <c r="H87" s="2">
        <f>COUNTIF('Anh xa'!$A$2:$A$725,A87)</f>
        <v/>
      </c>
      <c r="I87" s="2">
        <f>IF(H87&gt;0,"Đã ánh xạ","THIẾU")</f>
        <v/>
      </c>
      <c r="J87" s="6" t="inlineStr">
        <is>
          <t>Chưa làm</t>
        </is>
      </c>
      <c r="K87" s="6" t="inlineStr"/>
    </row>
    <row r="88">
      <c r="A88" s="2" t="inlineStr">
        <is>
          <t>A3.6.2</t>
        </is>
      </c>
      <c r="B88" s="2" t="n">
        <v>3</v>
      </c>
      <c r="C88" s="2" t="inlineStr">
        <is>
          <t>Tab Tài liệu &amp; Nguồn</t>
        </is>
      </c>
      <c r="D88" s="2" t="inlineStr">
        <is>
          <t>Nạp &amp; trích xuất theo định dạng (ING-43)</t>
        </is>
      </c>
      <c r="E88" s="2" t="inlineStr">
        <is>
          <t>Chọn tệp nào nạp khi archive &gt; 20 tệp; chống zip bomb</t>
        </is>
      </c>
      <c r="F88" s="2" t="inlineStr">
        <is>
          <t>edit</t>
        </is>
      </c>
      <c r="G88" s="2" t="inlineStr"/>
      <c r="H88" s="2">
        <f>COUNTIF('Anh xa'!$A$2:$A$725,A88)</f>
        <v/>
      </c>
      <c r="I88" s="2">
        <f>IF(H88&gt;0,"Đã ánh xạ","THIẾU")</f>
        <v/>
      </c>
      <c r="J88" s="6" t="inlineStr">
        <is>
          <t>Chưa làm</t>
        </is>
      </c>
      <c r="K88" s="6" t="inlineStr"/>
    </row>
    <row r="89">
      <c r="A89" s="2" t="inlineStr">
        <is>
          <t>A3.6.3</t>
        </is>
      </c>
      <c r="B89" s="2" t="n">
        <v>3</v>
      </c>
      <c r="C89" s="2" t="inlineStr">
        <is>
          <t>Tab Tài liệu &amp; Nguồn</t>
        </is>
      </c>
      <c r="D89" s="2" t="inlineStr">
        <is>
          <t>Nạp &amp; trích xuất theo định dạng (ING-43)</t>
        </is>
      </c>
      <c r="E89" s="2" t="inlineStr">
        <is>
          <t>Xem Office theo cây tiêu đề / sheet / slide; trích dẫn heading/ô/slide</t>
        </is>
      </c>
      <c r="F89" s="2" t="inlineStr">
        <is>
          <t>display</t>
        </is>
      </c>
      <c r="G89" s="2" t="inlineStr"/>
      <c r="H89" s="2">
        <f>COUNTIF('Anh xa'!$A$2:$A$725,A89)</f>
        <v/>
      </c>
      <c r="I89" s="2">
        <f>IF(H89&gt;0,"Đã ánh xạ","THIẾU")</f>
        <v/>
      </c>
      <c r="J89" s="6" t="inlineStr">
        <is>
          <t>Chưa làm</t>
        </is>
      </c>
      <c r="K89" s="6" t="inlineStr"/>
    </row>
    <row r="90">
      <c r="A90" s="2" t="inlineStr">
        <is>
          <t>A3.6.4</t>
        </is>
      </c>
      <c r="B90" s="2" t="n">
        <v>3</v>
      </c>
      <c r="C90" s="2" t="inlineStr">
        <is>
          <t>Tab Tài liệu &amp; Nguồn</t>
        </is>
      </c>
      <c r="D90" s="2" t="inlineStr">
        <is>
          <t>Nạp &amp; trích xuất theo định dạng (ING-43)</t>
        </is>
      </c>
      <c r="E90" s="2" t="inlineStr">
        <is>
          <t>Bảng Fact ứng viên từ Office/Markdown/HTML với cột nguồn (Sheet!ô, Bảng#)</t>
        </is>
      </c>
      <c r="F90" s="2" t="inlineStr">
        <is>
          <t>display</t>
        </is>
      </c>
      <c r="G90" s="2" t="inlineStr"/>
      <c r="H90" s="2">
        <f>COUNTIF('Anh xa'!$A$2:$A$725,A90)</f>
        <v/>
      </c>
      <c r="I90" s="2">
        <f>IF(H90&gt;0,"Đã ánh xạ","THIẾU")</f>
        <v/>
      </c>
      <c r="J90" s="6" t="inlineStr">
        <is>
          <t>Chưa làm</t>
        </is>
      </c>
      <c r="K90" s="6" t="inlineStr"/>
    </row>
    <row r="91">
      <c r="A91" s="2" t="inlineStr">
        <is>
          <t>A3.6.5</t>
        </is>
      </c>
      <c r="B91" s="2" t="n">
        <v>3</v>
      </c>
      <c r="C91" s="2" t="inlineStr">
        <is>
          <t>Tab Tài liệu &amp; Nguồn</t>
        </is>
      </c>
      <c r="D91" s="2" t="inlineStr">
        <is>
          <t>Nạp &amp; trích xuất theo định dạng (ING-43)</t>
        </is>
      </c>
      <c r="E91" s="2" t="inlineStr">
        <is>
          <t>Fact CẤU HÌNH (.ioc/.dts/.ld/map) tầng riêng + cảnh báo mâu thuẫn với datasheet</t>
        </is>
      </c>
      <c r="F91" s="2" t="inlineStr">
        <is>
          <t>display</t>
        </is>
      </c>
      <c r="G91" s="2" t="inlineStr"/>
      <c r="H91" s="2">
        <f>COUNTIF('Anh xa'!$A$2:$A$725,A91)</f>
        <v/>
      </c>
      <c r="I91" s="2">
        <f>IF(H91&gt;0,"Đã ánh xạ","THIẾU")</f>
        <v/>
      </c>
      <c r="J91" s="6" t="inlineStr">
        <is>
          <t>Chưa làm</t>
        </is>
      </c>
      <c r="K91" s="6" t="inlineStr"/>
    </row>
    <row r="92">
      <c r="A92" s="2" t="inlineStr">
        <is>
          <t>A3.6.6</t>
        </is>
      </c>
      <c r="B92" s="2" t="n">
        <v>3</v>
      </c>
      <c r="C92" s="2" t="inlineStr">
        <is>
          <t>Tab Tài liệu &amp; Nguồn</t>
        </is>
      </c>
      <c r="D92" s="2" t="inlineStr">
        <is>
          <t>Nạp &amp; trích xuất theo định dạng (ING-43)</t>
        </is>
      </c>
      <c r="E92" s="2" t="inlineStr">
        <is>
          <t>Hình trong tài liệu: ảnh + caption + OCR; nút 'Nhờ tác tử đọc hình' (ĐỒNG)</t>
        </is>
      </c>
      <c r="F92" s="2" t="inlineStr">
        <is>
          <t>action</t>
        </is>
      </c>
      <c r="G92" s="2" t="inlineStr"/>
      <c r="H92" s="2">
        <f>COUNTIF('Anh xa'!$A$2:$A$725,A92)</f>
        <v/>
      </c>
      <c r="I92" s="2">
        <f>IF(H92&gt;0,"Đã ánh xạ","THIẾU")</f>
        <v/>
      </c>
      <c r="J92" s="6" t="inlineStr">
        <is>
          <t>Chưa làm</t>
        </is>
      </c>
      <c r="K92" s="6" t="inlineStr"/>
    </row>
    <row r="93">
      <c r="A93" s="2" t="inlineStr">
        <is>
          <t>A3.6.7</t>
        </is>
      </c>
      <c r="B93" s="2" t="n">
        <v>3</v>
      </c>
      <c r="C93" s="2" t="inlineStr">
        <is>
          <t>Tab Tài liệu &amp; Nguồn</t>
        </is>
      </c>
      <c r="D93" s="2" t="inlineStr">
        <is>
          <t>Nạp &amp; trích xuất theo định dạng (ING-43)</t>
        </is>
      </c>
      <c r="E93" s="2" t="inlineStr">
        <is>
          <t>Bảng khác biệt chéo nguồn (v1/v2, datasheet/.ld, BOM/netlist) + chọn bản</t>
        </is>
      </c>
      <c r="F93" s="2" t="inlineStr">
        <is>
          <t>edit</t>
        </is>
      </c>
      <c r="G93" s="2" t="inlineStr"/>
      <c r="H93" s="2">
        <f>COUNTIF('Anh xa'!$A$2:$A$725,A93)</f>
        <v/>
      </c>
      <c r="I93" s="2">
        <f>IF(H93&gt;0,"Đã ánh xạ","THIẾU")</f>
        <v/>
      </c>
      <c r="J93" s="6" t="inlineStr">
        <is>
          <t>Chưa làm</t>
        </is>
      </c>
      <c r="K93" s="6" t="inlineStr"/>
    </row>
    <row r="94">
      <c r="A94" s="2" t="inlineStr">
        <is>
          <t>A3.6.8</t>
        </is>
      </c>
      <c r="B94" s="2" t="n">
        <v>3</v>
      </c>
      <c r="C94" s="2" t="inlineStr">
        <is>
          <t>Tab Tài liệu &amp; Nguồn</t>
        </is>
      </c>
      <c r="D94" s="2" t="inlineStr">
        <is>
          <t>Nạp &amp; trích xuất theo định dạng (ING-43)</t>
        </is>
      </c>
      <c r="E94" s="2" t="inlineStr">
        <is>
          <t>Giá trị chuẩn hoá + chuỗi gốc (4R7 → 4,7 Ω)</t>
        </is>
      </c>
      <c r="F94" s="2" t="inlineStr">
        <is>
          <t>display</t>
        </is>
      </c>
      <c r="G94" s="2" t="inlineStr"/>
      <c r="H94" s="2">
        <f>COUNTIF('Anh xa'!$A$2:$A$725,A94)</f>
        <v/>
      </c>
      <c r="I94" s="2">
        <f>IF(H94&gt;0,"Đã ánh xạ","THIẾU")</f>
        <v/>
      </c>
      <c r="J94" s="6" t="inlineStr">
        <is>
          <t>Chưa làm</t>
        </is>
      </c>
      <c r="K94" s="6" t="inlineStr"/>
    </row>
    <row r="95">
      <c r="A95" s="2" t="inlineStr">
        <is>
          <t>A3.6.9</t>
        </is>
      </c>
      <c r="B95" s="2" t="n">
        <v>3</v>
      </c>
      <c r="C95" s="2" t="inlineStr">
        <is>
          <t>Tab Tài liệu &amp; Nguồn</t>
        </is>
      </c>
      <c r="D95" s="2" t="inlineStr">
        <is>
          <t>Nạp &amp; trích xuất theo định dạng (ING-43)</t>
        </is>
      </c>
      <c r="E95" s="2" t="inlineStr">
        <is>
          <t>Ngôn ngữ tài liệu + gói OCR; chọn lại</t>
        </is>
      </c>
      <c r="F95" s="2" t="inlineStr">
        <is>
          <t>edit</t>
        </is>
      </c>
      <c r="G95" s="2" t="inlineStr"/>
      <c r="H95" s="2">
        <f>COUNTIF('Anh xa'!$A$2:$A$725,A95)</f>
        <v/>
      </c>
      <c r="I95" s="2">
        <f>IF(H95&gt;0,"Đã ánh xạ","THIẾU")</f>
        <v/>
      </c>
      <c r="J95" s="6" t="inlineStr">
        <is>
          <t>Chưa làm</t>
        </is>
      </c>
      <c r="K95" s="6" t="inlineStr"/>
    </row>
    <row r="96">
      <c r="A96" s="2" t="inlineStr">
        <is>
          <t>A3.6.10</t>
        </is>
      </c>
      <c r="B96" s="2" t="n">
        <v>3</v>
      </c>
      <c r="C96" s="2" t="inlineStr">
        <is>
          <t>Tab Tài liệu &amp; Nguồn</t>
        </is>
      </c>
      <c r="D96" s="2" t="inlineStr">
        <is>
          <t>Nạp &amp; trích xuất theo định dạng (ING-43)</t>
        </is>
      </c>
      <c r="E96" s="2" t="inlineStr">
        <is>
          <t>Lỗi E1001–E1008 với gợi ý định dạng thay thế (Altium → netlist/PDF)</t>
        </is>
      </c>
      <c r="F96" s="2" t="inlineStr">
        <is>
          <t>display</t>
        </is>
      </c>
      <c r="G96" s="2" t="inlineStr"/>
      <c r="H96" s="2">
        <f>COUNTIF('Anh xa'!$A$2:$A$725,A96)</f>
        <v/>
      </c>
      <c r="I96" s="2">
        <f>IF(H96&gt;0,"Đã ánh xạ","THIẾU")</f>
        <v/>
      </c>
      <c r="J96" s="6" t="inlineStr">
        <is>
          <t>Chưa làm</t>
        </is>
      </c>
      <c r="K96" s="6" t="inlineStr"/>
    </row>
    <row r="97">
      <c r="A97" s="2" t="inlineStr">
        <is>
          <t>A3.6.11</t>
        </is>
      </c>
      <c r="B97" s="2" t="n">
        <v>3</v>
      </c>
      <c r="C97" s="2" t="inlineStr">
        <is>
          <t>Tab Tài liệu &amp; Nguồn</t>
        </is>
      </c>
      <c r="D97" s="2" t="inlineStr">
        <is>
          <t>Nạp &amp; trích xuất theo định dạng (ING-43)</t>
        </is>
      </c>
      <c r="E97" s="2" t="inlineStr">
        <is>
          <t>Tiến trình OCR nền cho tài liệu lớn; giới hạn kích thước/trang</t>
        </is>
      </c>
      <c r="F97" s="2" t="inlineStr">
        <is>
          <t>display</t>
        </is>
      </c>
      <c r="G97" s="2" t="inlineStr"/>
      <c r="H97" s="2">
        <f>COUNTIF('Anh xa'!$A$2:$A$725,A97)</f>
        <v/>
      </c>
      <c r="I97" s="2">
        <f>IF(H97&gt;0,"Đã ánh xạ","THIẾU")</f>
        <v/>
      </c>
      <c r="J97" s="6" t="inlineStr">
        <is>
          <t>Chưa làm</t>
        </is>
      </c>
      <c r="K97" s="6" t="inlineStr"/>
    </row>
    <row r="98">
      <c r="A98" s="2" t="inlineStr">
        <is>
          <t>A3.6.12</t>
        </is>
      </c>
      <c r="B98" s="2" t="n">
        <v>3</v>
      </c>
      <c r="C98" s="2" t="inlineStr">
        <is>
          <t>Tab Tài liệu &amp; Nguồn</t>
        </is>
      </c>
      <c r="D98" s="2" t="inlineStr">
        <is>
          <t>Nạp &amp; trích xuất theo định dạng (ING-43)</t>
        </is>
      </c>
      <c r="E98" s="2" t="inlineStr">
        <is>
          <t>Cảnh báo untrusted/P-INJ; macro bị bỏ qua (E1006)</t>
        </is>
      </c>
      <c r="F98" s="2" t="inlineStr">
        <is>
          <t>display</t>
        </is>
      </c>
      <c r="G98" s="2" t="inlineStr"/>
      <c r="H98" s="2">
        <f>COUNTIF('Anh xa'!$A$2:$A$725,A98)</f>
        <v/>
      </c>
      <c r="I98" s="2">
        <f>IF(H98&gt;0,"Đã ánh xạ","THIẾU")</f>
        <v/>
      </c>
      <c r="J98" s="6" t="inlineStr">
        <is>
          <t>Chưa làm</t>
        </is>
      </c>
      <c r="K98" s="6" t="inlineStr"/>
    </row>
    <row r="99">
      <c r="A99" s="2" t="inlineStr">
        <is>
          <t>A3.6.13</t>
        </is>
      </c>
      <c r="B99" s="2" t="n">
        <v>3</v>
      </c>
      <c r="C99" s="2" t="inlineStr">
        <is>
          <t>Tab Tài liệu &amp; Nguồn</t>
        </is>
      </c>
      <c r="D99" s="2" t="inlineStr">
        <is>
          <t>Nạp &amp; trích xuất theo định dạng (ING-43)</t>
        </is>
      </c>
      <c r="E99" s="2" t="inlineStr">
        <is>
          <t>Chuyển .docx → PDF phái sinh (cùng doc_id) để có số trang</t>
        </is>
      </c>
      <c r="F99" s="2" t="inlineStr">
        <is>
          <t>action</t>
        </is>
      </c>
      <c r="G99" s="2" t="inlineStr"/>
      <c r="H99" s="2">
        <f>COUNTIF('Anh xa'!$A$2:$A$725,A99)</f>
        <v/>
      </c>
      <c r="I99" s="2">
        <f>IF(H99&gt;0,"Đã ánh xạ","THIẾU")</f>
        <v/>
      </c>
      <c r="J99" s="6" t="inlineStr">
        <is>
          <t>Chưa làm</t>
        </is>
      </c>
      <c r="K99" s="6" t="inlineStr"/>
    </row>
    <row r="100">
      <c r="A100" s="2" t="inlineStr">
        <is>
          <t>A3.6.14</t>
        </is>
      </c>
      <c r="B100" s="2" t="n">
        <v>3</v>
      </c>
      <c r="C100" s="2" t="inlineStr">
        <is>
          <t>Tab Tài liệu &amp; Nguồn</t>
        </is>
      </c>
      <c r="D100" s="2" t="inlineStr">
        <is>
          <t>Nạp &amp; trích xuất theo định dạng (ING-43)</t>
        </is>
      </c>
      <c r="E100" s="2" t="inlineStr">
        <is>
          <t>Tầng theo nguồn: nhãn 'bên thứ ba', 'Office tự viết → NGƯỜI'; hằng số mã → ĐỒNG-mã</t>
        </is>
      </c>
      <c r="F100" s="2" t="inlineStr">
        <is>
          <t>display</t>
        </is>
      </c>
      <c r="G100" s="2" t="inlineStr"/>
      <c r="H100" s="2">
        <f>COUNTIF('Anh xa'!$A$2:$A$725,A100)</f>
        <v/>
      </c>
      <c r="I100" s="2">
        <f>IF(H100&gt;0,"Đã ánh xạ","THIẾU")</f>
        <v/>
      </c>
      <c r="J100" s="6" t="inlineStr">
        <is>
          <t>Chưa làm</t>
        </is>
      </c>
      <c r="K100" s="6" t="inlineStr"/>
    </row>
    <row r="101">
      <c r="A101" s="2" t="inlineStr">
        <is>
          <t>A3.5</t>
        </is>
      </c>
      <c r="B101" s="2" t="n">
        <v>2</v>
      </c>
      <c r="C101" s="2" t="inlineStr">
        <is>
          <t>Tab Tài liệu &amp; Nguồn</t>
        </is>
      </c>
      <c r="D101" s="2" t="inlineStr">
        <is>
          <t>Hỏi đáp tài liệu</t>
        </is>
      </c>
      <c r="E101" s="2" t="inlineStr"/>
      <c r="F101" s="2" t="inlineStr">
        <is>
          <t>khối</t>
        </is>
      </c>
      <c r="G101" s="2" t="inlineStr"/>
      <c r="H101" s="2">
        <f>COUNTIF('Anh xa'!$A$2:$A$725,"A3.5")+COUNTIF('Anh xa'!$A$2:$A$725,"A3.5.*")</f>
        <v/>
      </c>
      <c r="I101" s="2">
        <f>IF(H101&gt;0,"Đã ánh xạ","THIẾU")</f>
        <v/>
      </c>
      <c r="J101" s="6" t="inlineStr">
        <is>
          <t>Chưa làm</t>
        </is>
      </c>
      <c r="K101" s="6" t="inlineStr"/>
    </row>
    <row r="102">
      <c r="A102" s="2" t="inlineStr">
        <is>
          <t>A3.5.1</t>
        </is>
      </c>
      <c r="B102" s="2" t="n">
        <v>3</v>
      </c>
      <c r="C102" s="2" t="inlineStr">
        <is>
          <t>Tab Tài liệu &amp; Nguồn</t>
        </is>
      </c>
      <c r="D102" s="2" t="inlineStr">
        <is>
          <t>Hỏi đáp tài liệu</t>
        </is>
      </c>
      <c r="E102" s="2" t="inlineStr">
        <is>
          <t>Hỏi → trả lời kèm trang/mục/phiên bản; 'không có trong tài liệu' tách rõ tri thức chung</t>
        </is>
      </c>
      <c r="F102" s="2" t="inlineStr">
        <is>
          <t>display</t>
        </is>
      </c>
      <c r="G102" s="2" t="inlineStr"/>
      <c r="H102" s="2">
        <f>COUNTIF('Anh xa'!$A$2:$A$725,A102)</f>
        <v/>
      </c>
      <c r="I102" s="2">
        <f>IF(H102&gt;0,"Đã ánh xạ","THIẾU")</f>
        <v/>
      </c>
      <c r="J102" s="6" t="inlineStr">
        <is>
          <t>Chưa làm</t>
        </is>
      </c>
      <c r="K102" s="6" t="inlineStr"/>
    </row>
    <row r="103">
      <c r="A103" s="7" t="inlineStr">
        <is>
          <t>A4</t>
        </is>
      </c>
      <c r="B103" s="7" t="n">
        <v>1</v>
      </c>
      <c r="C103" s="7" t="inlineStr">
        <is>
          <t>Tab Tri thức mạch</t>
        </is>
      </c>
      <c r="D103" s="2" t="inlineStr"/>
      <c r="E103" s="2" t="inlineStr"/>
      <c r="F103" s="2" t="inlineStr">
        <is>
          <t>tab</t>
        </is>
      </c>
      <c r="G103" s="2" t="inlineStr"/>
      <c r="H103" s="2">
        <f>COUNTIF('Anh xa'!$A$2:$A$725,"A4.*")</f>
        <v/>
      </c>
      <c r="I103" s="2">
        <f>IF(H103&gt;0,"Đã ánh xạ","THIẾU")</f>
        <v/>
      </c>
      <c r="J103" s="6" t="inlineStr">
        <is>
          <t>Chưa làm</t>
        </is>
      </c>
      <c r="K103" s="6" t="inlineStr"/>
    </row>
    <row r="104">
      <c r="A104" s="2" t="inlineStr">
        <is>
          <t>A4.1</t>
        </is>
      </c>
      <c r="B104" s="2" t="n">
        <v>2</v>
      </c>
      <c r="C104" s="2" t="inlineStr">
        <is>
          <t>Tab Tri thức mạch</t>
        </is>
      </c>
      <c r="D104" s="2" t="inlineStr">
        <is>
          <t>Hộ chiếu chip</t>
        </is>
      </c>
      <c r="E104" s="2" t="inlineStr"/>
      <c r="F104" s="2" t="inlineStr">
        <is>
          <t>khối</t>
        </is>
      </c>
      <c r="G104" s="2" t="inlineStr">
        <is>
          <t>AR05</t>
        </is>
      </c>
      <c r="H104" s="2">
        <f>COUNTIF('Anh xa'!$A$2:$A$725,"A4.1")+COUNTIF('Anh xa'!$A$2:$A$725,"A4.1.*")</f>
        <v/>
      </c>
      <c r="I104" s="2">
        <f>IF(H104&gt;0,"Đã ánh xạ","THIẾU")</f>
        <v/>
      </c>
      <c r="J104" s="6" t="inlineStr">
        <is>
          <t>Chưa làm</t>
        </is>
      </c>
      <c r="K104" s="6" t="inlineStr"/>
    </row>
    <row r="105">
      <c r="A105" s="2" t="inlineStr">
        <is>
          <t>A4.1.1</t>
        </is>
      </c>
      <c r="B105" s="2" t="n">
        <v>3</v>
      </c>
      <c r="C105" s="2" t="inlineStr">
        <is>
          <t>Tab Tri thức mạch</t>
        </is>
      </c>
      <c r="D105" s="2" t="inlineStr">
        <is>
          <t>Hộ chiếu chip</t>
        </is>
      </c>
      <c r="E105" s="2" t="inlineStr">
        <is>
          <t>kv: họ, ISA, Flash/RAM, VDD, gói, tài liệu (phiên bản), số Fact theo tầng; ISA có toolchain chưa</t>
        </is>
      </c>
      <c r="F105" s="2" t="inlineStr">
        <is>
          <t>display</t>
        </is>
      </c>
      <c r="G105" s="2" t="inlineStr">
        <is>
          <t>AR05</t>
        </is>
      </c>
      <c r="H105" s="2">
        <f>COUNTIF('Anh xa'!$A$2:$A$725,A105)</f>
        <v/>
      </c>
      <c r="I105" s="2">
        <f>IF(H105&gt;0,"Đã ánh xạ","THIẾU")</f>
        <v/>
      </c>
      <c r="J105" s="6" t="inlineStr">
        <is>
          <t>Chưa làm</t>
        </is>
      </c>
      <c r="K105" s="6" t="inlineStr"/>
    </row>
    <row r="106">
      <c r="A106" s="2" t="inlineStr">
        <is>
          <t>A4.1.2</t>
        </is>
      </c>
      <c r="B106" s="2" t="n">
        <v>3</v>
      </c>
      <c r="C106" s="2" t="inlineStr">
        <is>
          <t>Tab Tri thức mạch</t>
        </is>
      </c>
      <c r="D106" s="2" t="inlineStr">
        <is>
          <t>Hộ chiếu chip</t>
        </is>
      </c>
      <c r="E106" s="2" t="inlineStr">
        <is>
          <t>Đổi phiên bản tài liệu dùng; thêm bí danh</t>
        </is>
      </c>
      <c r="F106" s="2" t="inlineStr">
        <is>
          <t>edit</t>
        </is>
      </c>
      <c r="G106" s="2" t="inlineStr">
        <is>
          <t>AR05</t>
        </is>
      </c>
      <c r="H106" s="2">
        <f>COUNTIF('Anh xa'!$A$2:$A$725,A106)</f>
        <v/>
      </c>
      <c r="I106" s="2">
        <f>IF(H106&gt;0,"Đã ánh xạ","THIẾU")</f>
        <v/>
      </c>
      <c r="J106" s="6" t="inlineStr">
        <is>
          <t>Chưa làm</t>
        </is>
      </c>
      <c r="K106" s="6" t="inlineStr"/>
    </row>
    <row r="107">
      <c r="A107" s="2" t="inlineStr">
        <is>
          <t>A4.1.3</t>
        </is>
      </c>
      <c r="B107" s="2" t="n">
        <v>3</v>
      </c>
      <c r="C107" s="2" t="inlineStr">
        <is>
          <t>Tab Tri thức mạch</t>
        </is>
      </c>
      <c r="D107" s="2" t="inlineStr">
        <is>
          <t>Hộ chiếu chip</t>
        </is>
      </c>
      <c r="E107" s="2" t="inlineStr">
        <is>
          <t>Thẻ đề nghị khi chưa có datasheet: Tìm mạng / Nạp tệp / Tri thức chung</t>
        </is>
      </c>
      <c r="F107" s="2" t="inlineStr">
        <is>
          <t>action</t>
        </is>
      </c>
      <c r="G107" s="2" t="inlineStr">
        <is>
          <t>AR05</t>
        </is>
      </c>
      <c r="H107" s="2">
        <f>COUNTIF('Anh xa'!$A$2:$A$725,A107)</f>
        <v/>
      </c>
      <c r="I107" s="2">
        <f>IF(H107&gt;0,"Đã ánh xạ","THIẾU")</f>
        <v/>
      </c>
      <c r="J107" s="6" t="inlineStr">
        <is>
          <t>Chưa làm</t>
        </is>
      </c>
      <c r="K107" s="6" t="inlineStr"/>
    </row>
    <row r="108">
      <c r="A108" s="2" t="inlineStr">
        <is>
          <t>A4.2</t>
        </is>
      </c>
      <c r="B108" s="2" t="n">
        <v>2</v>
      </c>
      <c r="C108" s="2" t="inlineStr">
        <is>
          <t>Tab Tri thức mạch</t>
        </is>
      </c>
      <c r="D108" s="2" t="inlineStr">
        <is>
          <t>Bảng Fact</t>
        </is>
      </c>
      <c r="E108" s="2" t="inlineStr"/>
      <c r="F108" s="2" t="inlineStr">
        <is>
          <t>khối</t>
        </is>
      </c>
      <c r="G108" s="2" t="inlineStr">
        <is>
          <t>AR04</t>
        </is>
      </c>
      <c r="H108" s="2">
        <f>COUNTIF('Anh xa'!$A$2:$A$725,"A4.2")+COUNTIF('Anh xa'!$A$2:$A$725,"A4.2.*")</f>
        <v/>
      </c>
      <c r="I108" s="2">
        <f>IF(H108&gt;0,"Đã ánh xạ","THIẾU")</f>
        <v/>
      </c>
      <c r="J108" s="6" t="inlineStr">
        <is>
          <t>Chưa làm</t>
        </is>
      </c>
      <c r="K108" s="6" t="inlineStr"/>
    </row>
    <row r="109">
      <c r="A109" s="2" t="inlineStr">
        <is>
          <t>A4.2.1</t>
        </is>
      </c>
      <c r="B109" s="2" t="n">
        <v>3</v>
      </c>
      <c r="C109" s="2" t="inlineStr">
        <is>
          <t>Tab Tri thức mạch</t>
        </is>
      </c>
      <c r="D109" s="2" t="inlineStr">
        <is>
          <t>Bảng Fact</t>
        </is>
      </c>
      <c r="E109" s="2" t="inlineStr">
        <is>
          <t>Cột: khoá, giá trị, đơn vị, điều kiện, Tầng (màu), Nguồn (mở trang PDF đúng bbox)</t>
        </is>
      </c>
      <c r="F109" s="2" t="inlineStr">
        <is>
          <t>display</t>
        </is>
      </c>
      <c r="G109" s="2" t="inlineStr">
        <is>
          <t>AR04</t>
        </is>
      </c>
      <c r="H109" s="2">
        <f>COUNTIF('Anh xa'!$A$2:$A$725,A109)</f>
        <v/>
      </c>
      <c r="I109" s="2">
        <f>IF(H109&gt;0,"Đã ánh xạ","THIẾU")</f>
        <v/>
      </c>
      <c r="J109" s="6" t="inlineStr">
        <is>
          <t>Chưa làm</t>
        </is>
      </c>
      <c r="K109" s="6" t="inlineStr"/>
    </row>
    <row r="110">
      <c r="A110" s="2" t="inlineStr">
        <is>
          <t>A4.2.2</t>
        </is>
      </c>
      <c r="B110" s="2" t="n">
        <v>3</v>
      </c>
      <c r="C110" s="2" t="inlineStr">
        <is>
          <t>Tab Tri thức mạch</t>
        </is>
      </c>
      <c r="D110" s="2" t="inlineStr">
        <is>
          <t>Bảng Fact</t>
        </is>
      </c>
      <c r="E110" s="2" t="inlineStr">
        <is>
          <t>Xác nhận (BẠC→VÀNG) hàng loạt / từng dòng</t>
        </is>
      </c>
      <c r="F110" s="2" t="inlineStr">
        <is>
          <t>action</t>
        </is>
      </c>
      <c r="G110" s="2" t="inlineStr">
        <is>
          <t>AR04</t>
        </is>
      </c>
      <c r="H110" s="2">
        <f>COUNTIF('Anh xa'!$A$2:$A$725,A110)</f>
        <v/>
      </c>
      <c r="I110" s="2">
        <f>IF(H110&gt;0,"Đã ánh xạ","THIẾU")</f>
        <v/>
      </c>
      <c r="J110" s="6" t="inlineStr">
        <is>
          <t>Chưa làm</t>
        </is>
      </c>
      <c r="K110" s="6" t="inlineStr"/>
    </row>
    <row r="111">
      <c r="A111" s="2" t="inlineStr">
        <is>
          <t>A4.2.3</t>
        </is>
      </c>
      <c r="B111" s="2" t="n">
        <v>3</v>
      </c>
      <c r="C111" s="2" t="inlineStr">
        <is>
          <t>Tab Tri thức mạch</t>
        </is>
      </c>
      <c r="D111" s="2" t="inlineStr">
        <is>
          <t>Bảng Fact</t>
        </is>
      </c>
      <c r="E111" s="2" t="inlineStr">
        <is>
          <t>Từ chối / sửa giá trị (→ NGƯỜI nếu không kèm tài liệu)</t>
        </is>
      </c>
      <c r="F111" s="2" t="inlineStr">
        <is>
          <t>edit</t>
        </is>
      </c>
      <c r="G111" s="2" t="inlineStr">
        <is>
          <t>AR04</t>
        </is>
      </c>
      <c r="H111" s="2">
        <f>COUNTIF('Anh xa'!$A$2:$A$725,A111)</f>
        <v/>
      </c>
      <c r="I111" s="2">
        <f>IF(H111&gt;0,"Đã ánh xạ","THIẾU")</f>
        <v/>
      </c>
      <c r="J111" s="6" t="inlineStr">
        <is>
          <t>Chưa làm</t>
        </is>
      </c>
      <c r="K111" s="6" t="inlineStr"/>
    </row>
    <row r="112">
      <c r="A112" s="2" t="inlineStr">
        <is>
          <t>A4.2.4</t>
        </is>
      </c>
      <c r="B112" s="2" t="n">
        <v>3</v>
      </c>
      <c r="C112" s="2" t="inlineStr">
        <is>
          <t>Tab Tri thức mạch</t>
        </is>
      </c>
      <c r="D112" s="2" t="inlineStr">
        <is>
          <t>Bảng Fact</t>
        </is>
      </c>
      <c r="E112" s="2" t="inlineStr">
        <is>
          <t>Nút 'Tìm tài liệu chứng thực' trên Fact NGƯỜI</t>
        </is>
      </c>
      <c r="F112" s="2" t="inlineStr">
        <is>
          <t>action</t>
        </is>
      </c>
      <c r="G112" s="2" t="inlineStr">
        <is>
          <t>AR04</t>
        </is>
      </c>
      <c r="H112" s="2">
        <f>COUNTIF('Anh xa'!$A$2:$A$725,A112)</f>
        <v/>
      </c>
      <c r="I112" s="2">
        <f>IF(H112&gt;0,"Đã ánh xạ","THIẾU")</f>
        <v/>
      </c>
      <c r="J112" s="6" t="inlineStr">
        <is>
          <t>Chưa làm</t>
        </is>
      </c>
      <c r="K112" s="6" t="inlineStr"/>
    </row>
    <row r="113">
      <c r="A113" s="2" t="inlineStr">
        <is>
          <t>A4.2.5</t>
        </is>
      </c>
      <c r="B113" s="2" t="n">
        <v>3</v>
      </c>
      <c r="C113" s="2" t="inlineStr">
        <is>
          <t>Tab Tri thức mạch</t>
        </is>
      </c>
      <c r="D113" s="2" t="inlineStr">
        <is>
          <t>Bảng Fact</t>
        </is>
      </c>
      <c r="E113" s="2" t="inlineStr">
        <is>
          <t>Hàng đợi rà soát Fact ứng viên + trích đoạn gốc bên cạnh</t>
        </is>
      </c>
      <c r="F113" s="2" t="inlineStr">
        <is>
          <t>display</t>
        </is>
      </c>
      <c r="G113" s="2" t="inlineStr">
        <is>
          <t>AR04</t>
        </is>
      </c>
      <c r="H113" s="2">
        <f>COUNTIF('Anh xa'!$A$2:$A$725,A113)</f>
        <v/>
      </c>
      <c r="I113" s="2">
        <f>IF(H113&gt;0,"Đã ánh xạ","THIẾU")</f>
        <v/>
      </c>
      <c r="J113" s="6" t="inlineStr">
        <is>
          <t>Chưa làm</t>
        </is>
      </c>
      <c r="K113" s="6" t="inlineStr"/>
    </row>
    <row r="114">
      <c r="A114" s="2" t="inlineStr">
        <is>
          <t>A4.3</t>
        </is>
      </c>
      <c r="B114" s="2" t="n">
        <v>2</v>
      </c>
      <c r="C114" s="2" t="inlineStr">
        <is>
          <t>Tab Tri thức mạch</t>
        </is>
      </c>
      <c r="D114" s="2" t="inlineStr">
        <is>
          <t>Đồ thị tri thức mạch</t>
        </is>
      </c>
      <c r="E114" s="2" t="inlineStr"/>
      <c r="F114" s="2" t="inlineStr">
        <is>
          <t>khối</t>
        </is>
      </c>
      <c r="G114" s="2" t="inlineStr">
        <is>
          <t>AR06</t>
        </is>
      </c>
      <c r="H114" s="2">
        <f>COUNTIF('Anh xa'!$A$2:$A$725,"A4.3")+COUNTIF('Anh xa'!$A$2:$A$725,"A4.3.*")</f>
        <v/>
      </c>
      <c r="I114" s="2">
        <f>IF(H114&gt;0,"Đã ánh xạ","THIẾU")</f>
        <v/>
      </c>
      <c r="J114" s="6" t="inlineStr">
        <is>
          <t>Chưa làm</t>
        </is>
      </c>
      <c r="K114" s="6" t="inlineStr"/>
    </row>
    <row r="115">
      <c r="A115" s="2" t="inlineStr">
        <is>
          <t>A4.3.1</t>
        </is>
      </c>
      <c r="B115" s="2" t="n">
        <v>3</v>
      </c>
      <c r="C115" s="2" t="inlineStr">
        <is>
          <t>Tab Tri thức mạch</t>
        </is>
      </c>
      <c r="D115" s="2" t="inlineStr">
        <is>
          <t>Đồ thị tri thức mạch</t>
        </is>
      </c>
      <c r="E115" s="2" t="inlineStr">
        <is>
          <t>Đồ thị tương tác: chip, chân, net, bus, nguồn; chọn nút → panel Fact + nguồn</t>
        </is>
      </c>
      <c r="F115" s="2" t="inlineStr">
        <is>
          <t>display</t>
        </is>
      </c>
      <c r="G115" s="2" t="inlineStr">
        <is>
          <t>AR06</t>
        </is>
      </c>
      <c r="H115" s="2">
        <f>COUNTIF('Anh xa'!$A$2:$A$725,A115)</f>
        <v/>
      </c>
      <c r="I115" s="2">
        <f>IF(H115&gt;0,"Đã ánh xạ","THIẾU")</f>
        <v/>
      </c>
      <c r="J115" s="6" t="inlineStr">
        <is>
          <t>Chưa làm</t>
        </is>
      </c>
      <c r="K115" s="6" t="inlineStr"/>
    </row>
    <row r="116">
      <c r="A116" s="2" t="inlineStr">
        <is>
          <t>A4.3.2</t>
        </is>
      </c>
      <c r="B116" s="2" t="n">
        <v>3</v>
      </c>
      <c r="C116" s="2" t="inlineStr">
        <is>
          <t>Tab Tri thức mạch</t>
        </is>
      </c>
      <c r="D116" s="2" t="inlineStr">
        <is>
          <t>Đồ thị tri thức mạch</t>
        </is>
      </c>
      <c r="E116" s="2" t="inlineStr">
        <is>
          <t>Lọc theo bus/nguồn; chỗ 'đứt' (chưa có Fact) tô đỏ</t>
        </is>
      </c>
      <c r="F116" s="2" t="inlineStr">
        <is>
          <t>display</t>
        </is>
      </c>
      <c r="G116" s="2" t="inlineStr">
        <is>
          <t>AR06</t>
        </is>
      </c>
      <c r="H116" s="2">
        <f>COUNTIF('Anh xa'!$A$2:$A$725,A116)</f>
        <v/>
      </c>
      <c r="I116" s="2">
        <f>IF(H116&gt;0,"Đã ánh xạ","THIẾU")</f>
        <v/>
      </c>
      <c r="J116" s="6" t="inlineStr">
        <is>
          <t>Chưa làm</t>
        </is>
      </c>
      <c r="K116" s="6" t="inlineStr"/>
    </row>
    <row r="117">
      <c r="A117" s="2" t="inlineStr">
        <is>
          <t>A4.3.3</t>
        </is>
      </c>
      <c r="B117" s="2" t="n">
        <v>3</v>
      </c>
      <c r="C117" s="2" t="inlineStr">
        <is>
          <t>Tab Tri thức mạch</t>
        </is>
      </c>
      <c r="D117" s="2" t="inlineStr">
        <is>
          <t>Đồ thị tri thức mạch</t>
        </is>
      </c>
      <c r="E117" s="2" t="inlineStr">
        <is>
          <t>Kéo nối net–chân → sinh đề xuất sửa netlist (không sửa KG trực tiếp)</t>
        </is>
      </c>
      <c r="F117" s="2" t="inlineStr">
        <is>
          <t>edit</t>
        </is>
      </c>
      <c r="G117" s="2" t="inlineStr">
        <is>
          <t>AR06</t>
        </is>
      </c>
      <c r="H117" s="2">
        <f>COUNTIF('Anh xa'!$A$2:$A$725,A117)</f>
        <v/>
      </c>
      <c r="I117" s="2">
        <f>IF(H117&gt;0,"Đã ánh xạ","THIẾU")</f>
        <v/>
      </c>
      <c r="J117" s="6" t="inlineStr">
        <is>
          <t>Chưa làm</t>
        </is>
      </c>
      <c r="K117" s="6" t="inlineStr"/>
    </row>
    <row r="118">
      <c r="A118" s="2" t="inlineStr">
        <is>
          <t>A4.4</t>
        </is>
      </c>
      <c r="B118" s="2" t="n">
        <v>2</v>
      </c>
      <c r="C118" s="2" t="inlineStr">
        <is>
          <t>Tab Tri thức mạch</t>
        </is>
      </c>
      <c r="D118" s="2" t="inlineStr">
        <is>
          <t>Kết quả so sánh (fact.compare)</t>
        </is>
      </c>
      <c r="E118" s="2" t="inlineStr"/>
      <c r="F118" s="2" t="inlineStr">
        <is>
          <t>khối</t>
        </is>
      </c>
      <c r="G118" s="2" t="inlineStr"/>
      <c r="H118" s="2">
        <f>COUNTIF('Anh xa'!$A$2:$A$725,"A4.4")+COUNTIF('Anh xa'!$A$2:$A$725,"A4.4.*")</f>
        <v/>
      </c>
      <c r="I118" s="2">
        <f>IF(H118&gt;0,"Đã ánh xạ","THIẾU")</f>
        <v/>
      </c>
      <c r="J118" s="6" t="inlineStr">
        <is>
          <t>Chưa làm</t>
        </is>
      </c>
      <c r="K118" s="6" t="inlineStr"/>
    </row>
    <row r="119">
      <c r="A119" s="2" t="inlineStr">
        <is>
          <t>A4.4.1</t>
        </is>
      </c>
      <c r="B119" s="2" t="n">
        <v>3</v>
      </c>
      <c r="C119" s="2" t="inlineStr">
        <is>
          <t>Tab Tri thức mạch</t>
        </is>
      </c>
      <c r="D119" s="2" t="inlineStr">
        <is>
          <t>Kết quả so sánh (fact.compare)</t>
        </is>
      </c>
      <c r="E119" s="2" t="inlineStr">
        <is>
          <t>Bảng: luật, vế A, vế B, kết luận, mức, hai trích dẫn; nhãn CHƯA KIỂM CHỨNG nếu có vế ĐỒNG</t>
        </is>
      </c>
      <c r="F119" s="2" t="inlineStr">
        <is>
          <t>display</t>
        </is>
      </c>
      <c r="G119" s="2" t="inlineStr"/>
      <c r="H119" s="2">
        <f>COUNTIF('Anh xa'!$A$2:$A$725,A119)</f>
        <v/>
      </c>
      <c r="I119" s="2">
        <f>IF(H119&gt;0,"Đã ánh xạ","THIẾU")</f>
        <v/>
      </c>
      <c r="J119" s="6" t="inlineStr">
        <is>
          <t>Chưa làm</t>
        </is>
      </c>
      <c r="K119" s="6" t="inlineStr"/>
    </row>
    <row r="120">
      <c r="A120" s="2" t="inlineStr">
        <is>
          <t>A4.5</t>
        </is>
      </c>
      <c r="B120" s="2" t="n">
        <v>2</v>
      </c>
      <c r="C120" s="2" t="inlineStr">
        <is>
          <t>Tab Tri thức mạch</t>
        </is>
      </c>
      <c r="D120" s="2" t="inlineStr">
        <is>
          <t>Thay thế linh kiện</t>
        </is>
      </c>
      <c r="E120" s="2" t="inlineStr"/>
      <c r="F120" s="2" t="inlineStr">
        <is>
          <t>khối</t>
        </is>
      </c>
      <c r="G120" s="2" t="inlineStr"/>
      <c r="H120" s="2">
        <f>COUNTIF('Anh xa'!$A$2:$A$725,"A4.5")+COUNTIF('Anh xa'!$A$2:$A$725,"A4.5.*")</f>
        <v/>
      </c>
      <c r="I120" s="2">
        <f>IF(H120&gt;0,"Đã ánh xạ","THIẾU")</f>
        <v/>
      </c>
      <c r="J120" s="6" t="inlineStr">
        <is>
          <t>Chưa làm</t>
        </is>
      </c>
      <c r="K120" s="6" t="inlineStr"/>
    </row>
    <row r="121">
      <c r="A121" s="2" t="inlineStr">
        <is>
          <t>A4.5.1</t>
        </is>
      </c>
      <c r="B121" s="2" t="n">
        <v>3</v>
      </c>
      <c r="C121" s="2" t="inlineStr">
        <is>
          <t>Tab Tri thức mạch</t>
        </is>
      </c>
      <c r="D121" s="2" t="inlineStr">
        <is>
          <t>Thay thế linh kiện</t>
        </is>
      </c>
      <c r="E121" s="2" t="inlineStr">
        <is>
          <t>Danh sách thay thế xếp hạng: pin-to-pin/cần sửa mạch, khác biệt thông số, vòng đời (nếu có nguồn), ảnh hưởng</t>
        </is>
      </c>
      <c r="F121" s="2" t="inlineStr">
        <is>
          <t>display</t>
        </is>
      </c>
      <c r="G121" s="2" t="inlineStr"/>
      <c r="H121" s="2">
        <f>COUNTIF('Anh xa'!$A$2:$A$725,A121)</f>
        <v/>
      </c>
      <c r="I121" s="2">
        <f>IF(H121&gt;0,"Đã ánh xạ","THIẾU")</f>
        <v/>
      </c>
      <c r="J121" s="6" t="inlineStr">
        <is>
          <t>Chưa làm</t>
        </is>
      </c>
      <c r="K121" s="6" t="inlineStr"/>
    </row>
    <row r="122">
      <c r="A122" s="7" t="inlineStr">
        <is>
          <t>A5</t>
        </is>
      </c>
      <c r="B122" s="7" t="n">
        <v>1</v>
      </c>
      <c r="C122" s="7" t="inlineStr">
        <is>
          <t>Tab Thiết kế</t>
        </is>
      </c>
      <c r="D122" s="2" t="inlineStr"/>
      <c r="E122" s="2" t="inlineStr"/>
      <c r="F122" s="2" t="inlineStr">
        <is>
          <t>tab</t>
        </is>
      </c>
      <c r="G122" s="2" t="inlineStr"/>
      <c r="H122" s="2">
        <f>COUNTIF('Anh xa'!$A$2:$A$725,"A5.*")</f>
        <v/>
      </c>
      <c r="I122" s="2">
        <f>IF(H122&gt;0,"Đã ánh xạ","THIẾU")</f>
        <v/>
      </c>
      <c r="J122" s="6" t="inlineStr">
        <is>
          <t>Chưa làm</t>
        </is>
      </c>
      <c r="K122" s="6" t="inlineStr"/>
    </row>
    <row r="123">
      <c r="A123" s="2" t="inlineStr">
        <is>
          <t>A5.1</t>
        </is>
      </c>
      <c r="B123" s="2" t="n">
        <v>2</v>
      </c>
      <c r="C123" s="2" t="inlineStr">
        <is>
          <t>Tab Thiết kế</t>
        </is>
      </c>
      <c r="D123" s="2" t="inlineStr">
        <is>
          <t>Sơ đồ khối</t>
        </is>
      </c>
      <c r="E123" s="2" t="inlineStr"/>
      <c r="F123" s="2" t="inlineStr">
        <is>
          <t>khối</t>
        </is>
      </c>
      <c r="G123" s="2" t="inlineStr">
        <is>
          <t>AR08</t>
        </is>
      </c>
      <c r="H123" s="2">
        <f>COUNTIF('Anh xa'!$A$2:$A$725,"A5.1")+COUNTIF('Anh xa'!$A$2:$A$725,"A5.1.*")</f>
        <v/>
      </c>
      <c r="I123" s="2">
        <f>IF(H123&gt;0,"Đã ánh xạ","THIẾU")</f>
        <v/>
      </c>
      <c r="J123" s="6" t="inlineStr">
        <is>
          <t>Chưa làm</t>
        </is>
      </c>
      <c r="K123" s="6" t="inlineStr"/>
    </row>
    <row r="124">
      <c r="A124" s="2" t="inlineStr">
        <is>
          <t>A5.1.1</t>
        </is>
      </c>
      <c r="B124" s="2" t="n">
        <v>3</v>
      </c>
      <c r="C124" s="2" t="inlineStr">
        <is>
          <t>Tab Thiết kế</t>
        </is>
      </c>
      <c r="D124" s="2" t="inlineStr">
        <is>
          <t>Sơ đồ khối</t>
        </is>
      </c>
      <c r="E124" s="2" t="inlineStr">
        <is>
          <t>Hình + danh sách khối ↔ REQ</t>
        </is>
      </c>
      <c r="F124" s="2" t="inlineStr">
        <is>
          <t>display</t>
        </is>
      </c>
      <c r="G124" s="2" t="inlineStr">
        <is>
          <t>AR08</t>
        </is>
      </c>
      <c r="H124" s="2">
        <f>COUNTIF('Anh xa'!$A$2:$A$725,A124)</f>
        <v/>
      </c>
      <c r="I124" s="2">
        <f>IF(H124&gt;0,"Đã ánh xạ","THIẾU")</f>
        <v/>
      </c>
      <c r="J124" s="6" t="inlineStr">
        <is>
          <t>Chưa làm</t>
        </is>
      </c>
      <c r="K124" s="6" t="inlineStr"/>
    </row>
    <row r="125">
      <c r="A125" s="2" t="inlineStr">
        <is>
          <t>A5.1.2</t>
        </is>
      </c>
      <c r="B125" s="2" t="n">
        <v>3</v>
      </c>
      <c r="C125" s="2" t="inlineStr">
        <is>
          <t>Tab Thiết kế</t>
        </is>
      </c>
      <c r="D125" s="2" t="inlineStr">
        <is>
          <t>Sơ đồ khối</t>
        </is>
      </c>
      <c r="E125" s="2" t="inlineStr">
        <is>
          <t>Đổi tên/ghép/tách khối (form module_graph); đổi tên = sửa trình bày, không STALE</t>
        </is>
      </c>
      <c r="F125" s="2" t="inlineStr">
        <is>
          <t>edit</t>
        </is>
      </c>
      <c r="G125" s="2" t="inlineStr">
        <is>
          <t>AR08</t>
        </is>
      </c>
      <c r="H125" s="2">
        <f>COUNTIF('Anh xa'!$A$2:$A$725,A125)</f>
        <v/>
      </c>
      <c r="I125" s="2">
        <f>IF(H125&gt;0,"Đã ánh xạ","THIẾU")</f>
        <v/>
      </c>
      <c r="J125" s="6" t="inlineStr">
        <is>
          <t>Chưa làm</t>
        </is>
      </c>
      <c r="K125" s="6" t="inlineStr"/>
    </row>
    <row r="126">
      <c r="A126" s="2" t="inlineStr">
        <is>
          <t>A5.2</t>
        </is>
      </c>
      <c r="B126" s="2" t="n">
        <v>2</v>
      </c>
      <c r="C126" s="2" t="inlineStr">
        <is>
          <t>Tab Thiết kế</t>
        </is>
      </c>
      <c r="D126" s="2" t="inlineStr">
        <is>
          <t>Pinout</t>
        </is>
      </c>
      <c r="E126" s="2" t="inlineStr"/>
      <c r="F126" s="2" t="inlineStr">
        <is>
          <t>khối</t>
        </is>
      </c>
      <c r="G126" s="2" t="inlineStr">
        <is>
          <t>AR07</t>
        </is>
      </c>
      <c r="H126" s="2">
        <f>COUNTIF('Anh xa'!$A$2:$A$725,"A5.2")+COUNTIF('Anh xa'!$A$2:$A$725,"A5.2.*")</f>
        <v/>
      </c>
      <c r="I126" s="2">
        <f>IF(H126&gt;0,"Đã ánh xạ","THIẾU")</f>
        <v/>
      </c>
      <c r="J126" s="6" t="inlineStr">
        <is>
          <t>Chưa làm</t>
        </is>
      </c>
      <c r="K126" s="6" t="inlineStr"/>
    </row>
    <row r="127">
      <c r="A127" s="2" t="inlineStr">
        <is>
          <t>A5.2.1</t>
        </is>
      </c>
      <c r="B127" s="2" t="n">
        <v>3</v>
      </c>
      <c r="C127" s="2" t="inlineStr">
        <is>
          <t>Tab Thiết kế</t>
        </is>
      </c>
      <c r="D127" s="2" t="inlineStr">
        <is>
          <t>Pinout</t>
        </is>
      </c>
      <c r="E127" s="2" t="inlineStr">
        <is>
          <t>Bảng chân: chức năng, AF, net, xung đột; hình chip</t>
        </is>
      </c>
      <c r="F127" s="2" t="inlineStr">
        <is>
          <t>display</t>
        </is>
      </c>
      <c r="G127" s="2" t="inlineStr">
        <is>
          <t>AR07</t>
        </is>
      </c>
      <c r="H127" s="2">
        <f>COUNTIF('Anh xa'!$A$2:$A$725,A127)</f>
        <v/>
      </c>
      <c r="I127" s="2">
        <f>IF(H127&gt;0,"Đã ánh xạ","THIẾU")</f>
        <v/>
      </c>
      <c r="J127" s="6" t="inlineStr">
        <is>
          <t>Chưa làm</t>
        </is>
      </c>
      <c r="K127" s="6" t="inlineStr"/>
    </row>
    <row r="128">
      <c r="A128" s="2" t="inlineStr">
        <is>
          <t>A5.2.2</t>
        </is>
      </c>
      <c r="B128" s="2" t="n">
        <v>3</v>
      </c>
      <c r="C128" s="2" t="inlineStr">
        <is>
          <t>Tab Thiết kế</t>
        </is>
      </c>
      <c r="D128" s="2" t="inlineStr">
        <is>
          <t>Pinout</t>
        </is>
      </c>
      <c r="E128" s="2" t="inlineStr">
        <is>
          <t>Đổi chức năng chân — dropdown chỉ AF có trong Fact</t>
        </is>
      </c>
      <c r="F128" s="2" t="inlineStr">
        <is>
          <t>edit</t>
        </is>
      </c>
      <c r="G128" s="2" t="inlineStr">
        <is>
          <t>AR07</t>
        </is>
      </c>
      <c r="H128" s="2">
        <f>COUNTIF('Anh xa'!$A$2:$A$725,A128)</f>
        <v/>
      </c>
      <c r="I128" s="2">
        <f>IF(H128&gt;0,"Đã ánh xạ","THIẾU")</f>
        <v/>
      </c>
      <c r="J128" s="6" t="inlineStr">
        <is>
          <t>Chưa làm</t>
        </is>
      </c>
      <c r="K128" s="6" t="inlineStr"/>
    </row>
    <row r="129">
      <c r="A129" s="2" t="inlineStr">
        <is>
          <t>A5.3</t>
        </is>
      </c>
      <c r="B129" s="2" t="n">
        <v>2</v>
      </c>
      <c r="C129" s="2" t="inlineStr">
        <is>
          <t>Tab Thiết kế</t>
        </is>
      </c>
      <c r="D129" s="2" t="inlineStr">
        <is>
          <t>Schematic / netlist</t>
        </is>
      </c>
      <c r="E129" s="2" t="inlineStr"/>
      <c r="F129" s="2" t="inlineStr">
        <is>
          <t>khối</t>
        </is>
      </c>
      <c r="G129" s="2" t="inlineStr">
        <is>
          <t>AR09</t>
        </is>
      </c>
      <c r="H129" s="2">
        <f>COUNTIF('Anh xa'!$A$2:$A$725,"A5.3")+COUNTIF('Anh xa'!$A$2:$A$725,"A5.3.*")</f>
        <v/>
      </c>
      <c r="I129" s="2">
        <f>IF(H129&gt;0,"Đã ánh xạ","THIẾU")</f>
        <v/>
      </c>
      <c r="J129" s="6" t="inlineStr">
        <is>
          <t>Chưa làm</t>
        </is>
      </c>
      <c r="K129" s="6" t="inlineStr"/>
    </row>
    <row r="130">
      <c r="A130" s="2" t="inlineStr">
        <is>
          <t>A5.3.1</t>
        </is>
      </c>
      <c r="B130" s="2" t="n">
        <v>3</v>
      </c>
      <c r="C130" s="2" t="inlineStr">
        <is>
          <t>Tab Thiết kế</t>
        </is>
      </c>
      <c r="D130" s="2" t="inlineStr">
        <is>
          <t>Schematic / netlist</t>
        </is>
      </c>
      <c r="E130" s="2" t="inlineStr">
        <is>
          <t>Netlist viewer + bảng net + hình (nếu có)</t>
        </is>
      </c>
      <c r="F130" s="2" t="inlineStr">
        <is>
          <t>display</t>
        </is>
      </c>
      <c r="G130" s="2" t="inlineStr">
        <is>
          <t>AR09</t>
        </is>
      </c>
      <c r="H130" s="2">
        <f>COUNTIF('Anh xa'!$A$2:$A$725,A130)</f>
        <v/>
      </c>
      <c r="I130" s="2">
        <f>IF(H130&gt;0,"Đã ánh xạ","THIẾU")</f>
        <v/>
      </c>
      <c r="J130" s="6" t="inlineStr">
        <is>
          <t>Chưa làm</t>
        </is>
      </c>
      <c r="K130" s="6" t="inlineStr"/>
    </row>
    <row r="131">
      <c r="A131" s="2" t="inlineStr">
        <is>
          <t>A5.3.2</t>
        </is>
      </c>
      <c r="B131" s="2" t="n">
        <v>3</v>
      </c>
      <c r="C131" s="2" t="inlineStr">
        <is>
          <t>Tab Thiết kế</t>
        </is>
      </c>
      <c r="D131" s="2" t="inlineStr">
        <is>
          <t>Schematic / netlist</t>
        </is>
      </c>
      <c r="E131" s="2" t="inlineStr">
        <is>
          <t>Sửa netlist trong editor có kiểm lược đồ / nạp tệp mới</t>
        </is>
      </c>
      <c r="F131" s="2" t="inlineStr">
        <is>
          <t>edit</t>
        </is>
      </c>
      <c r="G131" s="2" t="inlineStr">
        <is>
          <t>AR09</t>
        </is>
      </c>
      <c r="H131" s="2">
        <f>COUNTIF('Anh xa'!$A$2:$A$725,A131)</f>
        <v/>
      </c>
      <c r="I131" s="2">
        <f>IF(H131&gt;0,"Đã ánh xạ","THIẾU")</f>
        <v/>
      </c>
      <c r="J131" s="6" t="inlineStr">
        <is>
          <t>Chưa làm</t>
        </is>
      </c>
      <c r="K131" s="6" t="inlineStr"/>
    </row>
    <row r="132">
      <c r="A132" s="2" t="inlineStr">
        <is>
          <t>A5.3.3</t>
        </is>
      </c>
      <c r="B132" s="2" t="n">
        <v>3</v>
      </c>
      <c r="C132" s="2" t="inlineStr">
        <is>
          <t>Tab Thiết kế</t>
        </is>
      </c>
      <c r="D132" s="2" t="inlineStr">
        <is>
          <t>Schematic / netlist</t>
        </is>
      </c>
      <c r="E132" s="2" t="inlineStr">
        <is>
          <t>Mã ≠ schematic: chỉ ra từng điểm, hỏi đâu là nguồn đúng</t>
        </is>
      </c>
      <c r="F132" s="2" t="inlineStr">
        <is>
          <t>action</t>
        </is>
      </c>
      <c r="G132" s="2" t="inlineStr">
        <is>
          <t>AR09</t>
        </is>
      </c>
      <c r="H132" s="2">
        <f>COUNTIF('Anh xa'!$A$2:$A$725,A132)</f>
        <v/>
      </c>
      <c r="I132" s="2">
        <f>IF(H132&gt;0,"Đã ánh xạ","THIẾU")</f>
        <v/>
      </c>
      <c r="J132" s="6" t="inlineStr">
        <is>
          <t>Chưa làm</t>
        </is>
      </c>
      <c r="K132" s="6" t="inlineStr"/>
    </row>
    <row r="133">
      <c r="A133" s="2" t="inlineStr">
        <is>
          <t>A5.4</t>
        </is>
      </c>
      <c r="B133" s="2" t="n">
        <v>2</v>
      </c>
      <c r="C133" s="2" t="inlineStr">
        <is>
          <t>Tab Thiết kế</t>
        </is>
      </c>
      <c r="D133" s="2" t="inlineStr">
        <is>
          <t>BOM</t>
        </is>
      </c>
      <c r="E133" s="2" t="inlineStr"/>
      <c r="F133" s="2" t="inlineStr">
        <is>
          <t>khối</t>
        </is>
      </c>
      <c r="G133" s="2" t="inlineStr">
        <is>
          <t>AR10</t>
        </is>
      </c>
      <c r="H133" s="2">
        <f>COUNTIF('Anh xa'!$A$2:$A$725,"A5.4")+COUNTIF('Anh xa'!$A$2:$A$725,"A5.4.*")</f>
        <v/>
      </c>
      <c r="I133" s="2">
        <f>IF(H133&gt;0,"Đã ánh xạ","THIẾU")</f>
        <v/>
      </c>
      <c r="J133" s="6" t="inlineStr">
        <is>
          <t>Chưa làm</t>
        </is>
      </c>
      <c r="K133" s="6" t="inlineStr"/>
    </row>
    <row r="134">
      <c r="A134" s="2" t="inlineStr">
        <is>
          <t>A5.4.1</t>
        </is>
      </c>
      <c r="B134" s="2" t="n">
        <v>3</v>
      </c>
      <c r="C134" s="2" t="inlineStr">
        <is>
          <t>Tab Thiết kế</t>
        </is>
      </c>
      <c r="D134" s="2" t="inlineStr">
        <is>
          <t>BOM</t>
        </is>
      </c>
      <c r="E134" s="2" t="inlineStr">
        <is>
          <t>Bảng: linh kiện, số lượng, datasheet (nút), lý do chọn, tình trạng</t>
        </is>
      </c>
      <c r="F134" s="2" t="inlineStr">
        <is>
          <t>display</t>
        </is>
      </c>
      <c r="G134" s="2" t="inlineStr">
        <is>
          <t>AR10</t>
        </is>
      </c>
      <c r="H134" s="2">
        <f>COUNTIF('Anh xa'!$A$2:$A$725,A134)</f>
        <v/>
      </c>
      <c r="I134" s="2">
        <f>IF(H134&gt;0,"Đã ánh xạ","THIẾU")</f>
        <v/>
      </c>
      <c r="J134" s="6" t="inlineStr">
        <is>
          <t>Chưa làm</t>
        </is>
      </c>
      <c r="K134" s="6" t="inlineStr"/>
    </row>
    <row r="135">
      <c r="A135" s="2" t="inlineStr">
        <is>
          <t>A5.4.2</t>
        </is>
      </c>
      <c r="B135" s="2" t="n">
        <v>3</v>
      </c>
      <c r="C135" s="2" t="inlineStr">
        <is>
          <t>Tab Thiết kế</t>
        </is>
      </c>
      <c r="D135" s="2" t="inlineStr">
        <is>
          <t>BOM</t>
        </is>
      </c>
      <c r="E135" s="2" t="inlineStr">
        <is>
          <t>Thay linh kiện / sửa số lượng</t>
        </is>
      </c>
      <c r="F135" s="2" t="inlineStr">
        <is>
          <t>edit</t>
        </is>
      </c>
      <c r="G135" s="2" t="inlineStr">
        <is>
          <t>AR10</t>
        </is>
      </c>
      <c r="H135" s="2">
        <f>COUNTIF('Anh xa'!$A$2:$A$725,A135)</f>
        <v/>
      </c>
      <c r="I135" s="2">
        <f>IF(H135&gt;0,"Đã ánh xạ","THIẾU")</f>
        <v/>
      </c>
      <c r="J135" s="6" t="inlineStr">
        <is>
          <t>Chưa làm</t>
        </is>
      </c>
      <c r="K135" s="6" t="inlineStr"/>
    </row>
    <row r="136">
      <c r="A136" s="2" t="inlineStr">
        <is>
          <t>A5.5</t>
        </is>
      </c>
      <c r="B136" s="2" t="n">
        <v>2</v>
      </c>
      <c r="C136" s="2" t="inlineStr">
        <is>
          <t>Tab Thiết kế</t>
        </is>
      </c>
      <c r="D136" s="2" t="inlineStr">
        <is>
          <t>Phát hiện ERC / rà soát</t>
        </is>
      </c>
      <c r="E136" s="2" t="inlineStr"/>
      <c r="F136" s="2" t="inlineStr">
        <is>
          <t>khối</t>
        </is>
      </c>
      <c r="G136" s="2" t="inlineStr">
        <is>
          <t>AR11</t>
        </is>
      </c>
      <c r="H136" s="2">
        <f>COUNTIF('Anh xa'!$A$2:$A$725,"A5.5")+COUNTIF('Anh xa'!$A$2:$A$725,"A5.5.*")</f>
        <v/>
      </c>
      <c r="I136" s="2">
        <f>IF(H136&gt;0,"Đã ánh xạ","THIẾU")</f>
        <v/>
      </c>
      <c r="J136" s="6" t="inlineStr">
        <is>
          <t>Chưa làm</t>
        </is>
      </c>
      <c r="K136" s="6" t="inlineStr"/>
    </row>
    <row r="137">
      <c r="A137" s="2" t="inlineStr">
        <is>
          <t>A5.5.1</t>
        </is>
      </c>
      <c r="B137" s="2" t="n">
        <v>3</v>
      </c>
      <c r="C137" s="2" t="inlineStr">
        <is>
          <t>Tab Thiết kế</t>
        </is>
      </c>
      <c r="D137" s="2" t="inlineStr">
        <is>
          <t>Phát hiện ERC / rà soát</t>
        </is>
      </c>
      <c r="E137" s="2" t="inlineStr">
        <is>
          <t>Bảng theo mức: bằng chứng (số + nguồn), hậu quả, cách sửa; bấm → tô sáng net/dòng</t>
        </is>
      </c>
      <c r="F137" s="2" t="inlineStr">
        <is>
          <t>display</t>
        </is>
      </c>
      <c r="G137" s="2" t="inlineStr">
        <is>
          <t>AR11</t>
        </is>
      </c>
      <c r="H137" s="2">
        <f>COUNTIF('Anh xa'!$A$2:$A$725,A137)</f>
        <v/>
      </c>
      <c r="I137" s="2">
        <f>IF(H137&gt;0,"Đã ánh xạ","THIẾU")</f>
        <v/>
      </c>
      <c r="J137" s="6" t="inlineStr">
        <is>
          <t>Chưa làm</t>
        </is>
      </c>
      <c r="K137" s="6" t="inlineStr"/>
    </row>
    <row r="138">
      <c r="A138" s="2" t="inlineStr">
        <is>
          <t>A5.5.2</t>
        </is>
      </c>
      <c r="B138" s="2" t="n">
        <v>3</v>
      </c>
      <c r="C138" s="2" t="inlineStr">
        <is>
          <t>Tab Thiết kế</t>
        </is>
      </c>
      <c r="D138" s="2" t="inlineStr">
        <is>
          <t>Phát hiện ERC / rà soát</t>
        </is>
      </c>
      <c r="E138" s="2" t="inlineStr">
        <is>
          <t>'0 phát hiện' nêu checklist đã rà</t>
        </is>
      </c>
      <c r="F138" s="2" t="inlineStr">
        <is>
          <t>display</t>
        </is>
      </c>
      <c r="G138" s="2" t="inlineStr">
        <is>
          <t>AR11</t>
        </is>
      </c>
      <c r="H138" s="2">
        <f>COUNTIF('Anh xa'!$A$2:$A$725,A138)</f>
        <v/>
      </c>
      <c r="I138" s="2">
        <f>IF(H138&gt;0,"Đã ánh xạ","THIẾU")</f>
        <v/>
      </c>
      <c r="J138" s="6" t="inlineStr">
        <is>
          <t>Chưa làm</t>
        </is>
      </c>
      <c r="K138" s="6" t="inlineStr"/>
    </row>
    <row r="139">
      <c r="A139" s="2" t="inlineStr">
        <is>
          <t>A5.5.3</t>
        </is>
      </c>
      <c r="B139" s="2" t="n">
        <v>3</v>
      </c>
      <c r="C139" s="2" t="inlineStr">
        <is>
          <t>Tab Thiết kế</t>
        </is>
      </c>
      <c r="D139" s="2" t="inlineStr">
        <is>
          <t>Phát hiện ERC / rà soát</t>
        </is>
      </c>
      <c r="E139" s="2" t="inlineStr">
        <is>
          <t>Chấp nhận rủi ro có lý do / 'không phải lỗi'</t>
        </is>
      </c>
      <c r="F139" s="2" t="inlineStr">
        <is>
          <t>edit</t>
        </is>
      </c>
      <c r="G139" s="2" t="inlineStr">
        <is>
          <t>AR11</t>
        </is>
      </c>
      <c r="H139" s="2">
        <f>COUNTIF('Anh xa'!$A$2:$A$725,A139)</f>
        <v/>
      </c>
      <c r="I139" s="2">
        <f>IF(H139&gt;0,"Đã ánh xạ","THIẾU")</f>
        <v/>
      </c>
      <c r="J139" s="6" t="inlineStr">
        <is>
          <t>Chưa làm</t>
        </is>
      </c>
      <c r="K139" s="6" t="inlineStr"/>
    </row>
    <row r="140">
      <c r="A140" s="2" t="inlineStr">
        <is>
          <t>A5.5.4</t>
        </is>
      </c>
      <c r="B140" s="2" t="n">
        <v>3</v>
      </c>
      <c r="C140" s="2" t="inlineStr">
        <is>
          <t>Tab Thiết kế</t>
        </is>
      </c>
      <c r="D140" s="2" t="inlineStr">
        <is>
          <t>Phát hiện ERC / rà soát</t>
        </is>
      </c>
      <c r="E140" s="2" t="inlineStr">
        <is>
          <t>Chốt thiết kế (→ thẻ G-DESIGN)</t>
        </is>
      </c>
      <c r="F140" s="2" t="inlineStr">
        <is>
          <t>action</t>
        </is>
      </c>
      <c r="G140" s="2" t="inlineStr">
        <is>
          <t>AR11</t>
        </is>
      </c>
      <c r="H140" s="2">
        <f>COUNTIF('Anh xa'!$A$2:$A$725,A140)</f>
        <v/>
      </c>
      <c r="I140" s="2">
        <f>IF(H140&gt;0,"Đã ánh xạ","THIẾU")</f>
        <v/>
      </c>
      <c r="J140" s="6" t="inlineStr">
        <is>
          <t>Chưa làm</t>
        </is>
      </c>
      <c r="K140" s="6" t="inlineStr"/>
    </row>
    <row r="141">
      <c r="A141" s="2" t="inlineStr">
        <is>
          <t>A5.8</t>
        </is>
      </c>
      <c r="B141" s="2" t="n">
        <v>2</v>
      </c>
      <c r="C141" s="2" t="inlineStr">
        <is>
          <t>Tab Thiết kế</t>
        </is>
      </c>
      <c r="D141" s="2" t="inlineStr">
        <is>
          <t>Sơ đồ nguyên lý KiCad (SCH-44, cờ features.schematic)</t>
        </is>
      </c>
      <c r="E141" s="2" t="inlineStr"/>
      <c r="F141" s="2" t="inlineStr">
        <is>
          <t>khối</t>
        </is>
      </c>
      <c r="G141" s="2" t="inlineStr">
        <is>
          <t>AR09</t>
        </is>
      </c>
      <c r="H141" s="2">
        <f>COUNTIF('Anh xa'!$A$2:$A$725,"A5.8")+COUNTIF('Anh xa'!$A$2:$A$725,"A5.8.*")</f>
        <v/>
      </c>
      <c r="I141" s="2">
        <f>IF(H141&gt;0,"Đã ánh xạ","THIẾU")</f>
        <v/>
      </c>
      <c r="J141" s="6" t="inlineStr">
        <is>
          <t>Chưa làm</t>
        </is>
      </c>
      <c r="K141" s="6" t="inlineStr"/>
    </row>
    <row r="142">
      <c r="A142" s="2" t="inlineStr">
        <is>
          <t>A5.8.1</t>
        </is>
      </c>
      <c r="B142" s="2" t="n">
        <v>3</v>
      </c>
      <c r="C142" s="2" t="inlineStr">
        <is>
          <t>Tab Thiết kế</t>
        </is>
      </c>
      <c r="D142" s="2" t="inlineStr">
        <is>
          <t>Sơ đồ nguyên lý KiCad (SCH-44, cờ features.schematic)</t>
        </is>
      </c>
      <c r="E142" s="2" t="inlineStr">
        <is>
          <t>Nút 'Sinh sơ đồ KiCad' (flat/hierarchical, chọn module)</t>
        </is>
      </c>
      <c r="F142" s="2" t="inlineStr">
        <is>
          <t>action</t>
        </is>
      </c>
      <c r="G142" s="2" t="inlineStr">
        <is>
          <t>AR09</t>
        </is>
      </c>
      <c r="H142" s="2">
        <f>COUNTIF('Anh xa'!$A$2:$A$725,A142)</f>
        <v/>
      </c>
      <c r="I142" s="2">
        <f>IF(H142&gt;0,"Đã ánh xạ","THIẾU")</f>
        <v/>
      </c>
      <c r="J142" s="6" t="inlineStr">
        <is>
          <t>Chưa làm</t>
        </is>
      </c>
      <c r="K142" s="6" t="inlineStr"/>
    </row>
    <row r="143">
      <c r="A143" s="2" t="inlineStr">
        <is>
          <t>A5.8.2</t>
        </is>
      </c>
      <c r="B143" s="2" t="n">
        <v>3</v>
      </c>
      <c r="C143" s="2" t="inlineStr">
        <is>
          <t>Tab Thiết kế</t>
        </is>
      </c>
      <c r="D143" s="2" t="inlineStr">
        <is>
          <t>Sơ đồ nguyên lý KiCad (SCH-44, cờ features.schematic)</t>
        </is>
      </c>
      <c r="E143" s="2" t="inlineStr">
        <is>
          <t>SVG tương tác (renderer nội bộ): bấm ký hiệu → Fact/nguồn/BOM; bấm net → tô sáng + ERC; hover chân → AF</t>
        </is>
      </c>
      <c r="F143" s="2" t="inlineStr">
        <is>
          <t>display</t>
        </is>
      </c>
      <c r="G143" s="2" t="inlineStr">
        <is>
          <t>AR09</t>
        </is>
      </c>
      <c r="H143" s="2">
        <f>COUNTIF('Anh xa'!$A$2:$A$725,A143)</f>
        <v/>
      </c>
      <c r="I143" s="2">
        <f>IF(H143&gt;0,"Đã ánh xạ","THIẾU")</f>
        <v/>
      </c>
      <c r="J143" s="6" t="inlineStr">
        <is>
          <t>Chưa làm</t>
        </is>
      </c>
      <c r="K143" s="6" t="inlineStr"/>
    </row>
    <row r="144">
      <c r="A144" s="2" t="inlineStr">
        <is>
          <t>A5.8.3</t>
        </is>
      </c>
      <c r="B144" s="2" t="n">
        <v>3</v>
      </c>
      <c r="C144" s="2" t="inlineStr">
        <is>
          <t>Tab Thiết kế</t>
        </is>
      </c>
      <c r="D144" s="2" t="inlineStr">
        <is>
          <t>Sơ đồ nguyên lý KiCad (SCH-44, cờ features.schematic)</t>
        </is>
      </c>
      <c r="E144" s="2" t="inlineStr">
        <is>
          <t>Băng chất lượng bố cục (0 chồng / 0 cắt / % nhãn) + nút 'Bố cục lại'</t>
        </is>
      </c>
      <c r="F144" s="2" t="inlineStr">
        <is>
          <t>action</t>
        </is>
      </c>
      <c r="G144" s="2" t="inlineStr">
        <is>
          <t>AR09</t>
        </is>
      </c>
      <c r="H144" s="2">
        <f>COUNTIF('Anh xa'!$A$2:$A$725,A144)</f>
        <v/>
      </c>
      <c r="I144" s="2">
        <f>IF(H144&gt;0,"Đã ánh xạ","THIẾU")</f>
        <v/>
      </c>
      <c r="J144" s="6" t="inlineStr">
        <is>
          <t>Chưa làm</t>
        </is>
      </c>
      <c r="K144" s="6" t="inlineStr"/>
    </row>
    <row r="145">
      <c r="A145" s="2" t="inlineStr">
        <is>
          <t>A5.8.4</t>
        </is>
      </c>
      <c r="B145" s="2" t="n">
        <v>3</v>
      </c>
      <c r="C145" s="2" t="inlineStr">
        <is>
          <t>Tab Thiết kế</t>
        </is>
      </c>
      <c r="D145" s="2" t="inlineStr">
        <is>
          <t>Sơ đồ nguyên lý KiCad (SCH-44, cờ features.schematic)</t>
        </is>
      </c>
      <c r="E145" s="2" t="inlineStr">
        <is>
          <t>Mức render đang dùng (nội bộ / sơ đồ khối); không bao giờ đề nghị cài KiCad</t>
        </is>
      </c>
      <c r="F145" s="2" t="inlineStr">
        <is>
          <t>display</t>
        </is>
      </c>
      <c r="G145" s="2" t="inlineStr">
        <is>
          <t>AR09</t>
        </is>
      </c>
      <c r="H145" s="2">
        <f>COUNTIF('Anh xa'!$A$2:$A$725,A145)</f>
        <v/>
      </c>
      <c r="I145" s="2">
        <f>IF(H145&gt;0,"Đã ánh xạ","THIẾU")</f>
        <v/>
      </c>
      <c r="J145" s="6" t="inlineStr">
        <is>
          <t>Chưa làm</t>
        </is>
      </c>
      <c r="K145" s="6" t="inlineStr"/>
    </row>
    <row r="146">
      <c r="A146" s="2" t="inlineStr">
        <is>
          <t>A5.8.5</t>
        </is>
      </c>
      <c r="B146" s="2" t="n">
        <v>3</v>
      </c>
      <c r="C146" s="2" t="inlineStr">
        <is>
          <t>Tab Thiết kế</t>
        </is>
      </c>
      <c r="D146" s="2" t="inlineStr">
        <is>
          <t>Sơ đồ nguyên lý KiCad (SCH-44, cờ features.schematic)</t>
        </is>
      </c>
      <c r="E146" s="2" t="inlineStr">
        <is>
          <t>Diff sơ đồ v(n-1)→v(n) bằng lời + tô</t>
        </is>
      </c>
      <c r="F146" s="2" t="inlineStr">
        <is>
          <t>display</t>
        </is>
      </c>
      <c r="G146" s="2" t="inlineStr">
        <is>
          <t>AR09</t>
        </is>
      </c>
      <c r="H146" s="2">
        <f>COUNTIF('Anh xa'!$A$2:$A$725,A146)</f>
        <v/>
      </c>
      <c r="I146" s="2">
        <f>IF(H146&gt;0,"Đã ánh xạ","THIẾU")</f>
        <v/>
      </c>
      <c r="J146" s="6" t="inlineStr">
        <is>
          <t>Chưa làm</t>
        </is>
      </c>
      <c r="K146" s="6" t="inlineStr"/>
    </row>
    <row r="147">
      <c r="A147" s="2" t="inlineStr">
        <is>
          <t>A5.8.6</t>
        </is>
      </c>
      <c r="B147" s="2" t="n">
        <v>3</v>
      </c>
      <c r="C147" s="2" t="inlineStr">
        <is>
          <t>Tab Thiết kế</t>
        </is>
      </c>
      <c r="D147" s="2" t="inlineStr">
        <is>
          <t>Sơ đồ nguyên lý KiCad (SCH-44, cờ features.schematic)</t>
        </is>
      </c>
      <c r="E147" s="2" t="inlineStr">
        <is>
          <t>Xuất gói (mở ở máy có KiCad) · Nạp lại · thẻ hỏi khi CKM ≠ sơ đồ</t>
        </is>
      </c>
      <c r="F147" s="2" t="inlineStr">
        <is>
          <t>action</t>
        </is>
      </c>
      <c r="G147" s="2" t="inlineStr">
        <is>
          <t>AR09</t>
        </is>
      </c>
      <c r="H147" s="2">
        <f>COUNTIF('Anh xa'!$A$2:$A$725,A147)</f>
        <v/>
      </c>
      <c r="I147" s="2">
        <f>IF(H147&gt;0,"Đã ánh xạ","THIẾU")</f>
        <v/>
      </c>
      <c r="J147" s="6" t="inlineStr">
        <is>
          <t>Chưa làm</t>
        </is>
      </c>
      <c r="K147" s="6" t="inlineStr"/>
    </row>
    <row r="148">
      <c r="A148" s="2" t="inlineStr">
        <is>
          <t>A5.8.7</t>
        </is>
      </c>
      <c r="B148" s="2" t="n">
        <v>3</v>
      </c>
      <c r="C148" s="2" t="inlineStr">
        <is>
          <t>Tab Thiết kế</t>
        </is>
      </c>
      <c r="D148" s="2" t="inlineStr">
        <is>
          <t>Sơ đồ nguyên lý KiCad (SCH-44, cờ features.schematic)</t>
        </is>
      </c>
      <c r="E148" s="2" t="inlineStr">
        <is>
          <t>Symbol sinh từ Fact: xem, xác nhận, sửa kiểu chân; symbol lib đối chiếu Fact</t>
        </is>
      </c>
      <c r="F148" s="2" t="inlineStr">
        <is>
          <t>edit</t>
        </is>
      </c>
      <c r="G148" s="2" t="inlineStr">
        <is>
          <t>AR09</t>
        </is>
      </c>
      <c r="H148" s="2">
        <f>COUNTIF('Anh xa'!$A$2:$A$725,A148)</f>
        <v/>
      </c>
      <c r="I148" s="2">
        <f>IF(H148&gt;0,"Đã ánh xạ","THIẾU")</f>
        <v/>
      </c>
      <c r="J148" s="6" t="inlineStr">
        <is>
          <t>Chưa làm</t>
        </is>
      </c>
      <c r="K148" s="6" t="inlineStr"/>
    </row>
    <row r="149">
      <c r="A149" s="2" t="inlineStr">
        <is>
          <t>A5.8.8</t>
        </is>
      </c>
      <c r="B149" s="2" t="n">
        <v>3</v>
      </c>
      <c r="C149" s="2" t="inlineStr">
        <is>
          <t>Tab Thiết kế</t>
        </is>
      </c>
      <c r="D149" s="2" t="inlineStr">
        <is>
          <t>Sơ đồ nguyên lý KiCad (SCH-44, cờ features.schematic)</t>
        </is>
      </c>
      <c r="E149" s="2" t="inlineStr">
        <is>
          <t>Cảnh báo pinout chưa duyệt (E7002) / netlist lệch CKM (E7001) với nút nạp datasheet</t>
        </is>
      </c>
      <c r="F149" s="2" t="inlineStr">
        <is>
          <t>display</t>
        </is>
      </c>
      <c r="G149" s="2" t="inlineStr">
        <is>
          <t>AR09</t>
        </is>
      </c>
      <c r="H149" s="2">
        <f>COUNTIF('Anh xa'!$A$2:$A$725,A149)</f>
        <v/>
      </c>
      <c r="I149" s="2">
        <f>IF(H149&gt;0,"Đã ánh xạ","THIẾU")</f>
        <v/>
      </c>
      <c r="J149" s="6" t="inlineStr">
        <is>
          <t>Chưa làm</t>
        </is>
      </c>
      <c r="K149" s="6" t="inlineStr"/>
    </row>
    <row r="150">
      <c r="A150" s="2" t="inlineStr">
        <is>
          <t>A5.8.9</t>
        </is>
      </c>
      <c r="B150" s="2" t="n">
        <v>3</v>
      </c>
      <c r="C150" s="2" t="inlineStr">
        <is>
          <t>Tab Thiết kế</t>
        </is>
      </c>
      <c r="D150" s="2" t="inlineStr">
        <is>
          <t>Sơ đồ nguyên lý KiCad (SCH-44, cờ features.schematic)</t>
        </is>
      </c>
      <c r="E150" s="2" t="inlineStr">
        <is>
          <t>Xuất gói sch (.kicad_sch + .kicad_sym + .net + SVG) vào snapshot</t>
        </is>
      </c>
      <c r="F150" s="2" t="inlineStr">
        <is>
          <t>action</t>
        </is>
      </c>
      <c r="G150" s="2" t="inlineStr">
        <is>
          <t>AR09</t>
        </is>
      </c>
      <c r="H150" s="2">
        <f>COUNTIF('Anh xa'!$A$2:$A$725,A150)</f>
        <v/>
      </c>
      <c r="I150" s="2">
        <f>IF(H150&gt;0,"Đã ánh xạ","THIẾU")</f>
        <v/>
      </c>
      <c r="J150" s="6" t="inlineStr">
        <is>
          <t>Chưa làm</t>
        </is>
      </c>
      <c r="K150" s="6" t="inlineStr"/>
    </row>
    <row r="151">
      <c r="A151" s="2" t="inlineStr">
        <is>
          <t>A5.8.10</t>
        </is>
      </c>
      <c r="B151" s="2" t="n">
        <v>3</v>
      </c>
      <c r="C151" s="2" t="inlineStr">
        <is>
          <t>Tab Thiết kế</t>
        </is>
      </c>
      <c r="D151" s="2" t="inlineStr">
        <is>
          <t>Sơ đồ nguyên lý KiCad (SCH-44, cờ features.schematic)</t>
        </is>
      </c>
      <c r="E151" s="2" t="inlineStr">
        <is>
          <t>Giữ bố cục người đã sửa khi sinh lại (uuid theo ref); ghi đè tệp người sửa → G-FILE</t>
        </is>
      </c>
      <c r="F151" s="2" t="inlineStr">
        <is>
          <t>display</t>
        </is>
      </c>
      <c r="G151" s="2" t="inlineStr">
        <is>
          <t>AR09</t>
        </is>
      </c>
      <c r="H151" s="2">
        <f>COUNTIF('Anh xa'!$A$2:$A$725,A151)</f>
        <v/>
      </c>
      <c r="I151" s="2">
        <f>IF(H151&gt;0,"Đã ánh xạ","THIẾU")</f>
        <v/>
      </c>
      <c r="J151" s="6" t="inlineStr">
        <is>
          <t>Chưa làm</t>
        </is>
      </c>
      <c r="K151" s="6" t="inlineStr"/>
    </row>
    <row r="152">
      <c r="A152" s="2" t="inlineStr">
        <is>
          <t>A5.8.11</t>
        </is>
      </c>
      <c r="B152" s="2" t="n">
        <v>3</v>
      </c>
      <c r="C152" s="2" t="inlineStr">
        <is>
          <t>Tab Thiết kế</t>
        </is>
      </c>
      <c r="D152" s="2" t="inlineStr">
        <is>
          <t>Sơ đồ nguyên lý KiCad (SCH-44, cờ features.schematic)</t>
        </is>
      </c>
      <c r="E152" s="2" t="inlineStr">
        <is>
          <t>Kết quả hồi quy hai chế độ (cờ tắt/bật) trước khi bật tính năng</t>
        </is>
      </c>
      <c r="F152" s="2" t="inlineStr">
        <is>
          <t>display</t>
        </is>
      </c>
      <c r="G152" s="2" t="inlineStr">
        <is>
          <t>AR09</t>
        </is>
      </c>
      <c r="H152" s="2">
        <f>COUNTIF('Anh xa'!$A$2:$A$725,A152)</f>
        <v/>
      </c>
      <c r="I152" s="2">
        <f>IF(H152&gt;0,"Đã ánh xạ","THIẾU")</f>
        <v/>
      </c>
      <c r="J152" s="6" t="inlineStr">
        <is>
          <t>Chưa làm</t>
        </is>
      </c>
      <c r="K152" s="6" t="inlineStr"/>
    </row>
    <row r="153">
      <c r="A153" s="2" t="inlineStr">
        <is>
          <t>A5.9</t>
        </is>
      </c>
      <c r="B153" s="2" t="n">
        <v>2</v>
      </c>
      <c r="C153" s="2" t="inlineStr">
        <is>
          <t>Tab Thiết kế</t>
        </is>
      </c>
      <c r="D153" s="2" t="inlineStr">
        <is>
          <t>Cây khối phân cấp (HIER-45)</t>
        </is>
      </c>
      <c r="E153" s="2" t="inlineStr"/>
      <c r="F153" s="2" t="inlineStr">
        <is>
          <t>khối</t>
        </is>
      </c>
      <c r="G153" s="2" t="inlineStr">
        <is>
          <t>AR06</t>
        </is>
      </c>
      <c r="H153" s="2">
        <f>COUNTIF('Anh xa'!$A$2:$A$725,"A5.9")+COUNTIF('Anh xa'!$A$2:$A$725,"A5.9.*")</f>
        <v/>
      </c>
      <c r="I153" s="2">
        <f>IF(H153&gt;0,"Đã ánh xạ","THIẾU")</f>
        <v/>
      </c>
      <c r="J153" s="6" t="inlineStr">
        <is>
          <t>Chưa làm</t>
        </is>
      </c>
      <c r="K153" s="6" t="inlineStr"/>
    </row>
    <row r="154">
      <c r="A154" s="2" t="inlineStr">
        <is>
          <t>A5.9.1</t>
        </is>
      </c>
      <c r="B154" s="2" t="n">
        <v>3</v>
      </c>
      <c r="C154" s="2" t="inlineStr">
        <is>
          <t>Tab Thiết kế</t>
        </is>
      </c>
      <c r="D154" s="2" t="inlineStr">
        <is>
          <t>Cây khối phân cấp (HIER-45)</t>
        </is>
      </c>
      <c r="E154" s="2" t="inlineStr">
        <is>
          <t>Cây gập/mở: mạch → khối → khối con → linh kiện (lá); breadcrumb path; cảnh báo depth &gt; 4</t>
        </is>
      </c>
      <c r="F154" s="2" t="inlineStr">
        <is>
          <t>display</t>
        </is>
      </c>
      <c r="G154" s="2" t="inlineStr">
        <is>
          <t>AR06</t>
        </is>
      </c>
      <c r="H154" s="2">
        <f>COUNTIF('Anh xa'!$A$2:$A$725,A154)</f>
        <v/>
      </c>
      <c r="I154" s="2">
        <f>IF(H154&gt;0,"Đã ánh xạ","THIẾU")</f>
        <v/>
      </c>
      <c r="J154" s="6" t="inlineStr">
        <is>
          <t>Chưa làm</t>
        </is>
      </c>
      <c r="K154" s="6" t="inlineStr"/>
    </row>
    <row r="155">
      <c r="A155" s="2" t="inlineStr">
        <is>
          <t>A5.9.2</t>
        </is>
      </c>
      <c r="B155" s="2" t="n">
        <v>3</v>
      </c>
      <c r="C155" s="2" t="inlineStr">
        <is>
          <t>Tab Thiết kế</t>
        </is>
      </c>
      <c r="D155" s="2" t="inlineStr">
        <is>
          <t>Cây khối phân cấp (HIER-45)</t>
        </is>
      </c>
      <c r="E155" s="2" t="inlineStr">
        <is>
          <t>Bấm khối → sơ đồ khối con + bảng Port (tên, hướng, kiểu, ràng buộc) + net cục bộ + ERC của khối + BOM con</t>
        </is>
      </c>
      <c r="F155" s="2" t="inlineStr">
        <is>
          <t>display</t>
        </is>
      </c>
      <c r="G155" s="2" t="inlineStr">
        <is>
          <t>AR06</t>
        </is>
      </c>
      <c r="H155" s="2">
        <f>COUNTIF('Anh xa'!$A$2:$A$725,A155)</f>
        <v/>
      </c>
      <c r="I155" s="2">
        <f>IF(H155&gt;0,"Đã ánh xạ","THIẾU")</f>
        <v/>
      </c>
      <c r="J155" s="6" t="inlineStr">
        <is>
          <t>Chưa làm</t>
        </is>
      </c>
      <c r="K155" s="6" t="inlineStr"/>
    </row>
    <row r="156">
      <c r="A156" s="2" t="inlineStr">
        <is>
          <t>A5.9.3</t>
        </is>
      </c>
      <c r="B156" s="2" t="n">
        <v>3</v>
      </c>
      <c r="C156" s="2" t="inlineStr">
        <is>
          <t>Tab Thiết kế</t>
        </is>
      </c>
      <c r="D156" s="2" t="inlineStr">
        <is>
          <t>Cây khối phân cấp (HIER-45)</t>
        </is>
      </c>
      <c r="E156" s="2" t="inlineStr">
        <is>
          <t>Bấm lá → Fact pinout/BOM; Port của lá = pin (từ Fact, không bịa)</t>
        </is>
      </c>
      <c r="F156" s="2" t="inlineStr">
        <is>
          <t>display</t>
        </is>
      </c>
      <c r="G156" s="2" t="inlineStr">
        <is>
          <t>AR06</t>
        </is>
      </c>
      <c r="H156" s="2">
        <f>COUNTIF('Anh xa'!$A$2:$A$725,A156)</f>
        <v/>
      </c>
      <c r="I156" s="2">
        <f>IF(H156&gt;0,"Đã ánh xạ","THIẾU")</f>
        <v/>
      </c>
      <c r="J156" s="6" t="inlineStr">
        <is>
          <t>Chưa làm</t>
        </is>
      </c>
      <c r="K156" s="6" t="inlineStr"/>
    </row>
    <row r="157">
      <c r="A157" s="2" t="inlineStr">
        <is>
          <t>A5.9.4</t>
        </is>
      </c>
      <c r="B157" s="2" t="n">
        <v>3</v>
      </c>
      <c r="C157" s="2" t="inlineStr">
        <is>
          <t>Tab Thiết kế</t>
        </is>
      </c>
      <c r="D157" s="2" t="inlineStr">
        <is>
          <t>Cây khối phân cấp (HIER-45)</t>
        </is>
      </c>
      <c r="E157" s="2" t="inlineStr">
        <is>
          <t>Kéo thả lá/khối giữa cha; thêm/bớt/nối Port (= thay đổi cấu trúc → changeset)</t>
        </is>
      </c>
      <c r="F157" s="2" t="inlineStr">
        <is>
          <t>edit</t>
        </is>
      </c>
      <c r="G157" s="2" t="inlineStr">
        <is>
          <t>AR06</t>
        </is>
      </c>
      <c r="H157" s="2">
        <f>COUNTIF('Anh xa'!$A$2:$A$725,A157)</f>
        <v/>
      </c>
      <c r="I157" s="2">
        <f>IF(H157&gt;0,"Đã ánh xạ","THIẾU")</f>
        <v/>
      </c>
      <c r="J157" s="6" t="inlineStr">
        <is>
          <t>Chưa làm</t>
        </is>
      </c>
      <c r="K157" s="6" t="inlineStr"/>
    </row>
    <row r="158">
      <c r="A158" s="2" t="inlineStr">
        <is>
          <t>A5.9.5</t>
        </is>
      </c>
      <c r="B158" s="2" t="n">
        <v>3</v>
      </c>
      <c r="C158" s="2" t="inlineStr">
        <is>
          <t>Tab Thiết kế</t>
        </is>
      </c>
      <c r="D158" s="2" t="inlineStr">
        <is>
          <t>Cây khối phân cấp (HIER-45)</t>
        </is>
      </c>
      <c r="E158" s="2" t="inlineStr">
        <is>
          <t>Lỗi bất biến E8001–E8006 với gợi ý (ví dụ 'khai Port')</t>
        </is>
      </c>
      <c r="F158" s="2" t="inlineStr">
        <is>
          <t>display</t>
        </is>
      </c>
      <c r="G158" s="2" t="inlineStr">
        <is>
          <t>AR06</t>
        </is>
      </c>
      <c r="H158" s="2">
        <f>COUNTIF('Anh xa'!$A$2:$A$725,A158)</f>
        <v/>
      </c>
      <c r="I158" s="2">
        <f>IF(H158&gt;0,"Đã ánh xạ","THIẾU")</f>
        <v/>
      </c>
      <c r="J158" s="6" t="inlineStr">
        <is>
          <t>Chưa làm</t>
        </is>
      </c>
      <c r="K158" s="6" t="inlineStr"/>
    </row>
    <row r="159">
      <c r="A159" s="2" t="inlineStr">
        <is>
          <t>A5.9.6</t>
        </is>
      </c>
      <c r="B159" s="2" t="n">
        <v>3</v>
      </c>
      <c r="C159" s="2" t="inlineStr">
        <is>
          <t>Tab Thiết kế</t>
        </is>
      </c>
      <c r="D159" s="2" t="inlineStr">
        <is>
          <t>Cây khối phân cấp (HIER-45)</t>
        </is>
      </c>
      <c r="E159" s="2" t="inlineStr">
        <is>
          <t>Tô STALE theo nút cây + lý do (changeset); Chấp nhận STALE cho nút/nhánh</t>
        </is>
      </c>
      <c r="F159" s="2" t="inlineStr">
        <is>
          <t>action</t>
        </is>
      </c>
      <c r="G159" s="2" t="inlineStr">
        <is>
          <t>AR06</t>
        </is>
      </c>
      <c r="H159" s="2">
        <f>COUNTIF('Anh xa'!$A$2:$A$725,A159)</f>
        <v/>
      </c>
      <c r="I159" s="2">
        <f>IF(H159&gt;0,"Đã ánh xạ","THIẾU")</f>
        <v/>
      </c>
      <c r="J159" s="6" t="inlineStr">
        <is>
          <t>Chưa làm</t>
        </is>
      </c>
      <c r="K159" s="6" t="inlineStr"/>
    </row>
    <row r="160">
      <c r="A160" s="2" t="inlineStr">
        <is>
          <t>A5.9.7</t>
        </is>
      </c>
      <c r="B160" s="2" t="n">
        <v>3</v>
      </c>
      <c r="C160" s="2" t="inlineStr">
        <is>
          <t>Tab Thiết kế</t>
        </is>
      </c>
      <c r="D160" s="2" t="inlineStr">
        <is>
          <t>Cây khối phân cấp (HIER-45)</t>
        </is>
      </c>
      <c r="E160" s="2" t="inlineStr">
        <is>
          <t>Ràng buộc theo cây: Iout ≥ Σ I, mức logic, trùng địa chỉ bus, pull-up theo bus — kết quả + 'chưa đủ dữ kiện'</t>
        </is>
      </c>
      <c r="F160" s="2" t="inlineStr">
        <is>
          <t>display</t>
        </is>
      </c>
      <c r="G160" s="2" t="inlineStr">
        <is>
          <t>AR06</t>
        </is>
      </c>
      <c r="H160" s="2">
        <f>COUNTIF('Anh xa'!$A$2:$A$725,A160)</f>
        <v/>
      </c>
      <c r="I160" s="2">
        <f>IF(H160&gt;0,"Đã ánh xạ","THIẾU")</f>
        <v/>
      </c>
      <c r="J160" s="6" t="inlineStr">
        <is>
          <t>Chưa làm</t>
        </is>
      </c>
      <c r="K160" s="6" t="inlineStr"/>
    </row>
    <row r="161">
      <c r="A161" s="2" t="inlineStr">
        <is>
          <t>A5.9.8</t>
        </is>
      </c>
      <c r="B161" s="2" t="n">
        <v>3</v>
      </c>
      <c r="C161" s="2" t="inlineStr">
        <is>
          <t>Tab Thiết kế</t>
        </is>
      </c>
      <c r="D161" s="2" t="inlineStr">
        <is>
          <t>Cây khối phân cấp (HIER-45)</t>
        </is>
      </c>
      <c r="E161" s="2" t="inlineStr">
        <is>
          <t>Thêm khối từ thư viện (block@semver, params) → thẻ G-DESIGN; 'Lưu làm khối thư viện' có kiểm khép kín</t>
        </is>
      </c>
      <c r="F161" s="2" t="inlineStr">
        <is>
          <t>action</t>
        </is>
      </c>
      <c r="G161" s="2" t="inlineStr">
        <is>
          <t>AR06</t>
        </is>
      </c>
      <c r="H161" s="2">
        <f>COUNTIF('Anh xa'!$A$2:$A$725,A161)</f>
        <v/>
      </c>
      <c r="I161" s="2">
        <f>IF(H161&gt;0,"Đã ánh xạ","THIẾU")</f>
        <v/>
      </c>
      <c r="J161" s="6" t="inlineStr">
        <is>
          <t>Chưa làm</t>
        </is>
      </c>
      <c r="K161" s="6" t="inlineStr"/>
    </row>
    <row r="162">
      <c r="A162" s="2" t="inlineStr">
        <is>
          <t>A5.9.9</t>
        </is>
      </c>
      <c r="B162" s="2" t="n">
        <v>3</v>
      </c>
      <c r="C162" s="2" t="inlineStr">
        <is>
          <t>Tab Thiết kế</t>
        </is>
      </c>
      <c r="D162" s="2" t="inlineStr">
        <is>
          <t>Cây khối phân cấp (HIER-45)</t>
        </is>
      </c>
      <c r="E162" s="2" t="inlineStr">
        <is>
          <t>Lớp giải thích khối: làm gì / giao tiếp gì / gồm gì / dựa vào đâu / khác bản trước / tiếp theo / tin được đến đâu</t>
        </is>
      </c>
      <c r="F162" s="2" t="inlineStr">
        <is>
          <t>display</t>
        </is>
      </c>
      <c r="G162" s="2" t="inlineStr">
        <is>
          <t>AR06</t>
        </is>
      </c>
      <c r="H162" s="2">
        <f>COUNTIF('Anh xa'!$A$2:$A$725,A162)</f>
        <v/>
      </c>
      <c r="I162" s="2">
        <f>IF(H162&gt;0,"Đã ánh xạ","THIẾU")</f>
        <v/>
      </c>
      <c r="J162" s="6" t="inlineStr">
        <is>
          <t>Chưa làm</t>
        </is>
      </c>
      <c r="K162" s="6" t="inlineStr"/>
    </row>
    <row r="163">
      <c r="A163" s="2" t="inlineStr">
        <is>
          <t>A5.9.10</t>
        </is>
      </c>
      <c r="B163" s="2" t="n">
        <v>3</v>
      </c>
      <c r="C163" s="2" t="inlineStr">
        <is>
          <t>Tab Thiết kế</t>
        </is>
      </c>
      <c r="D163" s="2" t="inlineStr">
        <is>
          <t>Cây khối phân cấp (HIER-45)</t>
        </is>
      </c>
      <c r="E163" s="2" t="inlineStr">
        <is>
          <t>Chế độ xem: cây · phẳng (flatten) · sheet KiCad phân cấp; đối chiếu netlist SKiDL = flatten</t>
        </is>
      </c>
      <c r="F163" s="2" t="inlineStr">
        <is>
          <t>display</t>
        </is>
      </c>
      <c r="G163" s="2" t="inlineStr">
        <is>
          <t>AR06</t>
        </is>
      </c>
      <c r="H163" s="2">
        <f>COUNTIF('Anh xa'!$A$2:$A$725,A163)</f>
        <v/>
      </c>
      <c r="I163" s="2">
        <f>IF(H163&gt;0,"Đã ánh xạ","THIẾU")</f>
        <v/>
      </c>
      <c r="J163" s="6" t="inlineStr">
        <is>
          <t>Chưa làm</t>
        </is>
      </c>
      <c r="K163" s="6" t="inlineStr"/>
    </row>
    <row r="164">
      <c r="A164" s="2" t="inlineStr">
        <is>
          <t>A5.9.11</t>
        </is>
      </c>
      <c r="B164" s="2" t="n">
        <v>3</v>
      </c>
      <c r="C164" s="2" t="inlineStr">
        <is>
          <t>Tab Thiết kế</t>
        </is>
      </c>
      <c r="D164" s="2" t="inlineStr">
        <is>
          <t>Cây khối phân cấp (HIER-45)</t>
        </is>
      </c>
      <c r="E164" s="2" t="inlineStr">
        <is>
          <t>Nạp lại .kicad_sch phân cấp → cây; cấu trúc lệch → thẻ hỏi</t>
        </is>
      </c>
      <c r="F164" s="2" t="inlineStr">
        <is>
          <t>action</t>
        </is>
      </c>
      <c r="G164" s="2" t="inlineStr">
        <is>
          <t>AR06</t>
        </is>
      </c>
      <c r="H164" s="2">
        <f>COUNTIF('Anh xa'!$A$2:$A$725,A164)</f>
        <v/>
      </c>
      <c r="I164" s="2">
        <f>IF(H164&gt;0,"Đã ánh xạ","THIẾU")</f>
        <v/>
      </c>
      <c r="J164" s="6" t="inlineStr">
        <is>
          <t>Chưa làm</t>
        </is>
      </c>
      <c r="K164" s="6" t="inlineStr"/>
    </row>
    <row r="165">
      <c r="A165" s="2" t="inlineStr">
        <is>
          <t>A5.9.12</t>
        </is>
      </c>
      <c r="B165" s="2" t="n">
        <v>3</v>
      </c>
      <c r="C165" s="2" t="inlineStr">
        <is>
          <t>Tab Thiết kế</t>
        </is>
      </c>
      <c r="D165" s="2" t="inlineStr">
        <is>
          <t>Cây khối phân cấp (HIER-45)</t>
        </is>
      </c>
      <c r="E165" s="2" t="inlineStr">
        <is>
          <t>Trạng thái migration dự án cũ + kết quả hồi quy; block@semver trong snapshot</t>
        </is>
      </c>
      <c r="F165" s="2" t="inlineStr">
        <is>
          <t>display</t>
        </is>
      </c>
      <c r="G165" s="2" t="inlineStr">
        <is>
          <t>AR06</t>
        </is>
      </c>
      <c r="H165" s="2">
        <f>COUNTIF('Anh xa'!$A$2:$A$725,A165)</f>
        <v/>
      </c>
      <c r="I165" s="2">
        <f>IF(H165&gt;0,"Đã ánh xạ","THIẾU")</f>
        <v/>
      </c>
      <c r="J165" s="6" t="inlineStr">
        <is>
          <t>Chưa làm</t>
        </is>
      </c>
      <c r="K165" s="6" t="inlineStr"/>
    </row>
    <row r="166">
      <c r="A166" s="2" t="inlineStr">
        <is>
          <t>A5.7</t>
        </is>
      </c>
      <c r="B166" s="2" t="n">
        <v>2</v>
      </c>
      <c r="C166" s="2" t="inlineStr">
        <is>
          <t>Tab Thiết kế</t>
        </is>
      </c>
      <c r="D166" s="2" t="inlineStr">
        <is>
          <t>Chuẩn bị sản xuất</t>
        </is>
      </c>
      <c r="E166" s="2" t="inlineStr"/>
      <c r="F166" s="2" t="inlineStr">
        <is>
          <t>khối</t>
        </is>
      </c>
      <c r="G166" s="2" t="inlineStr"/>
      <c r="H166" s="2">
        <f>COUNTIF('Anh xa'!$A$2:$A$725,"A5.7")+COUNTIF('Anh xa'!$A$2:$A$725,"A5.7.*")</f>
        <v/>
      </c>
      <c r="I166" s="2">
        <f>IF(H166&gt;0,"Đã ánh xạ","THIẾU")</f>
        <v/>
      </c>
      <c r="J166" s="6" t="inlineStr">
        <is>
          <t>Chưa làm</t>
        </is>
      </c>
      <c r="K166" s="6" t="inlineStr"/>
    </row>
    <row r="167">
      <c r="A167" s="2" t="inlineStr">
        <is>
          <t>A5.7.1</t>
        </is>
      </c>
      <c r="B167" s="2" t="n">
        <v>3</v>
      </c>
      <c r="C167" s="2" t="inlineStr">
        <is>
          <t>Tab Thiết kế</t>
        </is>
      </c>
      <c r="D167" s="2" t="inlineStr">
        <is>
          <t>Chuẩn bị sản xuất</t>
        </is>
      </c>
      <c r="E167" s="2" t="inlineStr">
        <is>
          <t>Nút Gerber/DRC/file gắp đặt hiển thị 'ngoài phạm vi v3' (không giả vờ có)</t>
        </is>
      </c>
      <c r="F167" s="2" t="inlineStr">
        <is>
          <t>display</t>
        </is>
      </c>
      <c r="G167" s="2" t="inlineStr"/>
      <c r="H167" s="2">
        <f>COUNTIF('Anh xa'!$A$2:$A$725,A167)</f>
        <v/>
      </c>
      <c r="I167" s="2">
        <f>IF(H167&gt;0,"Đã ánh xạ","THIẾU")</f>
        <v/>
      </c>
      <c r="J167" s="6" t="inlineStr">
        <is>
          <t>Chưa làm</t>
        </is>
      </c>
      <c r="K167" s="6" t="inlineStr"/>
    </row>
    <row r="168">
      <c r="A168" s="2" t="inlineStr">
        <is>
          <t>A5.6</t>
        </is>
      </c>
      <c r="B168" s="2" t="n">
        <v>2</v>
      </c>
      <c r="C168" s="2" t="inlineStr">
        <is>
          <t>Tab Thiết kế</t>
        </is>
      </c>
      <c r="D168" s="2" t="inlineStr">
        <is>
          <t>Bảo mật &amp; OTA (thiết kế)</t>
        </is>
      </c>
      <c r="E168" s="2" t="inlineStr"/>
      <c r="F168" s="2" t="inlineStr">
        <is>
          <t>khối</t>
        </is>
      </c>
      <c r="G168" s="2" t="inlineStr"/>
      <c r="H168" s="2">
        <f>COUNTIF('Anh xa'!$A$2:$A$725,"A5.6")+COUNTIF('Anh xa'!$A$2:$A$725,"A5.6.*")</f>
        <v/>
      </c>
      <c r="I168" s="2">
        <f>IF(H168&gt;0,"Đã ánh xạ","THIẾU")</f>
        <v/>
      </c>
      <c r="J168" s="6" t="inlineStr">
        <is>
          <t>Chưa làm</t>
        </is>
      </c>
      <c r="K168" s="6" t="inlineStr"/>
    </row>
    <row r="169">
      <c r="A169" s="2" t="inlineStr">
        <is>
          <t>A5.6.1</t>
        </is>
      </c>
      <c r="B169" s="2" t="n">
        <v>3</v>
      </c>
      <c r="C169" s="2" t="inlineStr">
        <is>
          <t>Tab Thiết kế</t>
        </is>
      </c>
      <c r="D169" s="2" t="inlineStr">
        <is>
          <t>Bảo mật &amp; OTA (thiết kế)</t>
        </is>
      </c>
      <c r="E169" s="2" t="inlineStr">
        <is>
          <t>Phân vùng A/B, chữ ký, rollback; kịch bản mất điện/gói sai chữ ký</t>
        </is>
      </c>
      <c r="F169" s="2" t="inlineStr">
        <is>
          <t>display</t>
        </is>
      </c>
      <c r="G169" s="2" t="inlineStr"/>
      <c r="H169" s="2">
        <f>COUNTIF('Anh xa'!$A$2:$A$725,A169)</f>
        <v/>
      </c>
      <c r="I169" s="2">
        <f>IF(H169&gt;0,"Đã ánh xạ","THIẾU")</f>
        <v/>
      </c>
      <c r="J169" s="6" t="inlineStr">
        <is>
          <t>Chưa làm</t>
        </is>
      </c>
      <c r="K169" s="6" t="inlineStr"/>
    </row>
    <row r="170">
      <c r="A170" s="7" t="inlineStr">
        <is>
          <t>A6</t>
        </is>
      </c>
      <c r="B170" s="7" t="n">
        <v>1</v>
      </c>
      <c r="C170" s="7" t="inlineStr">
        <is>
          <t>Tab Công cụ</t>
        </is>
      </c>
      <c r="D170" s="2" t="inlineStr"/>
      <c r="E170" s="2" t="inlineStr"/>
      <c r="F170" s="2" t="inlineStr">
        <is>
          <t>tab</t>
        </is>
      </c>
      <c r="G170" s="2" t="inlineStr"/>
      <c r="H170" s="2">
        <f>COUNTIF('Anh xa'!$A$2:$A$725,"A6.*")</f>
        <v/>
      </c>
      <c r="I170" s="2">
        <f>IF(H170&gt;0,"Đã ánh xạ","THIẾU")</f>
        <v/>
      </c>
      <c r="J170" s="6" t="inlineStr">
        <is>
          <t>Chưa làm</t>
        </is>
      </c>
      <c r="K170" s="6" t="inlineStr"/>
    </row>
    <row r="171">
      <c r="A171" s="2" t="inlineStr">
        <is>
          <t>A6.1</t>
        </is>
      </c>
      <c r="B171" s="2" t="n">
        <v>2</v>
      </c>
      <c r="C171" s="2" t="inlineStr">
        <is>
          <t>Tab Công cụ</t>
        </is>
      </c>
      <c r="D171" s="2" t="inlineStr">
        <is>
          <t>Kiểm kê công cụ</t>
        </is>
      </c>
      <c r="E171" s="2" t="inlineStr"/>
      <c r="F171" s="2" t="inlineStr">
        <is>
          <t>khối</t>
        </is>
      </c>
      <c r="G171" s="2" t="inlineStr"/>
      <c r="H171" s="2">
        <f>COUNTIF('Anh xa'!$A$2:$A$725,"A6.1")+COUNTIF('Anh xa'!$A$2:$A$725,"A6.1.*")</f>
        <v/>
      </c>
      <c r="I171" s="2">
        <f>IF(H171&gt;0,"Đã ánh xạ","THIẾU")</f>
        <v/>
      </c>
      <c r="J171" s="6" t="inlineStr">
        <is>
          <t>Chưa làm</t>
        </is>
      </c>
      <c r="K171" s="6" t="inlineStr"/>
    </row>
    <row r="172">
      <c r="A172" s="2" t="inlineStr">
        <is>
          <t>A6.1.1</t>
        </is>
      </c>
      <c r="B172" s="2" t="n">
        <v>3</v>
      </c>
      <c r="C172" s="2" t="inlineStr">
        <is>
          <t>Tab Công cụ</t>
        </is>
      </c>
      <c r="D172" s="2" t="inlineStr">
        <is>
          <t>Kiểm kê công cụ</t>
        </is>
      </c>
      <c r="E172" s="2" t="inlineStr">
        <is>
          <t>kv: toolchain theo ISA, phiên bản, mô phỏng, bộ nạp; khớp ISA chip; thiếu manifest nói thẳng</t>
        </is>
      </c>
      <c r="F172" s="2" t="inlineStr">
        <is>
          <t>display</t>
        </is>
      </c>
      <c r="G172" s="2" t="inlineStr"/>
      <c r="H172" s="2">
        <f>COUNTIF('Anh xa'!$A$2:$A$725,A172)</f>
        <v/>
      </c>
      <c r="I172" s="2">
        <f>IF(H172&gt;0,"Đã ánh xạ","THIẾU")</f>
        <v/>
      </c>
      <c r="J172" s="6" t="inlineStr">
        <is>
          <t>Chưa làm</t>
        </is>
      </c>
      <c r="K172" s="6" t="inlineStr"/>
    </row>
    <row r="173">
      <c r="A173" s="2" t="inlineStr">
        <is>
          <t>A6.2</t>
        </is>
      </c>
      <c r="B173" s="2" t="n">
        <v>2</v>
      </c>
      <c r="C173" s="2" t="inlineStr">
        <is>
          <t>Tab Công cụ</t>
        </is>
      </c>
      <c r="D173" s="2" t="inlineStr">
        <is>
          <t>Cài đặt</t>
        </is>
      </c>
      <c r="E173" s="2" t="inlineStr"/>
      <c r="F173" s="2" t="inlineStr">
        <is>
          <t>khối</t>
        </is>
      </c>
      <c r="G173" s="2" t="inlineStr"/>
      <c r="H173" s="2">
        <f>COUNTIF('Anh xa'!$A$2:$A$725,"A6.2")+COUNTIF('Anh xa'!$A$2:$A$725,"A6.2.*")</f>
        <v/>
      </c>
      <c r="I173" s="2">
        <f>IF(H173&gt;0,"Đã ánh xạ","THIẾU")</f>
        <v/>
      </c>
      <c r="J173" s="6" t="inlineStr">
        <is>
          <t>Chưa làm</t>
        </is>
      </c>
      <c r="K173" s="6" t="inlineStr"/>
    </row>
    <row r="174">
      <c r="A174" s="2" t="inlineStr">
        <is>
          <t>A6.2.1</t>
        </is>
      </c>
      <c r="B174" s="2" t="n">
        <v>3</v>
      </c>
      <c r="C174" s="2" t="inlineStr">
        <is>
          <t>Tab Công cụ</t>
        </is>
      </c>
      <c r="D174" s="2" t="inlineStr">
        <is>
          <t>Cài đặt</t>
        </is>
      </c>
      <c r="E174" s="2" t="inlineStr">
        <is>
          <t>Đề nghị cài: lệnh cụ thể theo HĐH, nguồn, kích thước → thẻ G-TOOL</t>
        </is>
      </c>
      <c r="F174" s="2" t="inlineStr">
        <is>
          <t>action</t>
        </is>
      </c>
      <c r="G174" s="2" t="inlineStr"/>
      <c r="H174" s="2">
        <f>COUNTIF('Anh xa'!$A$2:$A$725,A174)</f>
        <v/>
      </c>
      <c r="I174" s="2">
        <f>IF(H174&gt;0,"Đã ánh xạ","THIẾU")</f>
        <v/>
      </c>
      <c r="J174" s="6" t="inlineStr">
        <is>
          <t>Chưa làm</t>
        </is>
      </c>
      <c r="K174" s="6" t="inlineStr"/>
    </row>
    <row r="175">
      <c r="A175" s="2" t="inlineStr">
        <is>
          <t>A6.2.2</t>
        </is>
      </c>
      <c r="B175" s="2" t="n">
        <v>3</v>
      </c>
      <c r="C175" s="2" t="inlineStr">
        <is>
          <t>Tab Công cụ</t>
        </is>
      </c>
      <c r="D175" s="2" t="inlineStr">
        <is>
          <t>Cài đặt</t>
        </is>
      </c>
      <c r="E175" s="2" t="inlineStr">
        <is>
          <t>'Tin' gói này lần sau (R0–R2)</t>
        </is>
      </c>
      <c r="F175" s="2" t="inlineStr">
        <is>
          <t>action</t>
        </is>
      </c>
      <c r="G175" s="2" t="inlineStr"/>
      <c r="H175" s="2">
        <f>COUNTIF('Anh xa'!$A$2:$A$725,A175)</f>
        <v/>
      </c>
      <c r="I175" s="2">
        <f>IF(H175&gt;0,"Đã ánh xạ","THIẾU")</f>
        <v/>
      </c>
      <c r="J175" s="6" t="inlineStr">
        <is>
          <t>Chưa làm</t>
        </is>
      </c>
      <c r="K175" s="6" t="inlineStr"/>
    </row>
    <row r="176">
      <c r="A176" s="2" t="inlineStr">
        <is>
          <t>A6.2.3</t>
        </is>
      </c>
      <c r="B176" s="2" t="n">
        <v>3</v>
      </c>
      <c r="C176" s="2" t="inlineStr">
        <is>
          <t>Tab Công cụ</t>
        </is>
      </c>
      <c r="D176" s="2" t="inlineStr">
        <is>
          <t>Cài đặt</t>
        </is>
      </c>
      <c r="E176" s="2" t="inlineStr">
        <is>
          <t>Log cài đặt</t>
        </is>
      </c>
      <c r="F176" s="2" t="inlineStr">
        <is>
          <t>display</t>
        </is>
      </c>
      <c r="G176" s="2" t="inlineStr"/>
      <c r="H176" s="2">
        <f>COUNTIF('Anh xa'!$A$2:$A$725,A176)</f>
        <v/>
      </c>
      <c r="I176" s="2">
        <f>IF(H176&gt;0,"Đã ánh xạ","THIẾU")</f>
        <v/>
      </c>
      <c r="J176" s="6" t="inlineStr">
        <is>
          <t>Chưa làm</t>
        </is>
      </c>
      <c r="K176" s="6" t="inlineStr"/>
    </row>
    <row r="177">
      <c r="A177" s="2" t="inlineStr">
        <is>
          <t>A6.3</t>
        </is>
      </c>
      <c r="B177" s="2" t="n">
        <v>2</v>
      </c>
      <c r="C177" s="2" t="inlineStr">
        <is>
          <t>Tab Công cụ</t>
        </is>
      </c>
      <c r="D177" s="2" t="inlineStr">
        <is>
          <t>Skill &amp; subagent</t>
        </is>
      </c>
      <c r="E177" s="2" t="inlineStr"/>
      <c r="F177" s="2" t="inlineStr">
        <is>
          <t>khối</t>
        </is>
      </c>
      <c r="G177" s="2" t="inlineStr"/>
      <c r="H177" s="2">
        <f>COUNTIF('Anh xa'!$A$2:$A$725,"A6.3")+COUNTIF('Anh xa'!$A$2:$A$725,"A6.3.*")</f>
        <v/>
      </c>
      <c r="I177" s="2">
        <f>IF(H177&gt;0,"Đã ánh xạ","THIẾU")</f>
        <v/>
      </c>
      <c r="J177" s="6" t="inlineStr">
        <is>
          <t>Chưa làm</t>
        </is>
      </c>
      <c r="K177" s="6" t="inlineStr"/>
    </row>
    <row r="178">
      <c r="A178" s="2" t="inlineStr">
        <is>
          <t>A6.3.1</t>
        </is>
      </c>
      <c r="B178" s="2" t="n">
        <v>3</v>
      </c>
      <c r="C178" s="2" t="inlineStr">
        <is>
          <t>Tab Công cụ</t>
        </is>
      </c>
      <c r="D178" s="2" t="inlineStr">
        <is>
          <t>Skill &amp; subagent</t>
        </is>
      </c>
      <c r="E178" s="2" t="inlineStr">
        <is>
          <t>Skill đang nạp / gợi ý (mở SKILL.md)</t>
        </is>
      </c>
      <c r="F178" s="2" t="inlineStr">
        <is>
          <t>display</t>
        </is>
      </c>
      <c r="G178" s="2" t="inlineStr"/>
      <c r="H178" s="2">
        <f>COUNTIF('Anh xa'!$A$2:$A$725,A178)</f>
        <v/>
      </c>
      <c r="I178" s="2">
        <f>IF(H178&gt;0,"Đã ánh xạ","THIẾU")</f>
        <v/>
      </c>
      <c r="J178" s="6" t="inlineStr">
        <is>
          <t>Chưa làm</t>
        </is>
      </c>
      <c r="K178" s="6" t="inlineStr"/>
    </row>
    <row r="179">
      <c r="A179" s="2" t="inlineStr">
        <is>
          <t>A6.3.2</t>
        </is>
      </c>
      <c r="B179" s="2" t="n">
        <v>3</v>
      </c>
      <c r="C179" s="2" t="inlineStr">
        <is>
          <t>Tab Công cụ</t>
        </is>
      </c>
      <c r="D179" s="2" t="inlineStr">
        <is>
          <t>Skill &amp; subagent</t>
        </is>
      </c>
      <c r="E179" s="2" t="inlineStr">
        <is>
          <t>Danh sách subagent + tool được phép</t>
        </is>
      </c>
      <c r="F179" s="2" t="inlineStr">
        <is>
          <t>display</t>
        </is>
      </c>
      <c r="G179" s="2" t="inlineStr"/>
      <c r="H179" s="2">
        <f>COUNTIF('Anh xa'!$A$2:$A$725,A179)</f>
        <v/>
      </c>
      <c r="I179" s="2">
        <f>IF(H179&gt;0,"Đã ánh xạ","THIẾU")</f>
        <v/>
      </c>
      <c r="J179" s="6" t="inlineStr">
        <is>
          <t>Chưa làm</t>
        </is>
      </c>
      <c r="K179" s="6" t="inlineStr"/>
    </row>
    <row r="180">
      <c r="A180" s="7" t="inlineStr">
        <is>
          <t>A7</t>
        </is>
      </c>
      <c r="B180" s="7" t="n">
        <v>1</v>
      </c>
      <c r="C180" s="7" t="inlineStr">
        <is>
          <t>Tab Mã nguồn</t>
        </is>
      </c>
      <c r="D180" s="2" t="inlineStr"/>
      <c r="E180" s="2" t="inlineStr"/>
      <c r="F180" s="2" t="inlineStr">
        <is>
          <t>tab</t>
        </is>
      </c>
      <c r="G180" s="2" t="inlineStr"/>
      <c r="H180" s="2">
        <f>COUNTIF('Anh xa'!$A$2:$A$725,"A7.*")</f>
        <v/>
      </c>
      <c r="I180" s="2">
        <f>IF(H180&gt;0,"Đã ánh xạ","THIẾU")</f>
        <v/>
      </c>
      <c r="J180" s="6" t="inlineStr">
        <is>
          <t>Chưa làm</t>
        </is>
      </c>
      <c r="K180" s="6" t="inlineStr"/>
    </row>
    <row r="181">
      <c r="A181" s="2" t="inlineStr">
        <is>
          <t>A7.1</t>
        </is>
      </c>
      <c r="B181" s="2" t="n">
        <v>2</v>
      </c>
      <c r="C181" s="2" t="inlineStr">
        <is>
          <t>Tab Mã nguồn</t>
        </is>
      </c>
      <c r="D181" s="2" t="inlineStr">
        <is>
          <t>Editor</t>
        </is>
      </c>
      <c r="E181" s="2" t="inlineStr"/>
      <c r="F181" s="2" t="inlineStr">
        <is>
          <t>khối</t>
        </is>
      </c>
      <c r="G181" s="2" t="inlineStr">
        <is>
          <t>AR13</t>
        </is>
      </c>
      <c r="H181" s="2">
        <f>COUNTIF('Anh xa'!$A$2:$A$725,"A7.1")+COUNTIF('Anh xa'!$A$2:$A$725,"A7.1.*")</f>
        <v/>
      </c>
      <c r="I181" s="2">
        <f>IF(H181&gt;0,"Đã ánh xạ","THIẾU")</f>
        <v/>
      </c>
      <c r="J181" s="6" t="inlineStr">
        <is>
          <t>Chưa làm</t>
        </is>
      </c>
      <c r="K181" s="6" t="inlineStr"/>
    </row>
    <row r="182">
      <c r="A182" s="2" t="inlineStr">
        <is>
          <t>A7.1.1</t>
        </is>
      </c>
      <c r="B182" s="2" t="n">
        <v>3</v>
      </c>
      <c r="C182" s="2" t="inlineStr">
        <is>
          <t>Tab Mã nguồn</t>
        </is>
      </c>
      <c r="D182" s="2" t="inlineStr">
        <is>
          <t>Editor</t>
        </is>
      </c>
      <c r="E182" s="2" t="inlineStr">
        <is>
          <t>Cây dự án + editor; hằng số gạch chân nguồn (hover → Fact)</t>
        </is>
      </c>
      <c r="F182" s="2" t="inlineStr">
        <is>
          <t>display</t>
        </is>
      </c>
      <c r="G182" s="2" t="inlineStr">
        <is>
          <t>AR13</t>
        </is>
      </c>
      <c r="H182" s="2">
        <f>COUNTIF('Anh xa'!$A$2:$A$725,A182)</f>
        <v/>
      </c>
      <c r="I182" s="2">
        <f>IF(H182&gt;0,"Đã ánh xạ","THIẾU")</f>
        <v/>
      </c>
      <c r="J182" s="6" t="inlineStr">
        <is>
          <t>Chưa làm</t>
        </is>
      </c>
      <c r="K182" s="6" t="inlineStr"/>
    </row>
    <row r="183">
      <c r="A183" s="2" t="inlineStr">
        <is>
          <t>A7.1.2</t>
        </is>
      </c>
      <c r="B183" s="2" t="n">
        <v>3</v>
      </c>
      <c r="C183" s="2" t="inlineStr">
        <is>
          <t>Tab Mã nguồn</t>
        </is>
      </c>
      <c r="D183" s="2" t="inlineStr">
        <is>
          <t>Editor</t>
        </is>
      </c>
      <c r="E183" s="2" t="inlineStr">
        <is>
          <t>Sửa tự do; Lưu = HumanAct edit (luôn tự duyệt)</t>
        </is>
      </c>
      <c r="F183" s="2" t="inlineStr">
        <is>
          <t>edit</t>
        </is>
      </c>
      <c r="G183" s="2" t="inlineStr">
        <is>
          <t>AR13</t>
        </is>
      </c>
      <c r="H183" s="2">
        <f>COUNTIF('Anh xa'!$A$2:$A$725,A183)</f>
        <v/>
      </c>
      <c r="I183" s="2">
        <f>IF(H183&gt;0,"Đã ánh xạ","THIẾU")</f>
        <v/>
      </c>
      <c r="J183" s="6" t="inlineStr">
        <is>
          <t>Chưa làm</t>
        </is>
      </c>
      <c r="K183" s="6" t="inlineStr"/>
    </row>
    <row r="184">
      <c r="A184" s="2" t="inlineStr">
        <is>
          <t>A7.1.3</t>
        </is>
      </c>
      <c r="B184" s="2" t="n">
        <v>3</v>
      </c>
      <c r="C184" s="2" t="inlineStr">
        <is>
          <t>Tab Mã nguồn</t>
        </is>
      </c>
      <c r="D184" s="2" t="inlineStr">
        <is>
          <t>Editor</t>
        </is>
      </c>
      <c r="E184" s="2" t="inlineStr">
        <is>
          <t>Thanh soft-lock 'tác tử đang sửa' + cảnh báo lock_broken</t>
        </is>
      </c>
      <c r="F184" s="2" t="inlineStr">
        <is>
          <t>display</t>
        </is>
      </c>
      <c r="G184" s="2" t="inlineStr">
        <is>
          <t>AR13</t>
        </is>
      </c>
      <c r="H184" s="2">
        <f>COUNTIF('Anh xa'!$A$2:$A$725,A184)</f>
        <v/>
      </c>
      <c r="I184" s="2">
        <f>IF(H184&gt;0,"Đã ánh xạ","THIẾU")</f>
        <v/>
      </c>
      <c r="J184" s="6" t="inlineStr">
        <is>
          <t>Chưa làm</t>
        </is>
      </c>
      <c r="K184" s="6" t="inlineStr"/>
    </row>
    <row r="185">
      <c r="A185" s="2" t="inlineStr">
        <is>
          <t>A7.1.4</t>
        </is>
      </c>
      <c r="B185" s="2" t="n">
        <v>3</v>
      </c>
      <c r="C185" s="2" t="inlineStr">
        <is>
          <t>Tab Mã nguồn</t>
        </is>
      </c>
      <c r="D185" s="2" t="inlineStr">
        <is>
          <t>Editor</t>
        </is>
      </c>
      <c r="E185" s="2" t="inlineStr">
        <is>
          <t>Xung đột → hai bản cạnh nhau, chọn từng đoạn</t>
        </is>
      </c>
      <c r="F185" s="2" t="inlineStr">
        <is>
          <t>edit</t>
        </is>
      </c>
      <c r="G185" s="2" t="inlineStr">
        <is>
          <t>AR13</t>
        </is>
      </c>
      <c r="H185" s="2">
        <f>COUNTIF('Anh xa'!$A$2:$A$725,A185)</f>
        <v/>
      </c>
      <c r="I185" s="2">
        <f>IF(H185&gt;0,"Đã ánh xạ","THIẾU")</f>
        <v/>
      </c>
      <c r="J185" s="6" t="inlineStr">
        <is>
          <t>Chưa làm</t>
        </is>
      </c>
      <c r="K185" s="6" t="inlineStr"/>
    </row>
    <row r="186">
      <c r="A186" s="2" t="inlineStr">
        <is>
          <t>A7.2</t>
        </is>
      </c>
      <c r="B186" s="2" t="n">
        <v>2</v>
      </c>
      <c r="C186" s="2" t="inlineStr">
        <is>
          <t>Tab Mã nguồn</t>
        </is>
      </c>
      <c r="D186" s="2" t="inlineStr">
        <is>
          <t>Thay đổi của tác tử (diff)</t>
        </is>
      </c>
      <c r="E186" s="2" t="inlineStr"/>
      <c r="F186" s="2" t="inlineStr">
        <is>
          <t>khối</t>
        </is>
      </c>
      <c r="G186" s="2" t="inlineStr">
        <is>
          <t>AR14</t>
        </is>
      </c>
      <c r="H186" s="2">
        <f>COUNTIF('Anh xa'!$A$2:$A$725,"A7.2")+COUNTIF('Anh xa'!$A$2:$A$725,"A7.2.*")</f>
        <v/>
      </c>
      <c r="I186" s="2">
        <f>IF(H186&gt;0,"Đã ánh xạ","THIẾU")</f>
        <v/>
      </c>
      <c r="J186" s="6" t="inlineStr">
        <is>
          <t>Chưa làm</t>
        </is>
      </c>
      <c r="K186" s="6" t="inlineStr"/>
    </row>
    <row r="187">
      <c r="A187" s="2" t="inlineStr">
        <is>
          <t>A7.2.1</t>
        </is>
      </c>
      <c r="B187" s="2" t="n">
        <v>3</v>
      </c>
      <c r="C187" s="2" t="inlineStr">
        <is>
          <t>Tab Mã nguồn</t>
        </is>
      </c>
      <c r="D187" s="2" t="inlineStr">
        <is>
          <t>Thay đổi của tác tử (diff)</t>
        </is>
      </c>
      <c r="E187" s="2" t="inlineStr">
        <is>
          <t>Diff viewer ≤ 200 dòng nguyên văn / tóm tắt; lý do; hằng số mới có nguồn?</t>
        </is>
      </c>
      <c r="F187" s="2" t="inlineStr">
        <is>
          <t>display</t>
        </is>
      </c>
      <c r="G187" s="2" t="inlineStr">
        <is>
          <t>AR14</t>
        </is>
      </c>
      <c r="H187" s="2">
        <f>COUNTIF('Anh xa'!$A$2:$A$725,A187)</f>
        <v/>
      </c>
      <c r="I187" s="2">
        <f>IF(H187&gt;0,"Đã ánh xạ","THIẾU")</f>
        <v/>
      </c>
      <c r="J187" s="6" t="inlineStr">
        <is>
          <t>Chưa làm</t>
        </is>
      </c>
      <c r="K187" s="6" t="inlineStr"/>
    </row>
    <row r="188">
      <c r="A188" s="2" t="inlineStr">
        <is>
          <t>A7.2.2</t>
        </is>
      </c>
      <c r="B188" s="2" t="n">
        <v>3</v>
      </c>
      <c r="C188" s="2" t="inlineStr">
        <is>
          <t>Tab Mã nguồn</t>
        </is>
      </c>
      <c r="D188" s="2" t="inlineStr">
        <is>
          <t>Thay đổi của tác tử (diff)</t>
        </is>
      </c>
      <c r="E188" s="2" t="inlineStr">
        <is>
          <t>Hoàn tác từng diff</t>
        </is>
      </c>
      <c r="F188" s="2" t="inlineStr">
        <is>
          <t>action</t>
        </is>
      </c>
      <c r="G188" s="2" t="inlineStr">
        <is>
          <t>AR14</t>
        </is>
      </c>
      <c r="H188" s="2">
        <f>COUNTIF('Anh xa'!$A$2:$A$725,A188)</f>
        <v/>
      </c>
      <c r="I188" s="2">
        <f>IF(H188&gt;0,"Đã ánh xạ","THIẾU")</f>
        <v/>
      </c>
      <c r="J188" s="6" t="inlineStr">
        <is>
          <t>Chưa làm</t>
        </is>
      </c>
      <c r="K188" s="6" t="inlineStr"/>
    </row>
    <row r="189">
      <c r="A189" s="2" t="inlineStr">
        <is>
          <t>A7.2.3</t>
        </is>
      </c>
      <c r="B189" s="2" t="n">
        <v>3</v>
      </c>
      <c r="C189" s="2" t="inlineStr">
        <is>
          <t>Tab Mã nguồn</t>
        </is>
      </c>
      <c r="D189" s="2" t="inlineStr">
        <is>
          <t>Thay đổi của tác tử (diff)</t>
        </is>
      </c>
      <c r="E189" s="2" t="inlineStr">
        <is>
          <t>Duyệt ghi đè tệp người đã sửa (thẻ G-FILE)</t>
        </is>
      </c>
      <c r="F189" s="2" t="inlineStr">
        <is>
          <t>action</t>
        </is>
      </c>
      <c r="G189" s="2" t="inlineStr">
        <is>
          <t>AR14</t>
        </is>
      </c>
      <c r="H189" s="2">
        <f>COUNTIF('Anh xa'!$A$2:$A$725,A189)</f>
        <v/>
      </c>
      <c r="I189" s="2">
        <f>IF(H189&gt;0,"Đã ánh xạ","THIẾU")</f>
        <v/>
      </c>
      <c r="J189" s="6" t="inlineStr">
        <is>
          <t>Chưa làm</t>
        </is>
      </c>
      <c r="K189" s="6" t="inlineStr"/>
    </row>
    <row r="190">
      <c r="A190" s="2" t="inlineStr">
        <is>
          <t>A7.3</t>
        </is>
      </c>
      <c r="B190" s="2" t="n">
        <v>2</v>
      </c>
      <c r="C190" s="2" t="inlineStr">
        <is>
          <t>Tab Mã nguồn</t>
        </is>
      </c>
      <c r="D190" s="2" t="inlineStr">
        <is>
          <t>Kết quả build</t>
        </is>
      </c>
      <c r="E190" s="2" t="inlineStr"/>
      <c r="F190" s="2" t="inlineStr">
        <is>
          <t>khối</t>
        </is>
      </c>
      <c r="G190" s="2" t="inlineStr">
        <is>
          <t>AR15</t>
        </is>
      </c>
      <c r="H190" s="2">
        <f>COUNTIF('Anh xa'!$A$2:$A$725,"A7.3")+COUNTIF('Anh xa'!$A$2:$A$725,"A7.3.*")</f>
        <v/>
      </c>
      <c r="I190" s="2">
        <f>IF(H190&gt;0,"Đã ánh xạ","THIẾU")</f>
        <v/>
      </c>
      <c r="J190" s="6" t="inlineStr">
        <is>
          <t>Chưa làm</t>
        </is>
      </c>
      <c r="K190" s="6" t="inlineStr"/>
    </row>
    <row r="191">
      <c r="A191" s="2" t="inlineStr">
        <is>
          <t>A7.3.1</t>
        </is>
      </c>
      <c r="B191" s="2" t="n">
        <v>3</v>
      </c>
      <c r="C191" s="2" t="inlineStr">
        <is>
          <t>Tab Mã nguồn</t>
        </is>
      </c>
      <c r="D191" s="2" t="inlineStr">
        <is>
          <t>Kết quả build</t>
        </is>
      </c>
      <c r="E191" s="2" t="inlineStr">
        <is>
          <t>kv đạt/không; warning có giải thích; thanh Flash/RAM so với Fact budget</t>
        </is>
      </c>
      <c r="F191" s="2" t="inlineStr">
        <is>
          <t>display</t>
        </is>
      </c>
      <c r="G191" s="2" t="inlineStr">
        <is>
          <t>AR15</t>
        </is>
      </c>
      <c r="H191" s="2">
        <f>COUNTIF('Anh xa'!$A$2:$A$725,A191)</f>
        <v/>
      </c>
      <c r="I191" s="2">
        <f>IF(H191&gt;0,"Đã ánh xạ","THIẾU")</f>
        <v/>
      </c>
      <c r="J191" s="6" t="inlineStr">
        <is>
          <t>Chưa làm</t>
        </is>
      </c>
      <c r="K191" s="6" t="inlineStr"/>
    </row>
    <row r="192">
      <c r="A192" s="2" t="inlineStr">
        <is>
          <t>A7.3.2</t>
        </is>
      </c>
      <c r="B192" s="2" t="n">
        <v>3</v>
      </c>
      <c r="C192" s="2" t="inlineStr">
        <is>
          <t>Tab Mã nguồn</t>
        </is>
      </c>
      <c r="D192" s="2" t="inlineStr">
        <is>
          <t>Kết quả build</t>
        </is>
      </c>
      <c r="E192" s="2" t="inlineStr">
        <is>
          <t>Vòng tự sửa: diff + lỗi cuối sau 3 lần</t>
        </is>
      </c>
      <c r="F192" s="2" t="inlineStr">
        <is>
          <t>display</t>
        </is>
      </c>
      <c r="G192" s="2" t="inlineStr">
        <is>
          <t>AR15</t>
        </is>
      </c>
      <c r="H192" s="2">
        <f>COUNTIF('Anh xa'!$A$2:$A$725,A192)</f>
        <v/>
      </c>
      <c r="I192" s="2">
        <f>IF(H192&gt;0,"Đã ánh xạ","THIẾU")</f>
        <v/>
      </c>
      <c r="J192" s="6" t="inlineStr">
        <is>
          <t>Chưa làm</t>
        </is>
      </c>
      <c r="K192" s="6" t="inlineStr"/>
    </row>
    <row r="193">
      <c r="A193" s="2" t="inlineStr">
        <is>
          <t>A7.4</t>
        </is>
      </c>
      <c r="B193" s="2" t="n">
        <v>2</v>
      </c>
      <c r="C193" s="2" t="inlineStr">
        <is>
          <t>Tab Mã nguồn</t>
        </is>
      </c>
      <c r="D193" s="2" t="inlineStr">
        <is>
          <t>Porting &amp; tối ưu</t>
        </is>
      </c>
      <c r="E193" s="2" t="inlineStr"/>
      <c r="F193" s="2" t="inlineStr">
        <is>
          <t>khối</t>
        </is>
      </c>
      <c r="G193" s="2" t="inlineStr"/>
      <c r="H193" s="2">
        <f>COUNTIF('Anh xa'!$A$2:$A$725,"A7.4")+COUNTIF('Anh xa'!$A$2:$A$725,"A7.4.*")</f>
        <v/>
      </c>
      <c r="I193" s="2">
        <f>IF(H193&gt;0,"Đã ánh xạ","THIẾU")</f>
        <v/>
      </c>
      <c r="J193" s="6" t="inlineStr">
        <is>
          <t>Chưa làm</t>
        </is>
      </c>
      <c r="K193" s="6" t="inlineStr"/>
    </row>
    <row r="194">
      <c r="A194" s="2" t="inlineStr">
        <is>
          <t>A7.4.1</t>
        </is>
      </c>
      <c r="B194" s="2" t="n">
        <v>3</v>
      </c>
      <c r="C194" s="2" t="inlineStr">
        <is>
          <t>Tab Mã nguồn</t>
        </is>
      </c>
      <c r="D194" s="2" t="inlineStr">
        <is>
          <t>Porting &amp; tối ưu</t>
        </is>
      </c>
      <c r="E194" s="2" t="inlineStr">
        <is>
          <t>Bảng ánh xạ ngoại vi cũ→mới; điểm không port được</t>
        </is>
      </c>
      <c r="F194" s="2" t="inlineStr">
        <is>
          <t>display</t>
        </is>
      </c>
      <c r="G194" s="2" t="inlineStr"/>
      <c r="H194" s="2">
        <f>COUNTIF('Anh xa'!$A$2:$A$725,A194)</f>
        <v/>
      </c>
      <c r="I194" s="2">
        <f>IF(H194&gt;0,"Đã ánh xạ","THIẾU")</f>
        <v/>
      </c>
      <c r="J194" s="6" t="inlineStr">
        <is>
          <t>Chưa làm</t>
        </is>
      </c>
      <c r="K194" s="6" t="inlineStr"/>
    </row>
    <row r="195">
      <c r="A195" s="2" t="inlineStr">
        <is>
          <t>A7.4.2</t>
        </is>
      </c>
      <c r="B195" s="2" t="n">
        <v>3</v>
      </c>
      <c r="C195" s="2" t="inlineStr">
        <is>
          <t>Tab Mã nguồn</t>
        </is>
      </c>
      <c r="D195" s="2" t="inlineStr">
        <is>
          <t>Porting &amp; tối ưu</t>
        </is>
      </c>
      <c r="E195" s="2" t="inlineStr">
        <is>
          <t>Số đo trước/sau tối ưu; hồi quy</t>
        </is>
      </c>
      <c r="F195" s="2" t="inlineStr">
        <is>
          <t>display</t>
        </is>
      </c>
      <c r="G195" s="2" t="inlineStr"/>
      <c r="H195" s="2">
        <f>COUNTIF('Anh xa'!$A$2:$A$725,A195)</f>
        <v/>
      </c>
      <c r="I195" s="2">
        <f>IF(H195&gt;0,"Đã ánh xạ","THIẾU")</f>
        <v/>
      </c>
      <c r="J195" s="6" t="inlineStr">
        <is>
          <t>Chưa làm</t>
        </is>
      </c>
      <c r="K195" s="6" t="inlineStr"/>
    </row>
    <row r="196">
      <c r="A196" s="2" t="inlineStr">
        <is>
          <t>A7.5</t>
        </is>
      </c>
      <c r="B196" s="2" t="n">
        <v>2</v>
      </c>
      <c r="C196" s="2" t="inlineStr">
        <is>
          <t>Tab Mã nguồn</t>
        </is>
      </c>
      <c r="D196" s="2" t="inlineStr">
        <is>
          <t>Kiểm thử tự động</t>
        </is>
      </c>
      <c r="E196" s="2" t="inlineStr"/>
      <c r="F196" s="2" t="inlineStr">
        <is>
          <t>khối</t>
        </is>
      </c>
      <c r="G196" s="2" t="inlineStr"/>
      <c r="H196" s="2">
        <f>COUNTIF('Anh xa'!$A$2:$A$725,"A7.5")+COUNTIF('Anh xa'!$A$2:$A$725,"A7.5.*")</f>
        <v/>
      </c>
      <c r="I196" s="2">
        <f>IF(H196&gt;0,"Đã ánh xạ","THIẾU")</f>
        <v/>
      </c>
      <c r="J196" s="6" t="inlineStr">
        <is>
          <t>Chưa làm</t>
        </is>
      </c>
      <c r="K196" s="6" t="inlineStr"/>
    </row>
    <row r="197">
      <c r="A197" s="2" t="inlineStr">
        <is>
          <t>A7.5.1</t>
        </is>
      </c>
      <c r="B197" s="2" t="n">
        <v>3</v>
      </c>
      <c r="C197" s="2" t="inlineStr">
        <is>
          <t>Tab Mã nguồn</t>
        </is>
      </c>
      <c r="D197" s="2" t="inlineStr">
        <is>
          <t>Kiểm thử tự động</t>
        </is>
      </c>
      <c r="E197" s="2" t="inlineStr">
        <is>
          <t>Kết quả unit test/HIL: đạt/không, độ phủ, flaky</t>
        </is>
      </c>
      <c r="F197" s="2" t="inlineStr">
        <is>
          <t>display</t>
        </is>
      </c>
      <c r="G197" s="2" t="inlineStr"/>
      <c r="H197" s="2">
        <f>COUNTIF('Anh xa'!$A$2:$A$725,A197)</f>
        <v/>
      </c>
      <c r="I197" s="2">
        <f>IF(H197&gt;0,"Đã ánh xạ","THIẾU")</f>
        <v/>
      </c>
      <c r="J197" s="6" t="inlineStr">
        <is>
          <t>Chưa làm</t>
        </is>
      </c>
      <c r="K197" s="6" t="inlineStr"/>
    </row>
    <row r="198">
      <c r="A198" s="7" t="inlineStr">
        <is>
          <t>A8</t>
        </is>
      </c>
      <c r="B198" s="7" t="n">
        <v>1</v>
      </c>
      <c r="C198" s="7" t="inlineStr">
        <is>
          <t>Tab Mô phỏng</t>
        </is>
      </c>
      <c r="D198" s="2" t="inlineStr"/>
      <c r="E198" s="2" t="inlineStr"/>
      <c r="F198" s="2" t="inlineStr">
        <is>
          <t>tab</t>
        </is>
      </c>
      <c r="G198" s="2" t="inlineStr"/>
      <c r="H198" s="2">
        <f>COUNTIF('Anh xa'!$A$2:$A$725,"A8.*")</f>
        <v/>
      </c>
      <c r="I198" s="2">
        <f>IF(H198&gt;0,"Đã ánh xạ","THIẾU")</f>
        <v/>
      </c>
      <c r="J198" s="6" t="inlineStr">
        <is>
          <t>Chưa làm</t>
        </is>
      </c>
      <c r="K198" s="6" t="inlineStr"/>
    </row>
    <row r="199">
      <c r="A199" s="2" t="inlineStr">
        <is>
          <t>A8.1</t>
        </is>
      </c>
      <c r="B199" s="2" t="n">
        <v>2</v>
      </c>
      <c r="C199" s="2" t="inlineStr">
        <is>
          <t>Tab Mô phỏng</t>
        </is>
      </c>
      <c r="D199" s="2" t="inlineStr">
        <is>
          <t>Tiêu chí (nêu trước)</t>
        </is>
      </c>
      <c r="E199" s="2" t="inlineStr"/>
      <c r="F199" s="2" t="inlineStr">
        <is>
          <t>khối</t>
        </is>
      </c>
      <c r="G199" s="2" t="inlineStr">
        <is>
          <t>AR16</t>
        </is>
      </c>
      <c r="H199" s="2">
        <f>COUNTIF('Anh xa'!$A$2:$A$725,"A8.1")+COUNTIF('Anh xa'!$A$2:$A$725,"A8.1.*")</f>
        <v/>
      </c>
      <c r="I199" s="2">
        <f>IF(H199&gt;0,"Đã ánh xạ","THIẾU")</f>
        <v/>
      </c>
      <c r="J199" s="6" t="inlineStr">
        <is>
          <t>Chưa làm</t>
        </is>
      </c>
      <c r="K199" s="6" t="inlineStr"/>
    </row>
    <row r="200">
      <c r="A200" s="2" t="inlineStr">
        <is>
          <t>A8.1.1</t>
        </is>
      </c>
      <c r="B200" s="2" t="n">
        <v>3</v>
      </c>
      <c r="C200" s="2" t="inlineStr">
        <is>
          <t>Tab Mô phỏng</t>
        </is>
      </c>
      <c r="D200" s="2" t="inlineStr">
        <is>
          <t>Tiêu chí (nêu trước)</t>
        </is>
      </c>
      <c r="E200" s="2" t="inlineStr">
        <is>
          <t>Form assert: loại, ngưỡng (đơn vị), timeout; mỗi assert đo REQ nào; ngưỡng từ đâu</t>
        </is>
      </c>
      <c r="F200" s="2" t="inlineStr">
        <is>
          <t>display</t>
        </is>
      </c>
      <c r="G200" s="2" t="inlineStr">
        <is>
          <t>AR16</t>
        </is>
      </c>
      <c r="H200" s="2">
        <f>COUNTIF('Anh xa'!$A$2:$A$725,A200)</f>
        <v/>
      </c>
      <c r="I200" s="2">
        <f>IF(H200&gt;0,"Đã ánh xạ","THIẾU")</f>
        <v/>
      </c>
      <c r="J200" s="6" t="inlineStr">
        <is>
          <t>Chưa làm</t>
        </is>
      </c>
      <c r="K200" s="6" t="inlineStr"/>
    </row>
    <row r="201">
      <c r="A201" s="2" t="inlineStr">
        <is>
          <t>A8.1.2</t>
        </is>
      </c>
      <c r="B201" s="2" t="n">
        <v>3</v>
      </c>
      <c r="C201" s="2" t="inlineStr">
        <is>
          <t>Tab Mô phỏng</t>
        </is>
      </c>
      <c r="D201" s="2" t="inlineStr">
        <is>
          <t>Tiêu chí (nêu trước)</t>
        </is>
      </c>
      <c r="E201" s="2" t="inlineStr">
        <is>
          <t>Xác nhận tiêu chí (choose)</t>
        </is>
      </c>
      <c r="F201" s="2" t="inlineStr">
        <is>
          <t>action</t>
        </is>
      </c>
      <c r="G201" s="2" t="inlineStr">
        <is>
          <t>AR16</t>
        </is>
      </c>
      <c r="H201" s="2">
        <f>COUNTIF('Anh xa'!$A$2:$A$725,A201)</f>
        <v/>
      </c>
      <c r="I201" s="2">
        <f>IF(H201&gt;0,"Đã ánh xạ","THIẾU")</f>
        <v/>
      </c>
      <c r="J201" s="6" t="inlineStr">
        <is>
          <t>Chưa làm</t>
        </is>
      </c>
      <c r="K201" s="6" t="inlineStr"/>
    </row>
    <row r="202">
      <c r="A202" s="2" t="inlineStr">
        <is>
          <t>A8.1.3</t>
        </is>
      </c>
      <c r="B202" s="2" t="n">
        <v>3</v>
      </c>
      <c r="C202" s="2" t="inlineStr">
        <is>
          <t>Tab Mô phỏng</t>
        </is>
      </c>
      <c r="D202" s="2" t="inlineStr">
        <is>
          <t>Tiêu chí (nêu trước)</t>
        </is>
      </c>
      <c r="E202" s="2" t="inlineStr">
        <is>
          <t>Sửa ngưỡng sau khi có kết quả → thẻ G-QUAL (từ–đến–vì sao)</t>
        </is>
      </c>
      <c r="F202" s="2" t="inlineStr">
        <is>
          <t>action</t>
        </is>
      </c>
      <c r="G202" s="2" t="inlineStr">
        <is>
          <t>AR16</t>
        </is>
      </c>
      <c r="H202" s="2">
        <f>COUNTIF('Anh xa'!$A$2:$A$725,A202)</f>
        <v/>
      </c>
      <c r="I202" s="2">
        <f>IF(H202&gt;0,"Đã ánh xạ","THIẾU")</f>
        <v/>
      </c>
      <c r="J202" s="6" t="inlineStr">
        <is>
          <t>Chưa làm</t>
        </is>
      </c>
      <c r="K202" s="6" t="inlineStr"/>
    </row>
    <row r="203">
      <c r="A203" s="2" t="inlineStr">
        <is>
          <t>A8.2</t>
        </is>
      </c>
      <c r="B203" s="2" t="n">
        <v>2</v>
      </c>
      <c r="C203" s="2" t="inlineStr">
        <is>
          <t>Tab Mô phỏng</t>
        </is>
      </c>
      <c r="D203" s="2" t="inlineStr">
        <is>
          <t>Kết quả mô phỏng</t>
        </is>
      </c>
      <c r="E203" s="2" t="inlineStr"/>
      <c r="F203" s="2" t="inlineStr">
        <is>
          <t>khối</t>
        </is>
      </c>
      <c r="G203" s="2" t="inlineStr">
        <is>
          <t>AR17</t>
        </is>
      </c>
      <c r="H203" s="2">
        <f>COUNTIF('Anh xa'!$A$2:$A$725,"A8.2")+COUNTIF('Anh xa'!$A$2:$A$725,"A8.2.*")</f>
        <v/>
      </c>
      <c r="I203" s="2">
        <f>IF(H203&gt;0,"Đã ánh xạ","THIẾU")</f>
        <v/>
      </c>
      <c r="J203" s="6" t="inlineStr">
        <is>
          <t>Chưa làm</t>
        </is>
      </c>
      <c r="K203" s="6" t="inlineStr"/>
    </row>
    <row r="204">
      <c r="A204" s="2" t="inlineStr">
        <is>
          <t>A8.2.1</t>
        </is>
      </c>
      <c r="B204" s="2" t="n">
        <v>3</v>
      </c>
      <c r="C204" s="2" t="inlineStr">
        <is>
          <t>Tab Mô phỏng</t>
        </is>
      </c>
      <c r="D204" s="2" t="inlineStr">
        <is>
          <t>Kết quả mô phỏng</t>
        </is>
      </c>
      <c r="E204" s="2" t="inlineStr">
        <is>
          <t>Verdict theo từng assert + bằng chứng (dòng log/thời điểm VCD)</t>
        </is>
      </c>
      <c r="F204" s="2" t="inlineStr">
        <is>
          <t>display</t>
        </is>
      </c>
      <c r="G204" s="2" t="inlineStr">
        <is>
          <t>AR17</t>
        </is>
      </c>
      <c r="H204" s="2">
        <f>COUNTIF('Anh xa'!$A$2:$A$725,A204)</f>
        <v/>
      </c>
      <c r="I204" s="2">
        <f>IF(H204&gt;0,"Đã ánh xạ","THIẾU")</f>
        <v/>
      </c>
      <c r="J204" s="6" t="inlineStr">
        <is>
          <t>Chưa làm</t>
        </is>
      </c>
      <c r="K204" s="6" t="inlineStr"/>
    </row>
    <row r="205">
      <c r="A205" s="2" t="inlineStr">
        <is>
          <t>A8.2.2</t>
        </is>
      </c>
      <c r="B205" s="2" t="n">
        <v>3</v>
      </c>
      <c r="C205" s="2" t="inlineStr">
        <is>
          <t>Tab Mô phỏng</t>
        </is>
      </c>
      <c r="D205" s="2" t="inlineStr">
        <is>
          <t>Kết quả mô phỏng</t>
        </is>
      </c>
      <c r="E205" s="2" t="inlineStr">
        <is>
          <t>Log có dấu thời gian (follow)</t>
        </is>
      </c>
      <c r="F205" s="2" t="inlineStr">
        <is>
          <t>display</t>
        </is>
      </c>
      <c r="G205" s="2" t="inlineStr">
        <is>
          <t>AR17</t>
        </is>
      </c>
      <c r="H205" s="2">
        <f>COUNTIF('Anh xa'!$A$2:$A$725,A205)</f>
        <v/>
      </c>
      <c r="I205" s="2">
        <f>IF(H205&gt;0,"Đã ánh xạ","THIẾU")</f>
        <v/>
      </c>
      <c r="J205" s="6" t="inlineStr">
        <is>
          <t>Chưa làm</t>
        </is>
      </c>
      <c r="K205" s="6" t="inlineStr"/>
    </row>
    <row r="206">
      <c r="A206" s="2" t="inlineStr">
        <is>
          <t>A8.2.3</t>
        </is>
      </c>
      <c r="B206" s="2" t="n">
        <v>3</v>
      </c>
      <c r="C206" s="2" t="inlineStr">
        <is>
          <t>Tab Mô phỏng</t>
        </is>
      </c>
      <c r="D206" s="2" t="inlineStr">
        <is>
          <t>Kết quả mô phỏng</t>
        </is>
      </c>
      <c r="E206" s="2" t="inlineStr">
        <is>
          <t>VCD viewer / ảnh</t>
        </is>
      </c>
      <c r="F206" s="2" t="inlineStr">
        <is>
          <t>display</t>
        </is>
      </c>
      <c r="G206" s="2" t="inlineStr">
        <is>
          <t>AR17</t>
        </is>
      </c>
      <c r="H206" s="2">
        <f>COUNTIF('Anh xa'!$A$2:$A$725,A206)</f>
        <v/>
      </c>
      <c r="I206" s="2">
        <f>IF(H206&gt;0,"Đã ánh xạ","THIẾU")</f>
        <v/>
      </c>
      <c r="J206" s="6" t="inlineStr">
        <is>
          <t>Chưa làm</t>
        </is>
      </c>
      <c r="K206" s="6" t="inlineStr"/>
    </row>
    <row r="207">
      <c r="A207" s="2" t="inlineStr">
        <is>
          <t>A8.2.4</t>
        </is>
      </c>
      <c r="B207" s="2" t="n">
        <v>3</v>
      </c>
      <c r="C207" s="2" t="inlineStr">
        <is>
          <t>Tab Mô phỏng</t>
        </is>
      </c>
      <c r="D207" s="2" t="inlineStr">
        <is>
          <t>Kết quả mô phỏng</t>
        </is>
      </c>
      <c r="E207" s="2" t="inlineStr">
        <is>
          <t>Khối 'KHÔNG mô phỏng được' + đề xuất mock/HIL</t>
        </is>
      </c>
      <c r="F207" s="2" t="inlineStr">
        <is>
          <t>display</t>
        </is>
      </c>
      <c r="G207" s="2" t="inlineStr">
        <is>
          <t>AR17</t>
        </is>
      </c>
      <c r="H207" s="2">
        <f>COUNTIF('Anh xa'!$A$2:$A$725,A207)</f>
        <v/>
      </c>
      <c r="I207" s="2">
        <f>IF(H207&gt;0,"Đã ánh xạ","THIẾU")</f>
        <v/>
      </c>
      <c r="J207" s="6" t="inlineStr">
        <is>
          <t>Chưa làm</t>
        </is>
      </c>
      <c r="K207" s="6" t="inlineStr"/>
    </row>
    <row r="208">
      <c r="A208" s="2" t="inlineStr">
        <is>
          <t>A8.2.5</t>
        </is>
      </c>
      <c r="B208" s="2" t="n">
        <v>3</v>
      </c>
      <c r="C208" s="2" t="inlineStr">
        <is>
          <t>Tab Mô phỏng</t>
        </is>
      </c>
      <c r="D208" s="2" t="inlineStr">
        <is>
          <t>Kết quả mô phỏng</t>
        </is>
      </c>
      <c r="E208" s="2" t="inlineStr">
        <is>
          <t>Timeout/treo: vị trí vòng chờ</t>
        </is>
      </c>
      <c r="F208" s="2" t="inlineStr">
        <is>
          <t>display</t>
        </is>
      </c>
      <c r="G208" s="2" t="inlineStr">
        <is>
          <t>AR17</t>
        </is>
      </c>
      <c r="H208" s="2">
        <f>COUNTIF('Anh xa'!$A$2:$A$725,A208)</f>
        <v/>
      </c>
      <c r="I208" s="2">
        <f>IF(H208&gt;0,"Đã ánh xạ","THIẾU")</f>
        <v/>
      </c>
      <c r="J208" s="6" t="inlineStr">
        <is>
          <t>Chưa làm</t>
        </is>
      </c>
      <c r="K208" s="6" t="inlineStr"/>
    </row>
    <row r="209">
      <c r="A209" s="2" t="inlineStr">
        <is>
          <t>A8.2.6</t>
        </is>
      </c>
      <c r="B209" s="2" t="n">
        <v>3</v>
      </c>
      <c r="C209" s="2" t="inlineStr">
        <is>
          <t>Tab Mô phỏng</t>
        </is>
      </c>
      <c r="D209" s="2" t="inlineStr">
        <is>
          <t>Kết quả mô phỏng</t>
        </is>
      </c>
      <c r="E209" s="2" t="inlineStr">
        <is>
          <t>Log rỗng → 'không kết luận được'</t>
        </is>
      </c>
      <c r="F209" s="2" t="inlineStr">
        <is>
          <t>display</t>
        </is>
      </c>
      <c r="G209" s="2" t="inlineStr">
        <is>
          <t>AR17</t>
        </is>
      </c>
      <c r="H209" s="2">
        <f>COUNTIF('Anh xa'!$A$2:$A$725,A209)</f>
        <v/>
      </c>
      <c r="I209" s="2">
        <f>IF(H209&gt;0,"Đã ánh xạ","THIẾU")</f>
        <v/>
      </c>
      <c r="J209" s="6" t="inlineStr">
        <is>
          <t>Chưa làm</t>
        </is>
      </c>
      <c r="K209" s="6" t="inlineStr"/>
    </row>
    <row r="210">
      <c r="A210" s="2" t="inlineStr">
        <is>
          <t>A8.2.7</t>
        </is>
      </c>
      <c r="B210" s="2" t="n">
        <v>3</v>
      </c>
      <c r="C210" s="2" t="inlineStr">
        <is>
          <t>Tab Mô phỏng</t>
        </is>
      </c>
      <c r="D210" s="2" t="inlineStr">
        <is>
          <t>Kết quả mô phỏng</t>
        </is>
      </c>
      <c r="E210" s="2" t="inlineStr">
        <is>
          <t>Chạy lại / Dừng</t>
        </is>
      </c>
      <c r="F210" s="2" t="inlineStr">
        <is>
          <t>action</t>
        </is>
      </c>
      <c r="G210" s="2" t="inlineStr">
        <is>
          <t>AR17</t>
        </is>
      </c>
      <c r="H210" s="2">
        <f>COUNTIF('Anh xa'!$A$2:$A$725,A210)</f>
        <v/>
      </c>
      <c r="I210" s="2">
        <f>IF(H210&gt;0,"Đã ánh xạ","THIẾU")</f>
        <v/>
      </c>
      <c r="J210" s="6" t="inlineStr">
        <is>
          <t>Chưa làm</t>
        </is>
      </c>
      <c r="K210" s="6" t="inlineStr"/>
    </row>
    <row r="211">
      <c r="A211" s="2" t="inlineStr">
        <is>
          <t>A8.2.8</t>
        </is>
      </c>
      <c r="B211" s="2" t="n">
        <v>3</v>
      </c>
      <c r="C211" s="2" t="inlineStr">
        <is>
          <t>Tab Mô phỏng</t>
        </is>
      </c>
      <c r="D211" s="2" t="inlineStr">
        <is>
          <t>Kết quả mô phỏng</t>
        </is>
      </c>
      <c r="E211" s="2" t="inlineStr">
        <is>
          <t>Đề xuất snapshot sau khi đạt (thẻ G-SNAP)</t>
        </is>
      </c>
      <c r="F211" s="2" t="inlineStr">
        <is>
          <t>action</t>
        </is>
      </c>
      <c r="G211" s="2" t="inlineStr">
        <is>
          <t>AR17</t>
        </is>
      </c>
      <c r="H211" s="2">
        <f>COUNTIF('Anh xa'!$A$2:$A$725,A211)</f>
        <v/>
      </c>
      <c r="I211" s="2">
        <f>IF(H211&gt;0,"Đã ánh xạ","THIẾU")</f>
        <v/>
      </c>
      <c r="J211" s="6" t="inlineStr">
        <is>
          <t>Chưa làm</t>
        </is>
      </c>
      <c r="K211" s="6" t="inlineStr"/>
    </row>
    <row r="212">
      <c r="A212" s="7" t="inlineStr">
        <is>
          <t>A9</t>
        </is>
      </c>
      <c r="B212" s="7" t="n">
        <v>1</v>
      </c>
      <c r="C212" s="7" t="inlineStr">
        <is>
          <t>Tab Mạch thật</t>
        </is>
      </c>
      <c r="D212" s="2" t="inlineStr"/>
      <c r="E212" s="2" t="inlineStr"/>
      <c r="F212" s="2" t="inlineStr">
        <is>
          <t>tab</t>
        </is>
      </c>
      <c r="G212" s="2" t="inlineStr"/>
      <c r="H212" s="2">
        <f>COUNTIF('Anh xa'!$A$2:$A$725,"A9.*")</f>
        <v/>
      </c>
      <c r="I212" s="2">
        <f>IF(H212&gt;0,"Đã ánh xạ","THIẾU")</f>
        <v/>
      </c>
      <c r="J212" s="6" t="inlineStr">
        <is>
          <t>Chưa làm</t>
        </is>
      </c>
      <c r="K212" s="6" t="inlineStr"/>
    </row>
    <row r="213">
      <c r="A213" s="2" t="inlineStr">
        <is>
          <t>A9.1</t>
        </is>
      </c>
      <c r="B213" s="2" t="n">
        <v>2</v>
      </c>
      <c r="C213" s="2" t="inlineStr">
        <is>
          <t>Tab Mạch thật</t>
        </is>
      </c>
      <c r="D213" s="2" t="inlineStr">
        <is>
          <t>Dò board</t>
        </is>
      </c>
      <c r="E213" s="2" t="inlineStr"/>
      <c r="F213" s="2" t="inlineStr">
        <is>
          <t>khối</t>
        </is>
      </c>
      <c r="G213" s="2" t="inlineStr">
        <is>
          <t>AR19</t>
        </is>
      </c>
      <c r="H213" s="2">
        <f>COUNTIF('Anh xa'!$A$2:$A$725,"A9.1")+COUNTIF('Anh xa'!$A$2:$A$725,"A9.1.*")</f>
        <v/>
      </c>
      <c r="I213" s="2">
        <f>IF(H213&gt;0,"Đã ánh xạ","THIẾU")</f>
        <v/>
      </c>
      <c r="J213" s="6" t="inlineStr">
        <is>
          <t>Chưa làm</t>
        </is>
      </c>
      <c r="K213" s="6" t="inlineStr"/>
    </row>
    <row r="214">
      <c r="A214" s="2" t="inlineStr">
        <is>
          <t>A9.1.1</t>
        </is>
      </c>
      <c r="B214" s="2" t="n">
        <v>3</v>
      </c>
      <c r="C214" s="2" t="inlineStr">
        <is>
          <t>Tab Mạch thật</t>
        </is>
      </c>
      <c r="D214" s="2" t="inlineStr">
        <is>
          <t>Dò board</t>
        </is>
      </c>
      <c r="E214" s="2" t="inlineStr">
        <is>
          <t>kv: cổng, probe, ID chip đọc được ↔ hộ chiếu (khớp/không)</t>
        </is>
      </c>
      <c r="F214" s="2" t="inlineStr">
        <is>
          <t>display</t>
        </is>
      </c>
      <c r="G214" s="2" t="inlineStr">
        <is>
          <t>AR19</t>
        </is>
      </c>
      <c r="H214" s="2">
        <f>COUNTIF('Anh xa'!$A$2:$A$725,A214)</f>
        <v/>
      </c>
      <c r="I214" s="2">
        <f>IF(H214&gt;0,"Đã ánh xạ","THIẾU")</f>
        <v/>
      </c>
      <c r="J214" s="6" t="inlineStr">
        <is>
          <t>Chưa làm</t>
        </is>
      </c>
      <c r="K214" s="6" t="inlineStr"/>
    </row>
    <row r="215">
      <c r="A215" s="2" t="inlineStr">
        <is>
          <t>A9.1.2</t>
        </is>
      </c>
      <c r="B215" s="2" t="n">
        <v>3</v>
      </c>
      <c r="C215" s="2" t="inlineStr">
        <is>
          <t>Tab Mạch thật</t>
        </is>
      </c>
      <c r="D215" s="2" t="inlineStr">
        <is>
          <t>Dò board</t>
        </is>
      </c>
      <c r="E215" s="2" t="inlineStr">
        <is>
          <t>Không thấy: checklist nguồn/cáp/driver/BOOT/NRST + nút Dò lại</t>
        </is>
      </c>
      <c r="F215" s="2" t="inlineStr">
        <is>
          <t>action</t>
        </is>
      </c>
      <c r="G215" s="2" t="inlineStr">
        <is>
          <t>AR19</t>
        </is>
      </c>
      <c r="H215" s="2">
        <f>COUNTIF('Anh xa'!$A$2:$A$725,A215)</f>
        <v/>
      </c>
      <c r="I215" s="2">
        <f>IF(H215&gt;0,"Đã ánh xạ","THIẾU")</f>
        <v/>
      </c>
      <c r="J215" s="6" t="inlineStr">
        <is>
          <t>Chưa làm</t>
        </is>
      </c>
      <c r="K215" s="6" t="inlineStr"/>
    </row>
    <row r="216">
      <c r="A216" s="2" t="inlineStr">
        <is>
          <t>A9.2</t>
        </is>
      </c>
      <c r="B216" s="2" t="n">
        <v>2</v>
      </c>
      <c r="C216" s="2" t="inlineStr">
        <is>
          <t>Tab Mạch thật</t>
        </is>
      </c>
      <c r="D216" s="2" t="inlineStr">
        <is>
          <t>Nạp &amp; verify</t>
        </is>
      </c>
      <c r="E216" s="2" t="inlineStr"/>
      <c r="F216" s="2" t="inlineStr">
        <is>
          <t>khối</t>
        </is>
      </c>
      <c r="G216" s="2" t="inlineStr">
        <is>
          <t>AR19</t>
        </is>
      </c>
      <c r="H216" s="2">
        <f>COUNTIF('Anh xa'!$A$2:$A$725,"A9.2")+COUNTIF('Anh xa'!$A$2:$A$725,"A9.2.*")</f>
        <v/>
      </c>
      <c r="I216" s="2">
        <f>IF(H216&gt;0,"Đã ánh xạ","THIẾU")</f>
        <v/>
      </c>
      <c r="J216" s="6" t="inlineStr">
        <is>
          <t>Chưa làm</t>
        </is>
      </c>
      <c r="K216" s="6" t="inlineStr"/>
    </row>
    <row r="217">
      <c r="A217" s="2" t="inlineStr">
        <is>
          <t>A9.2.1</t>
        </is>
      </c>
      <c r="B217" s="2" t="n">
        <v>3</v>
      </c>
      <c r="C217" s="2" t="inlineStr">
        <is>
          <t>Tab Mạch thật</t>
        </is>
      </c>
      <c r="D217" s="2" t="inlineStr">
        <is>
          <t>Nạp &amp; verify</t>
        </is>
      </c>
      <c r="E217" s="2" t="inlineStr">
        <is>
          <t>Tóm tắt 'nạp gì (hash, kích thước) vào đâu' → thẻ G-FLASH</t>
        </is>
      </c>
      <c r="F217" s="2" t="inlineStr">
        <is>
          <t>action</t>
        </is>
      </c>
      <c r="G217" s="2" t="inlineStr">
        <is>
          <t>AR19</t>
        </is>
      </c>
      <c r="H217" s="2">
        <f>COUNTIF('Anh xa'!$A$2:$A$725,A217)</f>
        <v/>
      </c>
      <c r="I217" s="2">
        <f>IF(H217&gt;0,"Đã ánh xạ","THIẾU")</f>
        <v/>
      </c>
      <c r="J217" s="6" t="inlineStr">
        <is>
          <t>Chưa làm</t>
        </is>
      </c>
      <c r="K217" s="6" t="inlineStr"/>
    </row>
    <row r="218">
      <c r="A218" s="2" t="inlineStr">
        <is>
          <t>A9.2.2</t>
        </is>
      </c>
      <c r="B218" s="2" t="n">
        <v>3</v>
      </c>
      <c r="C218" s="2" t="inlineStr">
        <is>
          <t>Tab Mạch thật</t>
        </is>
      </c>
      <c r="D218" s="2" t="inlineStr">
        <is>
          <t>Nạp &amp; verify</t>
        </is>
      </c>
      <c r="E218" s="2" t="inlineStr">
        <is>
          <t>Kết quả verify; rút cáp giữa chừng → trạng thái + hướng khôi phục</t>
        </is>
      </c>
      <c r="F218" s="2" t="inlineStr">
        <is>
          <t>display</t>
        </is>
      </c>
      <c r="G218" s="2" t="inlineStr">
        <is>
          <t>AR19</t>
        </is>
      </c>
      <c r="H218" s="2">
        <f>COUNTIF('Anh xa'!$A$2:$A$725,A218)</f>
        <v/>
      </c>
      <c r="I218" s="2">
        <f>IF(H218&gt;0,"Đã ánh xạ","THIẾU")</f>
        <v/>
      </c>
      <c r="J218" s="6" t="inlineStr">
        <is>
          <t>Chưa làm</t>
        </is>
      </c>
      <c r="K218" s="6" t="inlineStr"/>
    </row>
    <row r="219">
      <c r="A219" s="2" t="inlineStr">
        <is>
          <t>A9.2.3</t>
        </is>
      </c>
      <c r="B219" s="2" t="n">
        <v>3</v>
      </c>
      <c r="C219" s="2" t="inlineStr">
        <is>
          <t>Tab Mạch thật</t>
        </is>
      </c>
      <c r="D219" s="2" t="inlineStr">
        <is>
          <t>Nạp &amp; verify</t>
        </is>
      </c>
      <c r="E219" s="2" t="inlineStr">
        <is>
          <t>Cảnh báo 'không hoàn tác được' + đề nghị snapshot trước</t>
        </is>
      </c>
      <c r="F219" s="2" t="inlineStr">
        <is>
          <t>display</t>
        </is>
      </c>
      <c r="G219" s="2" t="inlineStr">
        <is>
          <t>AR19</t>
        </is>
      </c>
      <c r="H219" s="2">
        <f>COUNTIF('Anh xa'!$A$2:$A$725,A219)</f>
        <v/>
      </c>
      <c r="I219" s="2">
        <f>IF(H219&gt;0,"Đã ánh xạ","THIẾU")</f>
        <v/>
      </c>
      <c r="J219" s="6" t="inlineStr">
        <is>
          <t>Chưa làm</t>
        </is>
      </c>
      <c r="K219" s="6" t="inlineStr"/>
    </row>
    <row r="220">
      <c r="A220" s="2" t="inlineStr">
        <is>
          <t>A9.2.4</t>
        </is>
      </c>
      <c r="B220" s="2" t="n">
        <v>3</v>
      </c>
      <c r="C220" s="2" t="inlineStr">
        <is>
          <t>Tab Mạch thật</t>
        </is>
      </c>
      <c r="D220" s="2" t="inlineStr">
        <is>
          <t>Nạp &amp; verify</t>
        </is>
      </c>
      <c r="E220" s="2" t="inlineStr">
        <is>
          <t>Bo đang chạy bản ≠ mã hiện tại (sau hoàn tác)</t>
        </is>
      </c>
      <c r="F220" s="2" t="inlineStr">
        <is>
          <t>display</t>
        </is>
      </c>
      <c r="G220" s="2" t="inlineStr">
        <is>
          <t>AR19</t>
        </is>
      </c>
      <c r="H220" s="2">
        <f>COUNTIF('Anh xa'!$A$2:$A$725,A220)</f>
        <v/>
      </c>
      <c r="I220" s="2">
        <f>IF(H220&gt;0,"Đã ánh xạ","THIẾU")</f>
        <v/>
      </c>
      <c r="J220" s="6" t="inlineStr">
        <is>
          <t>Chưa làm</t>
        </is>
      </c>
      <c r="K220" s="6" t="inlineStr"/>
    </row>
    <row r="221">
      <c r="A221" s="2" t="inlineStr">
        <is>
          <t>A9.3</t>
        </is>
      </c>
      <c r="B221" s="2" t="n">
        <v>2</v>
      </c>
      <c r="C221" s="2" t="inlineStr">
        <is>
          <t>Tab Mạch thật</t>
        </is>
      </c>
      <c r="D221" s="2" t="inlineStr">
        <is>
          <t>Gỡ lỗi</t>
        </is>
      </c>
      <c r="E221" s="2" t="inlineStr"/>
      <c r="F221" s="2" t="inlineStr">
        <is>
          <t>khối</t>
        </is>
      </c>
      <c r="G221" s="2" t="inlineStr"/>
      <c r="H221" s="2">
        <f>COUNTIF('Anh xa'!$A$2:$A$725,"A9.3")+COUNTIF('Anh xa'!$A$2:$A$725,"A9.3.*")</f>
        <v/>
      </c>
      <c r="I221" s="2">
        <f>IF(H221&gt;0,"Đã ánh xạ","THIẾU")</f>
        <v/>
      </c>
      <c r="J221" s="6" t="inlineStr">
        <is>
          <t>Chưa làm</t>
        </is>
      </c>
      <c r="K221" s="6" t="inlineStr"/>
    </row>
    <row r="222">
      <c r="A222" s="2" t="inlineStr">
        <is>
          <t>A9.3.1</t>
        </is>
      </c>
      <c r="B222" s="2" t="n">
        <v>3</v>
      </c>
      <c r="C222" s="2" t="inlineStr">
        <is>
          <t>Tab Mạch thật</t>
        </is>
      </c>
      <c r="D222" s="2" t="inlineStr">
        <is>
          <t>Gỡ lỗi</t>
        </is>
      </c>
      <c r="E222" s="2" t="inlineStr">
        <is>
          <t>Log UART/RTT có dấu thời gian</t>
        </is>
      </c>
      <c r="F222" s="2" t="inlineStr">
        <is>
          <t>display</t>
        </is>
      </c>
      <c r="G222" s="2" t="inlineStr"/>
      <c r="H222" s="2">
        <f>COUNTIF('Anh xa'!$A$2:$A$725,A222)</f>
        <v/>
      </c>
      <c r="I222" s="2">
        <f>IF(H222&gt;0,"Đã ánh xạ","THIẾU")</f>
        <v/>
      </c>
      <c r="J222" s="6" t="inlineStr">
        <is>
          <t>Chưa làm</t>
        </is>
      </c>
      <c r="K222" s="6" t="inlineStr"/>
    </row>
    <row r="223">
      <c r="A223" s="2" t="inlineStr">
        <is>
          <t>A9.3.2</t>
        </is>
      </c>
      <c r="B223" s="2" t="n">
        <v>3</v>
      </c>
      <c r="C223" s="2" t="inlineStr">
        <is>
          <t>Tab Mạch thật</t>
        </is>
      </c>
      <c r="D223" s="2" t="inlineStr">
        <is>
          <t>Gỡ lỗi</t>
        </is>
      </c>
      <c r="E223" s="2" t="inlineStr">
        <is>
          <t>Breakpoint, thanh ghi (SVD), backtrace</t>
        </is>
      </c>
      <c r="F223" s="2" t="inlineStr">
        <is>
          <t>display</t>
        </is>
      </c>
      <c r="G223" s="2" t="inlineStr"/>
      <c r="H223" s="2">
        <f>COUNTIF('Anh xa'!$A$2:$A$725,A223)</f>
        <v/>
      </c>
      <c r="I223" s="2">
        <f>IF(H223&gt;0,"Đã ánh xạ","THIẾU")</f>
        <v/>
      </c>
      <c r="J223" s="6" t="inlineStr">
        <is>
          <t>Chưa làm</t>
        </is>
      </c>
      <c r="K223" s="6" t="inlineStr"/>
    </row>
    <row r="224">
      <c r="A224" s="2" t="inlineStr">
        <is>
          <t>A9.3.3</t>
        </is>
      </c>
      <c r="B224" s="2" t="n">
        <v>3</v>
      </c>
      <c r="C224" s="2" t="inlineStr">
        <is>
          <t>Tab Mạch thật</t>
        </is>
      </c>
      <c r="D224" s="2" t="inlineStr">
        <is>
          <t>Gỡ lỗi</t>
        </is>
      </c>
      <c r="E224" s="2" t="inlineStr">
        <is>
          <t>Giả thuyết HW/SW + phép đo đề xuất</t>
        </is>
      </c>
      <c r="F224" s="2" t="inlineStr">
        <is>
          <t>display</t>
        </is>
      </c>
      <c r="G224" s="2" t="inlineStr"/>
      <c r="H224" s="2">
        <f>COUNTIF('Anh xa'!$A$2:$A$725,A224)</f>
        <v/>
      </c>
      <c r="I224" s="2">
        <f>IF(H224&gt;0,"Đã ánh xạ","THIẾU")</f>
        <v/>
      </c>
      <c r="J224" s="6" t="inlineStr">
        <is>
          <t>Chưa làm</t>
        </is>
      </c>
      <c r="K224" s="6" t="inlineStr"/>
    </row>
    <row r="225">
      <c r="A225" s="2" t="inlineStr">
        <is>
          <t>A9.4</t>
        </is>
      </c>
      <c r="B225" s="2" t="n">
        <v>2</v>
      </c>
      <c r="C225" s="2" t="inlineStr">
        <is>
          <t>Tab Mạch thật</t>
        </is>
      </c>
      <c r="D225" s="2" t="inlineStr">
        <is>
          <t>Phân tích</t>
        </is>
      </c>
      <c r="E225" s="2" t="inlineStr"/>
      <c r="F225" s="2" t="inlineStr">
        <is>
          <t>khối</t>
        </is>
      </c>
      <c r="G225" s="2" t="inlineStr">
        <is>
          <t>AR18</t>
        </is>
      </c>
      <c r="H225" s="2">
        <f>COUNTIF('Anh xa'!$A$2:$A$725,"A9.4")+COUNTIF('Anh xa'!$A$2:$A$725,"A9.4.*")</f>
        <v/>
      </c>
      <c r="I225" s="2">
        <f>IF(H225&gt;0,"Đã ánh xạ","THIẾU")</f>
        <v/>
      </c>
      <c r="J225" s="6" t="inlineStr">
        <is>
          <t>Chưa làm</t>
        </is>
      </c>
      <c r="K225" s="6" t="inlineStr"/>
    </row>
    <row r="226">
      <c r="A226" s="2" t="inlineStr">
        <is>
          <t>A9.4.1</t>
        </is>
      </c>
      <c r="B226" s="2" t="n">
        <v>3</v>
      </c>
      <c r="C226" s="2" t="inlineStr">
        <is>
          <t>Tab Mạch thật</t>
        </is>
      </c>
      <c r="D226" s="2" t="inlineStr">
        <is>
          <t>Phân tích</t>
        </is>
      </c>
      <c r="E226" s="2" t="inlineStr">
        <is>
          <t>Capture đã giải mã (I2C/SPI/UART/CAN) + đối chiếu timing</t>
        </is>
      </c>
      <c r="F226" s="2" t="inlineStr">
        <is>
          <t>display</t>
        </is>
      </c>
      <c r="G226" s="2" t="inlineStr">
        <is>
          <t>AR18</t>
        </is>
      </c>
      <c r="H226" s="2">
        <f>COUNTIF('Anh xa'!$A$2:$A$725,A226)</f>
        <v/>
      </c>
      <c r="I226" s="2">
        <f>IF(H226&gt;0,"Đã ánh xạ","THIẾU")</f>
        <v/>
      </c>
      <c r="J226" s="6" t="inlineStr">
        <is>
          <t>Chưa làm</t>
        </is>
      </c>
      <c r="K226" s="6" t="inlineStr"/>
    </row>
    <row r="227">
      <c r="A227" s="2" t="inlineStr">
        <is>
          <t>A9.4.2</t>
        </is>
      </c>
      <c r="B227" s="2" t="n">
        <v>3</v>
      </c>
      <c r="C227" s="2" t="inlineStr">
        <is>
          <t>Tab Mạch thật</t>
        </is>
      </c>
      <c r="D227" s="2" t="inlineStr">
        <is>
          <t>Phân tích</t>
        </is>
      </c>
      <c r="E227" s="2" t="inlineStr">
        <is>
          <t>HardFault: CFSR → loại lỗi, PC → hàm</t>
        </is>
      </c>
      <c r="F227" s="2" t="inlineStr">
        <is>
          <t>display</t>
        </is>
      </c>
      <c r="G227" s="2" t="inlineStr">
        <is>
          <t>AR18</t>
        </is>
      </c>
      <c r="H227" s="2">
        <f>COUNTIF('Anh xa'!$A$2:$A$725,A227)</f>
        <v/>
      </c>
      <c r="I227" s="2">
        <f>IF(H227&gt;0,"Đã ánh xạ","THIẾU")</f>
        <v/>
      </c>
      <c r="J227" s="6" t="inlineStr">
        <is>
          <t>Chưa làm</t>
        </is>
      </c>
      <c r="K227" s="6" t="inlineStr"/>
    </row>
    <row r="228">
      <c r="A228" s="2" t="inlineStr">
        <is>
          <t>A9.4.3</t>
        </is>
      </c>
      <c r="B228" s="2" t="n">
        <v>3</v>
      </c>
      <c r="C228" s="2" t="inlineStr">
        <is>
          <t>Tab Mạch thật</t>
        </is>
      </c>
      <c r="D228" s="2" t="inlineStr">
        <is>
          <t>Phân tích</t>
        </is>
      </c>
      <c r="E228" s="2" t="inlineStr">
        <is>
          <t>Bảng giả thuyết xếp hạng; 'không đủ dữ liệu' + cách thu thập lại</t>
        </is>
      </c>
      <c r="F228" s="2" t="inlineStr">
        <is>
          <t>display</t>
        </is>
      </c>
      <c r="G228" s="2" t="inlineStr">
        <is>
          <t>AR18</t>
        </is>
      </c>
      <c r="H228" s="2">
        <f>COUNTIF('Anh xa'!$A$2:$A$725,A228)</f>
        <v/>
      </c>
      <c r="I228" s="2">
        <f>IF(H228&gt;0,"Đã ánh xạ","THIẾU")</f>
        <v/>
      </c>
      <c r="J228" s="6" t="inlineStr">
        <is>
          <t>Chưa làm</t>
        </is>
      </c>
      <c r="K228" s="6" t="inlineStr"/>
    </row>
    <row r="229">
      <c r="A229" s="2" t="inlineStr">
        <is>
          <t>A9.4.4</t>
        </is>
      </c>
      <c r="B229" s="2" t="n">
        <v>3</v>
      </c>
      <c r="C229" s="2" t="inlineStr">
        <is>
          <t>Tab Mạch thật</t>
        </is>
      </c>
      <c r="D229" s="2" t="inlineStr">
        <is>
          <t>Phân tích</t>
        </is>
      </c>
      <c r="E229" s="2" t="inlineStr">
        <is>
          <t>Đánh dấu giả thuyết đã loại; thêm quan sát (→ NGƯỜI)</t>
        </is>
      </c>
      <c r="F229" s="2" t="inlineStr">
        <is>
          <t>edit</t>
        </is>
      </c>
      <c r="G229" s="2" t="inlineStr">
        <is>
          <t>AR18</t>
        </is>
      </c>
      <c r="H229" s="2">
        <f>COUNTIF('Anh xa'!$A$2:$A$725,A229)</f>
        <v/>
      </c>
      <c r="I229" s="2">
        <f>IF(H229&gt;0,"Đã ánh xạ","THIẾU")</f>
        <v/>
      </c>
      <c r="J229" s="6" t="inlineStr">
        <is>
          <t>Chưa làm</t>
        </is>
      </c>
      <c r="K229" s="6" t="inlineStr"/>
    </row>
    <row r="230">
      <c r="A230" s="2" t="inlineStr">
        <is>
          <t>A9.5</t>
        </is>
      </c>
      <c r="B230" s="2" t="n">
        <v>2</v>
      </c>
      <c r="C230" s="2" t="inlineStr">
        <is>
          <t>Tab Mạch thật</t>
        </is>
      </c>
      <c r="D230" s="2" t="inlineStr">
        <is>
          <t>Thao tác không đảo ngược</t>
        </is>
      </c>
      <c r="E230" s="2" t="inlineStr"/>
      <c r="F230" s="2" t="inlineStr">
        <is>
          <t>khối</t>
        </is>
      </c>
      <c r="G230" s="2" t="inlineStr"/>
      <c r="H230" s="2">
        <f>COUNTIF('Anh xa'!$A$2:$A$725,"A9.5")+COUNTIF('Anh xa'!$A$2:$A$725,"A9.5.*")</f>
        <v/>
      </c>
      <c r="I230" s="2">
        <f>IF(H230&gt;0,"Đã ánh xạ","THIẾU")</f>
        <v/>
      </c>
      <c r="J230" s="6" t="inlineStr">
        <is>
          <t>Chưa làm</t>
        </is>
      </c>
      <c r="K230" s="6" t="inlineStr"/>
    </row>
    <row r="231">
      <c r="A231" s="2" t="inlineStr">
        <is>
          <t>A9.5.1</t>
        </is>
      </c>
      <c r="B231" s="2" t="n">
        <v>3</v>
      </c>
      <c r="C231" s="2" t="inlineStr">
        <is>
          <t>Tab Mạch thật</t>
        </is>
      </c>
      <c r="D231" s="2" t="inlineStr">
        <is>
          <t>Thao tác không đảo ngược</t>
        </is>
      </c>
      <c r="E231" s="2" t="inlineStr">
        <is>
          <t>Erase all / option bytes / RDP / eFuse → thẻ G-OPS riêng (never_auto)</t>
        </is>
      </c>
      <c r="F231" s="2" t="inlineStr">
        <is>
          <t>action</t>
        </is>
      </c>
      <c r="G231" s="2" t="inlineStr"/>
      <c r="H231" s="2">
        <f>COUNTIF('Anh xa'!$A$2:$A$725,A231)</f>
        <v/>
      </c>
      <c r="I231" s="2">
        <f>IF(H231&gt;0,"Đã ánh xạ","THIẾU")</f>
        <v/>
      </c>
      <c r="J231" s="6" t="inlineStr">
        <is>
          <t>Chưa làm</t>
        </is>
      </c>
      <c r="K231" s="6" t="inlineStr"/>
    </row>
    <row r="232">
      <c r="A232" s="2" t="inlineStr">
        <is>
          <t>A9.5.2</t>
        </is>
      </c>
      <c r="B232" s="2" t="n">
        <v>3</v>
      </c>
      <c r="C232" s="2" t="inlineStr">
        <is>
          <t>Tab Mạch thật</t>
        </is>
      </c>
      <c r="D232" s="2" t="inlineStr">
        <is>
          <t>Thao tác không đảo ngược</t>
        </is>
      </c>
      <c r="E232" s="2" t="inlineStr">
        <is>
          <t>Chặn nếu chưa có snapshot release</t>
        </is>
      </c>
      <c r="F232" s="2" t="inlineStr">
        <is>
          <t>display</t>
        </is>
      </c>
      <c r="G232" s="2" t="inlineStr"/>
      <c r="H232" s="2">
        <f>COUNTIF('Anh xa'!$A$2:$A$725,A232)</f>
        <v/>
      </c>
      <c r="I232" s="2">
        <f>IF(H232&gt;0,"Đã ánh xạ","THIẾU")</f>
        <v/>
      </c>
      <c r="J232" s="6" t="inlineStr">
        <is>
          <t>Chưa làm</t>
        </is>
      </c>
      <c r="K232" s="6" t="inlineStr"/>
    </row>
    <row r="233">
      <c r="A233" s="2" t="inlineStr">
        <is>
          <t>A9.6</t>
        </is>
      </c>
      <c r="B233" s="2" t="n">
        <v>2</v>
      </c>
      <c r="C233" s="2" t="inlineStr">
        <is>
          <t>Tab Mạch thật</t>
        </is>
      </c>
      <c r="D233" s="2" t="inlineStr">
        <is>
          <t>An toàn điện</t>
        </is>
      </c>
      <c r="E233" s="2" t="inlineStr"/>
      <c r="F233" s="2" t="inlineStr">
        <is>
          <t>khối</t>
        </is>
      </c>
      <c r="G233" s="2" t="inlineStr"/>
      <c r="H233" s="2">
        <f>COUNTIF('Anh xa'!$A$2:$A$725,"A9.6")+COUNTIF('Anh xa'!$A$2:$A$725,"A9.6.*")</f>
        <v/>
      </c>
      <c r="I233" s="2">
        <f>IF(H233&gt;0,"Đã ánh xạ","THIẾU")</f>
        <v/>
      </c>
      <c r="J233" s="6" t="inlineStr">
        <is>
          <t>Chưa làm</t>
        </is>
      </c>
      <c r="K233" s="6" t="inlineStr"/>
    </row>
    <row r="234">
      <c r="A234" s="2" t="inlineStr">
        <is>
          <t>A9.6.1</t>
        </is>
      </c>
      <c r="B234" s="2" t="n">
        <v>3</v>
      </c>
      <c r="C234" s="2" t="inlineStr">
        <is>
          <t>Tab Mạch thật</t>
        </is>
      </c>
      <c r="D234" s="2" t="inlineStr">
        <is>
          <t>An toàn điện</t>
        </is>
      </c>
      <c r="E234" s="2" t="inlineStr">
        <is>
          <t>Băng cảnh báo đứng đầu: NGẮT NGUỒN NGAY; điện lưới: cách ly/creepage</t>
        </is>
      </c>
      <c r="F234" s="2" t="inlineStr">
        <is>
          <t>display</t>
        </is>
      </c>
      <c r="G234" s="2" t="inlineStr"/>
      <c r="H234" s="2">
        <f>COUNTIF('Anh xa'!$A$2:$A$725,A234)</f>
        <v/>
      </c>
      <c r="I234" s="2">
        <f>IF(H234&gt;0,"Đã ánh xạ","THIẾU")</f>
        <v/>
      </c>
      <c r="J234" s="6" t="inlineStr">
        <is>
          <t>Chưa làm</t>
        </is>
      </c>
      <c r="K234" s="6" t="inlineStr"/>
    </row>
    <row r="235">
      <c r="A235" s="2" t="inlineStr">
        <is>
          <t>A9.7</t>
        </is>
      </c>
      <c r="B235" s="2" t="n">
        <v>2</v>
      </c>
      <c r="C235" s="2" t="inlineStr">
        <is>
          <t>Tab Mạch thật</t>
        </is>
      </c>
      <c r="D235" s="2" t="inlineStr">
        <is>
          <t>Tính toán kỹ thuật</t>
        </is>
      </c>
      <c r="E235" s="2" t="inlineStr"/>
      <c r="F235" s="2" t="inlineStr">
        <is>
          <t>khối</t>
        </is>
      </c>
      <c r="G235" s="2" t="inlineStr"/>
      <c r="H235" s="2">
        <f>COUNTIF('Anh xa'!$A$2:$A$725,"A9.7")+COUNTIF('Anh xa'!$A$2:$A$725,"A9.7.*")</f>
        <v/>
      </c>
      <c r="I235" s="2">
        <f>IF(H235&gt;0,"Đã ánh xạ","THIẾU")</f>
        <v/>
      </c>
      <c r="J235" s="6" t="inlineStr">
        <is>
          <t>Chưa làm</t>
        </is>
      </c>
      <c r="K235" s="6" t="inlineStr"/>
    </row>
    <row r="236">
      <c r="A236" s="2" t="inlineStr">
        <is>
          <t>A9.7.1</t>
        </is>
      </c>
      <c r="B236" s="2" t="n">
        <v>3</v>
      </c>
      <c r="C236" s="2" t="inlineStr">
        <is>
          <t>Tab Mạch thật</t>
        </is>
      </c>
      <c r="D236" s="2" t="inlineStr">
        <is>
          <t>Tính toán kỹ thuật</t>
        </is>
      </c>
      <c r="E236" s="2" t="inlineStr">
        <is>
          <t>Công thức chạy bằng mã, tham số có nguồn/NGƯỜI, đơn vị, biên an toàn; thiếu tham số → hỏi đúng số</t>
        </is>
      </c>
      <c r="F236" s="2" t="inlineStr">
        <is>
          <t>display</t>
        </is>
      </c>
      <c r="G236" s="2" t="inlineStr"/>
      <c r="H236" s="2">
        <f>COUNTIF('Anh xa'!$A$2:$A$725,A236)</f>
        <v/>
      </c>
      <c r="I236" s="2">
        <f>IF(H236&gt;0,"Đã ánh xạ","THIẾU")</f>
        <v/>
      </c>
      <c r="J236" s="6" t="inlineStr">
        <is>
          <t>Chưa làm</t>
        </is>
      </c>
      <c r="K236" s="6" t="inlineStr"/>
    </row>
    <row r="237">
      <c r="A237" s="7" t="inlineStr">
        <is>
          <t>A10</t>
        </is>
      </c>
      <c r="B237" s="7" t="n">
        <v>1</v>
      </c>
      <c r="C237" s="7" t="inlineStr">
        <is>
          <t>Tab Nhật ký lượt chạy</t>
        </is>
      </c>
      <c r="D237" s="2" t="inlineStr"/>
      <c r="E237" s="2" t="inlineStr"/>
      <c r="F237" s="2" t="inlineStr">
        <is>
          <t>tab</t>
        </is>
      </c>
      <c r="G237" s="2" t="inlineStr"/>
      <c r="H237" s="2">
        <f>COUNTIF('Anh xa'!$A$2:$A$725,"A10.*")</f>
        <v/>
      </c>
      <c r="I237" s="2">
        <f>IF(H237&gt;0,"Đã ánh xạ","THIẾU")</f>
        <v/>
      </c>
      <c r="J237" s="6" t="inlineStr">
        <is>
          <t>Chưa làm</t>
        </is>
      </c>
      <c r="K237" s="6" t="inlineStr"/>
    </row>
    <row r="238">
      <c r="A238" s="2" t="inlineStr">
        <is>
          <t>A10.1</t>
        </is>
      </c>
      <c r="B238" s="2" t="n">
        <v>2</v>
      </c>
      <c r="C238" s="2" t="inlineStr">
        <is>
          <t>Tab Nhật ký lượt chạy</t>
        </is>
      </c>
      <c r="D238" s="2" t="inlineStr">
        <is>
          <t>Sổ cái</t>
        </is>
      </c>
      <c r="E238" s="2" t="inlineStr"/>
      <c r="F238" s="2" t="inlineStr">
        <is>
          <t>khối</t>
        </is>
      </c>
      <c r="G238" s="2" t="inlineStr"/>
      <c r="H238" s="2">
        <f>COUNTIF('Anh xa'!$A$2:$A$725,"A10.1")+COUNTIF('Anh xa'!$A$2:$A$725,"A10.1.*")</f>
        <v/>
      </c>
      <c r="I238" s="2">
        <f>IF(H238&gt;0,"Đã ánh xạ","THIẾU")</f>
        <v/>
      </c>
      <c r="J238" s="6" t="inlineStr">
        <is>
          <t>Chưa làm</t>
        </is>
      </c>
      <c r="K238" s="6" t="inlineStr"/>
    </row>
    <row r="239">
      <c r="A239" s="2" t="inlineStr">
        <is>
          <t>A10.1.1</t>
        </is>
      </c>
      <c r="B239" s="2" t="n">
        <v>3</v>
      </c>
      <c r="C239" s="2" t="inlineStr">
        <is>
          <t>Tab Nhật ký lượt chạy</t>
        </is>
      </c>
      <c r="D239" s="2" t="inlineStr">
        <is>
          <t>Sổ cái</t>
        </is>
      </c>
      <c r="E239" s="2" t="inlineStr">
        <is>
          <t>Timeline: HumanAct, tool_use/result, gate.decision, incident, chi phí</t>
        </is>
      </c>
      <c r="F239" s="2" t="inlineStr">
        <is>
          <t>display</t>
        </is>
      </c>
      <c r="G239" s="2" t="inlineStr"/>
      <c r="H239" s="2">
        <f>COUNTIF('Anh xa'!$A$2:$A$725,A239)</f>
        <v/>
      </c>
      <c r="I239" s="2">
        <f>IF(H239&gt;0,"Đã ánh xạ","THIẾU")</f>
        <v/>
      </c>
      <c r="J239" s="6" t="inlineStr">
        <is>
          <t>Chưa làm</t>
        </is>
      </c>
      <c r="K239" s="6" t="inlineStr"/>
    </row>
    <row r="240">
      <c r="A240" s="2" t="inlineStr">
        <is>
          <t>A10.1.2</t>
        </is>
      </c>
      <c r="B240" s="2" t="n">
        <v>3</v>
      </c>
      <c r="C240" s="2" t="inlineStr">
        <is>
          <t>Tab Nhật ký lượt chạy</t>
        </is>
      </c>
      <c r="D240" s="2" t="inlineStr">
        <is>
          <t>Sổ cái</t>
        </is>
      </c>
      <c r="E240" s="2" t="inlineStr">
        <is>
          <t>Lọc theo lượt / tác giả / loại</t>
        </is>
      </c>
      <c r="F240" s="2" t="inlineStr">
        <is>
          <t>action</t>
        </is>
      </c>
      <c r="G240" s="2" t="inlineStr"/>
      <c r="H240" s="2">
        <f>COUNTIF('Anh xa'!$A$2:$A$725,A240)</f>
        <v/>
      </c>
      <c r="I240" s="2">
        <f>IF(H240&gt;0,"Đã ánh xạ","THIẾU")</f>
        <v/>
      </c>
      <c r="J240" s="6" t="inlineStr">
        <is>
          <t>Chưa làm</t>
        </is>
      </c>
      <c r="K240" s="6" t="inlineStr"/>
    </row>
    <row r="241">
      <c r="A241" s="2" t="inlineStr">
        <is>
          <t>A10.1.3</t>
        </is>
      </c>
      <c r="B241" s="2" t="n">
        <v>3</v>
      </c>
      <c r="C241" s="2" t="inlineStr">
        <is>
          <t>Tab Nhật ký lượt chạy</t>
        </is>
      </c>
      <c r="D241" s="2" t="inlineStr">
        <is>
          <t>Sổ cái</t>
        </is>
      </c>
      <c r="E241" s="2" t="inlineStr">
        <is>
          <t>Xuất sổ cái</t>
        </is>
      </c>
      <c r="F241" s="2" t="inlineStr">
        <is>
          <t>action</t>
        </is>
      </c>
      <c r="G241" s="2" t="inlineStr"/>
      <c r="H241" s="2">
        <f>COUNTIF('Anh xa'!$A$2:$A$725,A241)</f>
        <v/>
      </c>
      <c r="I241" s="2">
        <f>IF(H241&gt;0,"Đã ánh xạ","THIẾU")</f>
        <v/>
      </c>
      <c r="J241" s="6" t="inlineStr">
        <is>
          <t>Chưa làm</t>
        </is>
      </c>
      <c r="K241" s="6" t="inlineStr"/>
    </row>
    <row r="242">
      <c r="A242" s="2" t="inlineStr">
        <is>
          <t>A10.2</t>
        </is>
      </c>
      <c r="B242" s="2" t="n">
        <v>2</v>
      </c>
      <c r="C242" s="2" t="inlineStr">
        <is>
          <t>Tab Nhật ký lượt chạy</t>
        </is>
      </c>
      <c r="D242" s="2" t="inlineStr">
        <is>
          <t>Sự cố</t>
        </is>
      </c>
      <c r="E242" s="2" t="inlineStr"/>
      <c r="F242" s="2" t="inlineStr">
        <is>
          <t>khối</t>
        </is>
      </c>
      <c r="G242" s="2" t="inlineStr"/>
      <c r="H242" s="2">
        <f>COUNTIF('Anh xa'!$A$2:$A$725,"A10.2")+COUNTIF('Anh xa'!$A$2:$A$725,"A10.2.*")</f>
        <v/>
      </c>
      <c r="I242" s="2">
        <f>IF(H242&gt;0,"Đã ánh xạ","THIẾU")</f>
        <v/>
      </c>
      <c r="J242" s="6" t="inlineStr">
        <is>
          <t>Chưa làm</t>
        </is>
      </c>
      <c r="K242" s="6" t="inlineStr"/>
    </row>
    <row r="243">
      <c r="A243" s="2" t="inlineStr">
        <is>
          <t>A10.2.1</t>
        </is>
      </c>
      <c r="B243" s="2" t="n">
        <v>3</v>
      </c>
      <c r="C243" s="2" t="inlineStr">
        <is>
          <t>Tab Nhật ký lượt chạy</t>
        </is>
      </c>
      <c r="D243" s="2" t="inlineStr">
        <is>
          <t>Sự cố</t>
        </is>
      </c>
      <c r="E243" s="2" t="inlineStr">
        <is>
          <t>Danh sách sự cố: mạng, LLM, timeout, sandbox — trạng thái đã lưu, nút Tiếp tục</t>
        </is>
      </c>
      <c r="F243" s="2" t="inlineStr">
        <is>
          <t>action</t>
        </is>
      </c>
      <c r="G243" s="2" t="inlineStr"/>
      <c r="H243" s="2">
        <f>COUNTIF('Anh xa'!$A$2:$A$725,A243)</f>
        <v/>
      </c>
      <c r="I243" s="2">
        <f>IF(H243&gt;0,"Đã ánh xạ","THIẾU")</f>
        <v/>
      </c>
      <c r="J243" s="6" t="inlineStr">
        <is>
          <t>Chưa làm</t>
        </is>
      </c>
      <c r="K243" s="6" t="inlineStr"/>
    </row>
    <row r="244">
      <c r="A244" s="7" t="inlineStr">
        <is>
          <t>A11</t>
        </is>
      </c>
      <c r="B244" s="7" t="n">
        <v>1</v>
      </c>
      <c r="C244" s="7" t="inlineStr">
        <is>
          <t>Tab Lịch sử</t>
        </is>
      </c>
      <c r="D244" s="2" t="inlineStr"/>
      <c r="E244" s="2" t="inlineStr"/>
      <c r="F244" s="2" t="inlineStr">
        <is>
          <t>tab</t>
        </is>
      </c>
      <c r="G244" s="2" t="inlineStr"/>
      <c r="H244" s="2">
        <f>COUNTIF('Anh xa'!$A$2:$A$725,"A11.*")</f>
        <v/>
      </c>
      <c r="I244" s="2">
        <f>IF(H244&gt;0,"Đã ánh xạ","THIẾU")</f>
        <v/>
      </c>
      <c r="J244" s="6" t="inlineStr">
        <is>
          <t>Chưa làm</t>
        </is>
      </c>
      <c r="K244" s="6" t="inlineStr"/>
    </row>
    <row r="245">
      <c r="A245" s="2" t="inlineStr">
        <is>
          <t>A11.1</t>
        </is>
      </c>
      <c r="B245" s="2" t="n">
        <v>2</v>
      </c>
      <c r="C245" s="2" t="inlineStr">
        <is>
          <t>Tab Lịch sử</t>
        </is>
      </c>
      <c r="D245" s="2" t="inlineStr">
        <is>
          <t>Dòng thời gian changeset</t>
        </is>
      </c>
      <c r="E245" s="2" t="inlineStr"/>
      <c r="F245" s="2" t="inlineStr">
        <is>
          <t>khối</t>
        </is>
      </c>
      <c r="G245" s="2" t="inlineStr">
        <is>
          <t>AR22</t>
        </is>
      </c>
      <c r="H245" s="2">
        <f>COUNTIF('Anh xa'!$A$2:$A$725,"A11.1")+COUNTIF('Anh xa'!$A$2:$A$725,"A11.1.*")</f>
        <v/>
      </c>
      <c r="I245" s="2">
        <f>IF(H245&gt;0,"Đã ánh xạ","THIẾU")</f>
        <v/>
      </c>
      <c r="J245" s="6" t="inlineStr">
        <is>
          <t>Chưa làm</t>
        </is>
      </c>
      <c r="K245" s="6" t="inlineStr"/>
    </row>
    <row r="246">
      <c r="A246" s="2" t="inlineStr">
        <is>
          <t>A11.1.1</t>
        </is>
      </c>
      <c r="B246" s="2" t="n">
        <v>3</v>
      </c>
      <c r="C246" s="2" t="inlineStr">
        <is>
          <t>Tab Lịch sử</t>
        </is>
      </c>
      <c r="D246" s="2" t="inlineStr">
        <is>
          <t>Dòng thời gian changeset</t>
        </is>
      </c>
      <c r="E246" s="2" t="inlineStr">
        <is>
          <t>Mỗi changeset: ai, cái gì, thuộc lượt nào, hoàn tác được không (lý do), STALE kéo theo</t>
        </is>
      </c>
      <c r="F246" s="2" t="inlineStr">
        <is>
          <t>display</t>
        </is>
      </c>
      <c r="G246" s="2" t="inlineStr">
        <is>
          <t>AR22</t>
        </is>
      </c>
      <c r="H246" s="2">
        <f>COUNTIF('Anh xa'!$A$2:$A$725,A246)</f>
        <v/>
      </c>
      <c r="I246" s="2">
        <f>IF(H246&gt;0,"Đã ánh xạ","THIẾU")</f>
        <v/>
      </c>
      <c r="J246" s="6" t="inlineStr">
        <is>
          <t>Chưa làm</t>
        </is>
      </c>
      <c r="K246" s="6" t="inlineStr"/>
    </row>
    <row r="247">
      <c r="A247" s="2" t="inlineStr">
        <is>
          <t>A11.1.2</t>
        </is>
      </c>
      <c r="B247" s="2" t="n">
        <v>3</v>
      </c>
      <c r="C247" s="2" t="inlineStr">
        <is>
          <t>Tab Lịch sử</t>
        </is>
      </c>
      <c r="D247" s="2" t="inlineStr">
        <is>
          <t>Dòng thời gian changeset</t>
        </is>
      </c>
      <c r="E247" s="2" t="inlineStr">
        <is>
          <t>Lọc theo tác giả / hiện vật / lượt</t>
        </is>
      </c>
      <c r="F247" s="2" t="inlineStr">
        <is>
          <t>action</t>
        </is>
      </c>
      <c r="G247" s="2" t="inlineStr">
        <is>
          <t>AR22</t>
        </is>
      </c>
      <c r="H247" s="2">
        <f>COUNTIF('Anh xa'!$A$2:$A$725,A247)</f>
        <v/>
      </c>
      <c r="I247" s="2">
        <f>IF(H247&gt;0,"Đã ánh xạ","THIẾU")</f>
        <v/>
      </c>
      <c r="J247" s="6" t="inlineStr">
        <is>
          <t>Chưa làm</t>
        </is>
      </c>
      <c r="K247" s="6" t="inlineStr"/>
    </row>
    <row r="248">
      <c r="A248" s="2" t="inlineStr">
        <is>
          <t>A11.1.3</t>
        </is>
      </c>
      <c r="B248" s="2" t="n">
        <v>3</v>
      </c>
      <c r="C248" s="2" t="inlineStr">
        <is>
          <t>Tab Lịch sử</t>
        </is>
      </c>
      <c r="D248" s="2" t="inlineStr">
        <is>
          <t>Dòng thời gian changeset</t>
        </is>
      </c>
      <c r="E248" s="2" t="inlineStr">
        <is>
          <t>Hoàn tác một changeset (cảnh báo chuỗi chạm cùng hiện vật)</t>
        </is>
      </c>
      <c r="F248" s="2" t="inlineStr">
        <is>
          <t>action</t>
        </is>
      </c>
      <c r="G248" s="2" t="inlineStr">
        <is>
          <t>AR22</t>
        </is>
      </c>
      <c r="H248" s="2">
        <f>COUNTIF('Anh xa'!$A$2:$A$725,A248)</f>
        <v/>
      </c>
      <c r="I248" s="2">
        <f>IF(H248&gt;0,"Đã ánh xạ","THIẾU")</f>
        <v/>
      </c>
      <c r="J248" s="6" t="inlineStr">
        <is>
          <t>Chưa làm</t>
        </is>
      </c>
      <c r="K248" s="6" t="inlineStr"/>
    </row>
    <row r="249">
      <c r="A249" s="2" t="inlineStr">
        <is>
          <t>A11.1.4</t>
        </is>
      </c>
      <c r="B249" s="2" t="n">
        <v>3</v>
      </c>
      <c r="C249" s="2" t="inlineStr">
        <is>
          <t>Tab Lịch sử</t>
        </is>
      </c>
      <c r="D249" s="2" t="inlineStr">
        <is>
          <t>Dòng thời gian changeset</t>
        </is>
      </c>
      <c r="E249" s="2" t="inlineStr">
        <is>
          <t>Hoàn tác cả lượt (thẻ G-HIST liệt kê sẽ mất gì)</t>
        </is>
      </c>
      <c r="F249" s="2" t="inlineStr">
        <is>
          <t>action</t>
        </is>
      </c>
      <c r="G249" s="2" t="inlineStr">
        <is>
          <t>AR22</t>
        </is>
      </c>
      <c r="H249" s="2">
        <f>COUNTIF('Anh xa'!$A$2:$A$725,A249)</f>
        <v/>
      </c>
      <c r="I249" s="2">
        <f>IF(H249&gt;0,"Đã ánh xạ","THIẾU")</f>
        <v/>
      </c>
      <c r="J249" s="6" t="inlineStr">
        <is>
          <t>Chưa làm</t>
        </is>
      </c>
      <c r="K249" s="6" t="inlineStr"/>
    </row>
    <row r="250">
      <c r="A250" s="2" t="inlineStr">
        <is>
          <t>A11.1.5</t>
        </is>
      </c>
      <c r="B250" s="2" t="n">
        <v>3</v>
      </c>
      <c r="C250" s="2" t="inlineStr">
        <is>
          <t>Tab Lịch sử</t>
        </is>
      </c>
      <c r="D250" s="2" t="inlineStr">
        <is>
          <t>Dòng thời gian changeset</t>
        </is>
      </c>
      <c r="E250" s="2" t="inlineStr">
        <is>
          <t>Đặt snapshot tại changeset này</t>
        </is>
      </c>
      <c r="F250" s="2" t="inlineStr">
        <is>
          <t>action</t>
        </is>
      </c>
      <c r="G250" s="2" t="inlineStr">
        <is>
          <t>AR22</t>
        </is>
      </c>
      <c r="H250" s="2">
        <f>COUNTIF('Anh xa'!$A$2:$A$725,A250)</f>
        <v/>
      </c>
      <c r="I250" s="2">
        <f>IF(H250&gt;0,"Đã ánh xạ","THIẾU")</f>
        <v/>
      </c>
      <c r="J250" s="6" t="inlineStr">
        <is>
          <t>Chưa làm</t>
        </is>
      </c>
      <c r="K250" s="6" t="inlineStr"/>
    </row>
    <row r="251">
      <c r="A251" s="2" t="inlineStr">
        <is>
          <t>A11.1.6</t>
        </is>
      </c>
      <c r="B251" s="2" t="n">
        <v>3</v>
      </c>
      <c r="C251" s="2" t="inlineStr">
        <is>
          <t>Tab Lịch sử</t>
        </is>
      </c>
      <c r="D251" s="2" t="inlineStr">
        <is>
          <t>Dòng thời gian changeset</t>
        </is>
      </c>
      <c r="E251" s="2" t="inlineStr">
        <is>
          <t>Xem diff của changeset</t>
        </is>
      </c>
      <c r="F251" s="2" t="inlineStr">
        <is>
          <t>display</t>
        </is>
      </c>
      <c r="G251" s="2" t="inlineStr">
        <is>
          <t>AR22</t>
        </is>
      </c>
      <c r="H251" s="2">
        <f>COUNTIF('Anh xa'!$A$2:$A$725,A251)</f>
        <v/>
      </c>
      <c r="I251" s="2">
        <f>IF(H251&gt;0,"Đã ánh xạ","THIẾU")</f>
        <v/>
      </c>
      <c r="J251" s="6" t="inlineStr">
        <is>
          <t>Chưa làm</t>
        </is>
      </c>
      <c r="K251" s="6" t="inlineStr"/>
    </row>
    <row r="252">
      <c r="A252" s="2" t="inlineStr">
        <is>
          <t>A11.2</t>
        </is>
      </c>
      <c r="B252" s="2" t="n">
        <v>2</v>
      </c>
      <c r="C252" s="2" t="inlineStr">
        <is>
          <t>Tab Lịch sử</t>
        </is>
      </c>
      <c r="D252" s="2" t="inlineStr">
        <is>
          <t>Snapshot (bản ưng ý)</t>
        </is>
      </c>
      <c r="E252" s="2" t="inlineStr"/>
      <c r="F252" s="2" t="inlineStr">
        <is>
          <t>khối</t>
        </is>
      </c>
      <c r="G252" s="2" t="inlineStr">
        <is>
          <t>AR23</t>
        </is>
      </c>
      <c r="H252" s="2">
        <f>COUNTIF('Anh xa'!$A$2:$A$725,"A11.2")+COUNTIF('Anh xa'!$A$2:$A$725,"A11.2.*")</f>
        <v/>
      </c>
      <c r="I252" s="2">
        <f>IF(H252&gt;0,"Đã ánh xạ","THIẾU")</f>
        <v/>
      </c>
      <c r="J252" s="6" t="inlineStr">
        <is>
          <t>Chưa làm</t>
        </is>
      </c>
      <c r="K252" s="6" t="inlineStr"/>
    </row>
    <row r="253">
      <c r="A253" s="2" t="inlineStr">
        <is>
          <t>A11.2.1</t>
        </is>
      </c>
      <c r="B253" s="2" t="n">
        <v>3</v>
      </c>
      <c r="C253" s="2" t="inlineStr">
        <is>
          <t>Tab Lịch sử</t>
        </is>
      </c>
      <c r="D253" s="2" t="inlineStr">
        <is>
          <t>Snapshot (bản ưng ý)</t>
        </is>
      </c>
      <c r="E253" s="2" t="inlineStr">
        <is>
          <t>Dấu ★: tên, ghi chú, chip, tài liệu, REQ đã đạt, bằng chứng, kind checkpoint/release</t>
        </is>
      </c>
      <c r="F253" s="2" t="inlineStr">
        <is>
          <t>display</t>
        </is>
      </c>
      <c r="G253" s="2" t="inlineStr">
        <is>
          <t>AR23</t>
        </is>
      </c>
      <c r="H253" s="2">
        <f>COUNTIF('Anh xa'!$A$2:$A$725,A253)</f>
        <v/>
      </c>
      <c r="I253" s="2">
        <f>IF(H253&gt;0,"Đã ánh xạ","THIẾU")</f>
        <v/>
      </c>
      <c r="J253" s="6" t="inlineStr">
        <is>
          <t>Chưa làm</t>
        </is>
      </c>
      <c r="K253" s="6" t="inlineStr"/>
    </row>
    <row r="254">
      <c r="A254" s="2" t="inlineStr">
        <is>
          <t>A11.2.2</t>
        </is>
      </c>
      <c r="B254" s="2" t="n">
        <v>3</v>
      </c>
      <c r="C254" s="2" t="inlineStr">
        <is>
          <t>Tab Lịch sử</t>
        </is>
      </c>
      <c r="D254" s="2" t="inlineStr">
        <is>
          <t>Snapshot (bản ưng ý)</t>
        </is>
      </c>
      <c r="E254" s="2" t="inlineStr">
        <is>
          <t>Ghi bản ưng ý (đặt tên, ghi chú, chọn gồm gì)</t>
        </is>
      </c>
      <c r="F254" s="2" t="inlineStr">
        <is>
          <t>edit</t>
        </is>
      </c>
      <c r="G254" s="2" t="inlineStr">
        <is>
          <t>AR23</t>
        </is>
      </c>
      <c r="H254" s="2">
        <f>COUNTIF('Anh xa'!$A$2:$A$725,A254)</f>
        <v/>
      </c>
      <c r="I254" s="2">
        <f>IF(H254&gt;0,"Đã ánh xạ","THIẾU")</f>
        <v/>
      </c>
      <c r="J254" s="6" t="inlineStr">
        <is>
          <t>Chưa làm</t>
        </is>
      </c>
      <c r="K254" s="6" t="inlineStr"/>
    </row>
    <row r="255">
      <c r="A255" s="2" t="inlineStr">
        <is>
          <t>A11.2.3</t>
        </is>
      </c>
      <c r="B255" s="2" t="n">
        <v>3</v>
      </c>
      <c r="C255" s="2" t="inlineStr">
        <is>
          <t>Tab Lịch sử</t>
        </is>
      </c>
      <c r="D255" s="2" t="inlineStr">
        <is>
          <t>Snapshot (bản ưng ý)</t>
        </is>
      </c>
      <c r="E255" s="2" t="inlineStr">
        <is>
          <t>Khôi phục: thẻ G-HIST 'sẽ mất gì', gợi ý snapshot hiện tại, vào nhánh mới</t>
        </is>
      </c>
      <c r="F255" s="2" t="inlineStr">
        <is>
          <t>action</t>
        </is>
      </c>
      <c r="G255" s="2" t="inlineStr">
        <is>
          <t>AR23</t>
        </is>
      </c>
      <c r="H255" s="2">
        <f>COUNTIF('Anh xa'!$A$2:$A$725,A255)</f>
        <v/>
      </c>
      <c r="I255" s="2">
        <f>IF(H255&gt;0,"Đã ánh xạ","THIẾU")</f>
        <v/>
      </c>
      <c r="J255" s="6" t="inlineStr">
        <is>
          <t>Chưa làm</t>
        </is>
      </c>
      <c r="K255" s="6" t="inlineStr"/>
    </row>
    <row r="256">
      <c r="A256" s="2" t="inlineStr">
        <is>
          <t>A11.2.4</t>
        </is>
      </c>
      <c r="B256" s="2" t="n">
        <v>3</v>
      </c>
      <c r="C256" s="2" t="inlineStr">
        <is>
          <t>Tab Lịch sử</t>
        </is>
      </c>
      <c r="D256" s="2" t="inlineStr">
        <is>
          <t>Snapshot (bản ưng ý)</t>
        </is>
      </c>
      <c r="E256" s="2" t="inlineStr">
        <is>
          <t>So sánh hai snapshot: REQ, Fact, mã, Flash/RAM, sim, tài liệu</t>
        </is>
      </c>
      <c r="F256" s="2" t="inlineStr">
        <is>
          <t>display</t>
        </is>
      </c>
      <c r="G256" s="2" t="inlineStr">
        <is>
          <t>AR23</t>
        </is>
      </c>
      <c r="H256" s="2">
        <f>COUNTIF('Anh xa'!$A$2:$A$725,A256)</f>
        <v/>
      </c>
      <c r="I256" s="2">
        <f>IF(H256&gt;0,"Đã ánh xạ","THIẾU")</f>
        <v/>
      </c>
      <c r="J256" s="6" t="inlineStr">
        <is>
          <t>Chưa làm</t>
        </is>
      </c>
      <c r="K256" s="6" t="inlineStr"/>
    </row>
    <row r="257">
      <c r="A257" s="2" t="inlineStr">
        <is>
          <t>A11.2.5</t>
        </is>
      </c>
      <c r="B257" s="2" t="n">
        <v>3</v>
      </c>
      <c r="C257" s="2" t="inlineStr">
        <is>
          <t>Tab Lịch sử</t>
        </is>
      </c>
      <c r="D257" s="2" t="inlineStr">
        <is>
          <t>Snapshot (bản ưng ý)</t>
        </is>
      </c>
      <c r="E257" s="2" t="inlineStr">
        <is>
          <t>Đánh dấu release / Xuất gói</t>
        </is>
      </c>
      <c r="F257" s="2" t="inlineStr">
        <is>
          <t>action</t>
        </is>
      </c>
      <c r="G257" s="2" t="inlineStr">
        <is>
          <t>AR23</t>
        </is>
      </c>
      <c r="H257" s="2">
        <f>COUNTIF('Anh xa'!$A$2:$A$725,A257)</f>
        <v/>
      </c>
      <c r="I257" s="2">
        <f>IF(H257&gt;0,"Đã ánh xạ","THIẾU")</f>
        <v/>
      </c>
      <c r="J257" s="6" t="inlineStr">
        <is>
          <t>Chưa làm</t>
        </is>
      </c>
      <c r="K257" s="6" t="inlineStr"/>
    </row>
    <row r="258">
      <c r="A258" s="2" t="inlineStr">
        <is>
          <t>A11.2.6</t>
        </is>
      </c>
      <c r="B258" s="2" t="n">
        <v>3</v>
      </c>
      <c r="C258" s="2" t="inlineStr">
        <is>
          <t>Tab Lịch sử</t>
        </is>
      </c>
      <c r="D258" s="2" t="inlineStr">
        <is>
          <t>Snapshot (bản ưng ý)</t>
        </is>
      </c>
      <c r="E258" s="2" t="inlineStr">
        <is>
          <t>Checkpoint ngầm (ẩn mặc định, bật hiện)</t>
        </is>
      </c>
      <c r="F258" s="2" t="inlineStr">
        <is>
          <t>display</t>
        </is>
      </c>
      <c r="G258" s="2" t="inlineStr">
        <is>
          <t>AR23</t>
        </is>
      </c>
      <c r="H258" s="2">
        <f>COUNTIF('Anh xa'!$A$2:$A$725,A258)</f>
        <v/>
      </c>
      <c r="I258" s="2">
        <f>IF(H258&gt;0,"Đã ánh xạ","THIẾU")</f>
        <v/>
      </c>
      <c r="J258" s="6" t="inlineStr">
        <is>
          <t>Chưa làm</t>
        </is>
      </c>
      <c r="K258" s="6" t="inlineStr"/>
    </row>
    <row r="259">
      <c r="A259" s="2" t="inlineStr">
        <is>
          <t>A11.3</t>
        </is>
      </c>
      <c r="B259" s="2" t="n">
        <v>2</v>
      </c>
      <c r="C259" s="2" t="inlineStr">
        <is>
          <t>Tab Lịch sử</t>
        </is>
      </c>
      <c r="D259" s="2" t="inlineStr">
        <is>
          <t>Nhánh</t>
        </is>
      </c>
      <c r="E259" s="2" t="inlineStr"/>
      <c r="F259" s="2" t="inlineStr">
        <is>
          <t>khối</t>
        </is>
      </c>
      <c r="G259" s="2" t="inlineStr"/>
      <c r="H259" s="2">
        <f>COUNTIF('Anh xa'!$A$2:$A$725,"A11.3")+COUNTIF('Anh xa'!$A$2:$A$725,"A11.3.*")</f>
        <v/>
      </c>
      <c r="I259" s="2">
        <f>IF(H259&gt;0,"Đã ánh xạ","THIẾU")</f>
        <v/>
      </c>
      <c r="J259" s="6" t="inlineStr">
        <is>
          <t>Chưa làm</t>
        </is>
      </c>
      <c r="K259" s="6" t="inlineStr"/>
    </row>
    <row r="260">
      <c r="A260" s="2" t="inlineStr">
        <is>
          <t>A11.3.1</t>
        </is>
      </c>
      <c r="B260" s="2" t="n">
        <v>3</v>
      </c>
      <c r="C260" s="2" t="inlineStr">
        <is>
          <t>Tab Lịch sử</t>
        </is>
      </c>
      <c r="D260" s="2" t="inlineStr">
        <is>
          <t>Nhánh</t>
        </is>
      </c>
      <c r="E260" s="2" t="inlineStr">
        <is>
          <t>Danh sách nhánh; tạo từ snapshot/changeset; chuyển</t>
        </is>
      </c>
      <c r="F260" s="2" t="inlineStr">
        <is>
          <t>action</t>
        </is>
      </c>
      <c r="G260" s="2" t="inlineStr"/>
      <c r="H260" s="2">
        <f>COUNTIF('Anh xa'!$A$2:$A$725,A260)</f>
        <v/>
      </c>
      <c r="I260" s="2">
        <f>IF(H260&gt;0,"Đã ánh xạ","THIẾU")</f>
        <v/>
      </c>
      <c r="J260" s="6" t="inlineStr">
        <is>
          <t>Chưa làm</t>
        </is>
      </c>
      <c r="K260" s="6" t="inlineStr"/>
    </row>
    <row r="261">
      <c r="A261" s="2" t="inlineStr">
        <is>
          <t>A11.3.2</t>
        </is>
      </c>
      <c r="B261" s="2" t="n">
        <v>3</v>
      </c>
      <c r="C261" s="2" t="inlineStr">
        <is>
          <t>Tab Lịch sử</t>
        </is>
      </c>
      <c r="D261" s="2" t="inlineStr">
        <is>
          <t>Nhánh</t>
        </is>
      </c>
      <c r="E261" s="2" t="inlineStr">
        <is>
          <t>Gộp: hiện vật không xung đột tự gộp; còn lại chọn từng cái</t>
        </is>
      </c>
      <c r="F261" s="2" t="inlineStr">
        <is>
          <t>edit</t>
        </is>
      </c>
      <c r="G261" s="2" t="inlineStr"/>
      <c r="H261" s="2">
        <f>COUNTIF('Anh xa'!$A$2:$A$725,A261)</f>
        <v/>
      </c>
      <c r="I261" s="2">
        <f>IF(H261&gt;0,"Đã ánh xạ","THIẾU")</f>
        <v/>
      </c>
      <c r="J261" s="6" t="inlineStr">
        <is>
          <t>Chưa làm</t>
        </is>
      </c>
      <c r="K261" s="6" t="inlineStr"/>
    </row>
    <row r="262">
      <c r="A262" s="2" t="inlineStr">
        <is>
          <t>A11.4</t>
        </is>
      </c>
      <c r="B262" s="2" t="n">
        <v>2</v>
      </c>
      <c r="C262" s="2" t="inlineStr">
        <is>
          <t>Tab Lịch sử</t>
        </is>
      </c>
      <c r="D262" s="2" t="inlineStr">
        <is>
          <t>Hiện vật STALE</t>
        </is>
      </c>
      <c r="E262" s="2" t="inlineStr"/>
      <c r="F262" s="2" t="inlineStr">
        <is>
          <t>khối</t>
        </is>
      </c>
      <c r="G262" s="2" t="inlineStr"/>
      <c r="H262" s="2">
        <f>COUNTIF('Anh xa'!$A$2:$A$725,"A11.4")+COUNTIF('Anh xa'!$A$2:$A$725,"A11.4.*")</f>
        <v/>
      </c>
      <c r="I262" s="2">
        <f>IF(H262&gt;0,"Đã ánh xạ","THIẾU")</f>
        <v/>
      </c>
      <c r="J262" s="6" t="inlineStr">
        <is>
          <t>Chưa làm</t>
        </is>
      </c>
      <c r="K262" s="6" t="inlineStr"/>
    </row>
    <row r="263">
      <c r="A263" s="2" t="inlineStr">
        <is>
          <t>A11.4.1</t>
        </is>
      </c>
      <c r="B263" s="2" t="n">
        <v>3</v>
      </c>
      <c r="C263" s="2" t="inlineStr">
        <is>
          <t>Tab Lịch sử</t>
        </is>
      </c>
      <c r="D263" s="2" t="inlineStr">
        <is>
          <t>Hiện vật STALE</t>
        </is>
      </c>
      <c r="E263" s="2" t="inlineStr">
        <is>
          <t>Danh sách STALE + lý do (changeset) + nút 'Lập kế hoạch cập nhật' / 'Chấp nhận'</t>
        </is>
      </c>
      <c r="F263" s="2" t="inlineStr">
        <is>
          <t>action</t>
        </is>
      </c>
      <c r="G263" s="2" t="inlineStr"/>
      <c r="H263" s="2">
        <f>COUNTIF('Anh xa'!$A$2:$A$725,A263)</f>
        <v/>
      </c>
      <c r="I263" s="2">
        <f>IF(H263&gt;0,"Đã ánh xạ","THIẾU")</f>
        <v/>
      </c>
      <c r="J263" s="6" t="inlineStr">
        <is>
          <t>Chưa làm</t>
        </is>
      </c>
      <c r="K263" s="6" t="inlineStr"/>
    </row>
    <row r="264">
      <c r="A264" s="7" t="inlineStr">
        <is>
          <t>A12</t>
        </is>
      </c>
      <c r="B264" s="7" t="n">
        <v>1</v>
      </c>
      <c r="C264" s="7" t="inlineStr">
        <is>
          <t>Thẻ cổng (overlay)</t>
        </is>
      </c>
      <c r="D264" s="2" t="inlineStr"/>
      <c r="E264" s="2" t="inlineStr"/>
      <c r="F264" s="2" t="inlineStr">
        <is>
          <t>overlay</t>
        </is>
      </c>
      <c r="G264" s="2" t="inlineStr"/>
      <c r="H264" s="2">
        <f>COUNTIF('Anh xa'!$A$2:$A$725,"A12.*")</f>
        <v/>
      </c>
      <c r="I264" s="2">
        <f>IF(H264&gt;0,"Đã ánh xạ","THIẾU")</f>
        <v/>
      </c>
      <c r="J264" s="6" t="inlineStr">
        <is>
          <t>Chưa làm</t>
        </is>
      </c>
      <c r="K264" s="6" t="inlineStr"/>
    </row>
    <row r="265">
      <c r="A265" s="2" t="inlineStr">
        <is>
          <t>A12.1</t>
        </is>
      </c>
      <c r="B265" s="2" t="n">
        <v>2</v>
      </c>
      <c r="C265" s="2" t="inlineStr">
        <is>
          <t>Thẻ cổng (overlay)</t>
        </is>
      </c>
      <c r="D265" s="2" t="inlineStr">
        <is>
          <t>Thẻ cổng chung</t>
        </is>
      </c>
      <c r="E265" s="2" t="inlineStr"/>
      <c r="F265" s="2" t="inlineStr">
        <is>
          <t>khối</t>
        </is>
      </c>
      <c r="G265" s="2" t="inlineStr"/>
      <c r="H265" s="2">
        <f>COUNTIF('Anh xa'!$A$2:$A$725,"A12.1")+COUNTIF('Anh xa'!$A$2:$A$725,"A12.1.*")</f>
        <v/>
      </c>
      <c r="I265" s="2">
        <f>IF(H265&gt;0,"Đã ánh xạ","THIẾU")</f>
        <v/>
      </c>
      <c r="J265" s="6" t="inlineStr">
        <is>
          <t>Chưa làm</t>
        </is>
      </c>
      <c r="K265" s="6" t="inlineStr"/>
    </row>
    <row r="266">
      <c r="A266" s="2" t="inlineStr">
        <is>
          <t>A12.1.1</t>
        </is>
      </c>
      <c r="B266" s="2" t="n">
        <v>3</v>
      </c>
      <c r="C266" s="2" t="inlineStr">
        <is>
          <t>Thẻ cổng (overlay)</t>
        </is>
      </c>
      <c r="D266" s="2" t="inlineStr">
        <is>
          <t>Thẻ cổng chung</t>
        </is>
      </c>
      <c r="E266" s="2" t="inlineStr">
        <is>
          <t>Tiêu đề + mã cổng + mức rủi ro + hậu quả (consequences cố định từ hợp đồng tool)</t>
        </is>
      </c>
      <c r="F266" s="2" t="inlineStr">
        <is>
          <t>display</t>
        </is>
      </c>
      <c r="G266" s="2" t="inlineStr"/>
      <c r="H266" s="2">
        <f>COUNTIF('Anh xa'!$A$2:$A$725,A266)</f>
        <v/>
      </c>
      <c r="I266" s="2">
        <f>IF(H266&gt;0,"Đã ánh xạ","THIẾU")</f>
        <v/>
      </c>
      <c r="J266" s="6" t="inlineStr">
        <is>
          <t>Chưa làm</t>
        </is>
      </c>
      <c r="K266" s="6" t="inlineStr"/>
    </row>
    <row r="267">
      <c r="A267" s="2" t="inlineStr">
        <is>
          <t>A12.1.2</t>
        </is>
      </c>
      <c r="B267" s="2" t="n">
        <v>3</v>
      </c>
      <c r="C267" s="2" t="inlineStr">
        <is>
          <t>Thẻ cổng (overlay)</t>
        </is>
      </c>
      <c r="D267" s="2" t="inlineStr">
        <is>
          <t>Thẻ cổng chung</t>
        </is>
      </c>
      <c r="E267" s="2" t="inlineStr">
        <is>
          <t>Duyệt / Từ chối (decide)</t>
        </is>
      </c>
      <c r="F267" s="2" t="inlineStr">
        <is>
          <t>action</t>
        </is>
      </c>
      <c r="G267" s="2" t="inlineStr"/>
      <c r="H267" s="2">
        <f>COUNTIF('Anh xa'!$A$2:$A$725,A267)</f>
        <v/>
      </c>
      <c r="I267" s="2">
        <f>IF(H267&gt;0,"Đã ánh xạ","THIẾU")</f>
        <v/>
      </c>
      <c r="J267" s="6" t="inlineStr">
        <is>
          <t>Chưa làm</t>
        </is>
      </c>
      <c r="K267" s="6" t="inlineStr"/>
    </row>
    <row r="268">
      <c r="A268" s="2" t="inlineStr">
        <is>
          <t>A12.1.3</t>
        </is>
      </c>
      <c r="B268" s="2" t="n">
        <v>3</v>
      </c>
      <c r="C268" s="2" t="inlineStr">
        <is>
          <t>Thẻ cổng (overlay)</t>
        </is>
      </c>
      <c r="D268" s="2" t="inlineStr">
        <is>
          <t>Thẻ cổng chung</t>
        </is>
      </c>
      <c r="E268" s="2" t="inlineStr">
        <is>
          <t>'Tin' (chỉ R0–R2)</t>
        </is>
      </c>
      <c r="F268" s="2" t="inlineStr">
        <is>
          <t>action</t>
        </is>
      </c>
      <c r="G268" s="2" t="inlineStr"/>
      <c r="H268" s="2">
        <f>COUNTIF('Anh xa'!$A$2:$A$725,A268)</f>
        <v/>
      </c>
      <c r="I268" s="2">
        <f>IF(H268&gt;0,"Đã ánh xạ","THIẾU")</f>
        <v/>
      </c>
      <c r="J268" s="6" t="inlineStr">
        <is>
          <t>Chưa làm</t>
        </is>
      </c>
      <c r="K268" s="6" t="inlineStr"/>
    </row>
    <row r="269">
      <c r="A269" s="2" t="inlineStr">
        <is>
          <t>A12.1.4</t>
        </is>
      </c>
      <c r="B269" s="2" t="n">
        <v>3</v>
      </c>
      <c r="C269" s="2" t="inlineStr">
        <is>
          <t>Thẻ cổng (overlay)</t>
        </is>
      </c>
      <c r="D269" s="2" t="inlineStr">
        <is>
          <t>Thẻ cổng chung</t>
        </is>
      </c>
      <c r="E269" s="2" t="inlineStr">
        <is>
          <t>Hết hạn (R4: 10 phút) → mờ</t>
        </is>
      </c>
      <c r="F269" s="2" t="inlineStr">
        <is>
          <t>display</t>
        </is>
      </c>
      <c r="G269" s="2" t="inlineStr"/>
      <c r="H269" s="2">
        <f>COUNTIF('Anh xa'!$A$2:$A$725,A269)</f>
        <v/>
      </c>
      <c r="I269" s="2">
        <f>IF(H269&gt;0,"Đã ánh xạ","THIẾU")</f>
        <v/>
      </c>
      <c r="J269" s="6" t="inlineStr">
        <is>
          <t>Chưa làm</t>
        </is>
      </c>
      <c r="K269" s="6" t="inlineStr"/>
    </row>
    <row r="270">
      <c r="A270" s="2" t="inlineStr">
        <is>
          <t>A12.1.5</t>
        </is>
      </c>
      <c r="B270" s="2" t="n">
        <v>3</v>
      </c>
      <c r="C270" s="2" t="inlineStr">
        <is>
          <t>Thẻ cổng (overlay)</t>
        </is>
      </c>
      <c r="D270" s="2" t="inlineStr">
        <is>
          <t>Thẻ cổng chung</t>
        </is>
      </c>
      <c r="E270" s="2" t="inlineStr">
        <is>
          <t>Biến thể G-DATA: Danh sách nguồn chọn/từ chối</t>
        </is>
      </c>
      <c r="F270" s="2" t="inlineStr">
        <is>
          <t>display</t>
        </is>
      </c>
      <c r="G270" s="2" t="inlineStr"/>
      <c r="H270" s="2">
        <f>COUNTIF('Anh xa'!$A$2:$A$725,A270)</f>
        <v/>
      </c>
      <c r="I270" s="2">
        <f>IF(H270&gt;0,"Đã ánh xạ","THIẾU")</f>
        <v/>
      </c>
      <c r="J270" s="6" t="inlineStr">
        <is>
          <t>Chưa làm</t>
        </is>
      </c>
      <c r="K270" s="6" t="inlineStr"/>
    </row>
    <row r="271">
      <c r="A271" s="2" t="inlineStr">
        <is>
          <t>A12.1.6</t>
        </is>
      </c>
      <c r="B271" s="2" t="n">
        <v>3</v>
      </c>
      <c r="C271" s="2" t="inlineStr">
        <is>
          <t>Thẻ cổng (overlay)</t>
        </is>
      </c>
      <c r="D271" s="2" t="inlineStr">
        <is>
          <t>Thẻ cổng chung</t>
        </is>
      </c>
      <c r="E271" s="2" t="inlineStr">
        <is>
          <t>Biến thể G-DESIGN: Phương án/thiết kế chốt</t>
        </is>
      </c>
      <c r="F271" s="2" t="inlineStr">
        <is>
          <t>display</t>
        </is>
      </c>
      <c r="G271" s="2" t="inlineStr"/>
      <c r="H271" s="2">
        <f>COUNTIF('Anh xa'!$A$2:$A$725,A271)</f>
        <v/>
      </c>
      <c r="I271" s="2">
        <f>IF(H271&gt;0,"Đã ánh xạ","THIẾU")</f>
        <v/>
      </c>
      <c r="J271" s="6" t="inlineStr">
        <is>
          <t>Chưa làm</t>
        </is>
      </c>
      <c r="K271" s="6" t="inlineStr"/>
    </row>
    <row r="272">
      <c r="A272" s="2" t="inlineStr">
        <is>
          <t>A12.1.7</t>
        </is>
      </c>
      <c r="B272" s="2" t="n">
        <v>3</v>
      </c>
      <c r="C272" s="2" t="inlineStr">
        <is>
          <t>Thẻ cổng (overlay)</t>
        </is>
      </c>
      <c r="D272" s="2" t="inlineStr">
        <is>
          <t>Thẻ cổng chung</t>
        </is>
      </c>
      <c r="E272" s="2" t="inlineStr">
        <is>
          <t>Biến thể G-SCOPE: Kế hoạch bước + chi phí</t>
        </is>
      </c>
      <c r="F272" s="2" t="inlineStr">
        <is>
          <t>display</t>
        </is>
      </c>
      <c r="G272" s="2" t="inlineStr"/>
      <c r="H272" s="2">
        <f>COUNTIF('Anh xa'!$A$2:$A$725,A272)</f>
        <v/>
      </c>
      <c r="I272" s="2">
        <f>IF(H272&gt;0,"Đã ánh xạ","THIẾU")</f>
        <v/>
      </c>
      <c r="J272" s="6" t="inlineStr">
        <is>
          <t>Chưa làm</t>
        </is>
      </c>
      <c r="K272" s="6" t="inlineStr"/>
    </row>
    <row r="273">
      <c r="A273" s="2" t="inlineStr">
        <is>
          <t>A12.1.8</t>
        </is>
      </c>
      <c r="B273" s="2" t="n">
        <v>3</v>
      </c>
      <c r="C273" s="2" t="inlineStr">
        <is>
          <t>Thẻ cổng (overlay)</t>
        </is>
      </c>
      <c r="D273" s="2" t="inlineStr">
        <is>
          <t>Thẻ cổng chung</t>
        </is>
      </c>
      <c r="E273" s="2" t="inlineStr">
        <is>
          <t>Biến thể G-TOOL: Lệnh cài + nguồn</t>
        </is>
      </c>
      <c r="F273" s="2" t="inlineStr">
        <is>
          <t>display</t>
        </is>
      </c>
      <c r="G273" s="2" t="inlineStr"/>
      <c r="H273" s="2">
        <f>COUNTIF('Anh xa'!$A$2:$A$725,A273)</f>
        <v/>
      </c>
      <c r="I273" s="2">
        <f>IF(H273&gt;0,"Đã ánh xạ","THIẾU")</f>
        <v/>
      </c>
      <c r="J273" s="6" t="inlineStr">
        <is>
          <t>Chưa làm</t>
        </is>
      </c>
      <c r="K273" s="6" t="inlineStr"/>
    </row>
    <row r="274">
      <c r="A274" s="2" t="inlineStr">
        <is>
          <t>A12.1.9</t>
        </is>
      </c>
      <c r="B274" s="2" t="n">
        <v>3</v>
      </c>
      <c r="C274" s="2" t="inlineStr">
        <is>
          <t>Thẻ cổng (overlay)</t>
        </is>
      </c>
      <c r="D274" s="2" t="inlineStr">
        <is>
          <t>Thẻ cổng chung</t>
        </is>
      </c>
      <c r="E274" s="2" t="inlineStr">
        <is>
          <t>Biến thể G-QUAL: Từ – đến – vì sao (bắt buộc)</t>
        </is>
      </c>
      <c r="F274" s="2" t="inlineStr">
        <is>
          <t>display</t>
        </is>
      </c>
      <c r="G274" s="2" t="inlineStr"/>
      <c r="H274" s="2">
        <f>COUNTIF('Anh xa'!$A$2:$A$725,A274)</f>
        <v/>
      </c>
      <c r="I274" s="2">
        <f>IF(H274&gt;0,"Đã ánh xạ","THIẾU")</f>
        <v/>
      </c>
      <c r="J274" s="6" t="inlineStr">
        <is>
          <t>Chưa làm</t>
        </is>
      </c>
      <c r="K274" s="6" t="inlineStr"/>
    </row>
    <row r="275">
      <c r="A275" s="2" t="inlineStr">
        <is>
          <t>A12.1.10</t>
        </is>
      </c>
      <c r="B275" s="2" t="n">
        <v>3</v>
      </c>
      <c r="C275" s="2" t="inlineStr">
        <is>
          <t>Thẻ cổng (overlay)</t>
        </is>
      </c>
      <c r="D275" s="2" t="inlineStr">
        <is>
          <t>Thẻ cổng chung</t>
        </is>
      </c>
      <c r="E275" s="2" t="inlineStr">
        <is>
          <t>Biến thể G-FILE: Diff sẽ ghi đè bản của người</t>
        </is>
      </c>
      <c r="F275" s="2" t="inlineStr">
        <is>
          <t>display</t>
        </is>
      </c>
      <c r="G275" s="2" t="inlineStr"/>
      <c r="H275" s="2">
        <f>COUNTIF('Anh xa'!$A$2:$A$725,A275)</f>
        <v/>
      </c>
      <c r="I275" s="2">
        <f>IF(H275&gt;0,"Đã ánh xạ","THIẾU")</f>
        <v/>
      </c>
      <c r="J275" s="6" t="inlineStr">
        <is>
          <t>Chưa làm</t>
        </is>
      </c>
      <c r="K275" s="6" t="inlineStr"/>
    </row>
    <row r="276">
      <c r="A276" s="2" t="inlineStr">
        <is>
          <t>A12.1.11</t>
        </is>
      </c>
      <c r="B276" s="2" t="n">
        <v>3</v>
      </c>
      <c r="C276" s="2" t="inlineStr">
        <is>
          <t>Thẻ cổng (overlay)</t>
        </is>
      </c>
      <c r="D276" s="2" t="inlineStr">
        <is>
          <t>Thẻ cổng chung</t>
        </is>
      </c>
      <c r="E276" s="2" t="inlineStr">
        <is>
          <t>Biến thể G-FLASH: Gì → đâu, hash, có snapshot chưa</t>
        </is>
      </c>
      <c r="F276" s="2" t="inlineStr">
        <is>
          <t>display</t>
        </is>
      </c>
      <c r="G276" s="2" t="inlineStr"/>
      <c r="H276" s="2">
        <f>COUNTIF('Anh xa'!$A$2:$A$725,A276)</f>
        <v/>
      </c>
      <c r="I276" s="2">
        <f>IF(H276&gt;0,"Đã ánh xạ","THIẾU")</f>
        <v/>
      </c>
      <c r="J276" s="6" t="inlineStr">
        <is>
          <t>Chưa làm</t>
        </is>
      </c>
      <c r="K276" s="6" t="inlineStr"/>
    </row>
    <row r="277">
      <c r="A277" s="2" t="inlineStr">
        <is>
          <t>A12.1.12</t>
        </is>
      </c>
      <c r="B277" s="2" t="n">
        <v>3</v>
      </c>
      <c r="C277" s="2" t="inlineStr">
        <is>
          <t>Thẻ cổng (overlay)</t>
        </is>
      </c>
      <c r="D277" s="2" t="inlineStr">
        <is>
          <t>Thẻ cổng chung</t>
        </is>
      </c>
      <c r="E277" s="2" t="inlineStr">
        <is>
          <t>Biến thể G-OPS: Hậu quả vĩnh viễn; không auto; cần release</t>
        </is>
      </c>
      <c r="F277" s="2" t="inlineStr">
        <is>
          <t>display</t>
        </is>
      </c>
      <c r="G277" s="2" t="inlineStr"/>
      <c r="H277" s="2">
        <f>COUNTIF('Anh xa'!$A$2:$A$725,A277)</f>
        <v/>
      </c>
      <c r="I277" s="2">
        <f>IF(H277&gt;0,"Đã ánh xạ","THIẾU")</f>
        <v/>
      </c>
      <c r="J277" s="6" t="inlineStr">
        <is>
          <t>Chưa làm</t>
        </is>
      </c>
      <c r="K277" s="6" t="inlineStr"/>
    </row>
    <row r="278">
      <c r="A278" s="2" t="inlineStr">
        <is>
          <t>A12.1.13</t>
        </is>
      </c>
      <c r="B278" s="2" t="n">
        <v>3</v>
      </c>
      <c r="C278" s="2" t="inlineStr">
        <is>
          <t>Thẻ cổng (overlay)</t>
        </is>
      </c>
      <c r="D278" s="2" t="inlineStr">
        <is>
          <t>Thẻ cổng chung</t>
        </is>
      </c>
      <c r="E278" s="2" t="inlineStr">
        <is>
          <t>Biến thể G-SAFE: Cảnh báo đứng đầu, không tắt được</t>
        </is>
      </c>
      <c r="F278" s="2" t="inlineStr">
        <is>
          <t>display</t>
        </is>
      </c>
      <c r="G278" s="2" t="inlineStr"/>
      <c r="H278" s="2">
        <f>COUNTIF('Anh xa'!$A$2:$A$725,A278)</f>
        <v/>
      </c>
      <c r="I278" s="2">
        <f>IF(H278&gt;0,"Đã ánh xạ","THIẾU")</f>
        <v/>
      </c>
      <c r="J278" s="6" t="inlineStr">
        <is>
          <t>Chưa làm</t>
        </is>
      </c>
      <c r="K278" s="6" t="inlineStr"/>
    </row>
    <row r="279">
      <c r="A279" s="2" t="inlineStr">
        <is>
          <t>A12.1.14</t>
        </is>
      </c>
      <c r="B279" s="2" t="n">
        <v>3</v>
      </c>
      <c r="C279" s="2" t="inlineStr">
        <is>
          <t>Thẻ cổng (overlay)</t>
        </is>
      </c>
      <c r="D279" s="2" t="inlineStr">
        <is>
          <t>Thẻ cổng chung</t>
        </is>
      </c>
      <c r="E279" s="2" t="inlineStr">
        <is>
          <t>Biến thể G-HIST: Sẽ mất gì / giữ gì</t>
        </is>
      </c>
      <c r="F279" s="2" t="inlineStr">
        <is>
          <t>display</t>
        </is>
      </c>
      <c r="G279" s="2" t="inlineStr"/>
      <c r="H279" s="2">
        <f>COUNTIF('Anh xa'!$A$2:$A$725,A279)</f>
        <v/>
      </c>
      <c r="I279" s="2">
        <f>IF(H279&gt;0,"Đã ánh xạ","THIẾU")</f>
        <v/>
      </c>
      <c r="J279" s="6" t="inlineStr">
        <is>
          <t>Chưa làm</t>
        </is>
      </c>
      <c r="K279" s="6" t="inlineStr"/>
    </row>
    <row r="280">
      <c r="A280" s="2" t="inlineStr">
        <is>
          <t>A12.1.15</t>
        </is>
      </c>
      <c r="B280" s="2" t="n">
        <v>3</v>
      </c>
      <c r="C280" s="2" t="inlineStr">
        <is>
          <t>Thẻ cổng (overlay)</t>
        </is>
      </c>
      <c r="D280" s="2" t="inlineStr">
        <is>
          <t>Thẻ cổng chung</t>
        </is>
      </c>
      <c r="E280" s="2" t="inlineStr">
        <is>
          <t>Biến thể G-SNAP: Người đặt tên/ghi chú</t>
        </is>
      </c>
      <c r="F280" s="2" t="inlineStr">
        <is>
          <t>display</t>
        </is>
      </c>
      <c r="G280" s="2" t="inlineStr"/>
      <c r="H280" s="2">
        <f>COUNTIF('Anh xa'!$A$2:$A$725,A280)</f>
        <v/>
      </c>
      <c r="I280" s="2">
        <f>IF(H280&gt;0,"Đã ánh xạ","THIẾU")</f>
        <v/>
      </c>
      <c r="J280" s="6" t="inlineStr">
        <is>
          <t>Chưa làm</t>
        </is>
      </c>
      <c r="K280" s="6" t="inlineStr"/>
    </row>
    <row r="281">
      <c r="A281" s="7" t="inlineStr">
        <is>
          <t>A13</t>
        </is>
      </c>
      <c r="B281" s="7" t="n">
        <v>1</v>
      </c>
      <c r="C281" s="7" t="inlineStr">
        <is>
          <t>Thiết lập</t>
        </is>
      </c>
      <c r="D281" s="2" t="inlineStr"/>
      <c r="E281" s="2" t="inlineStr"/>
      <c r="F281" s="2" t="inlineStr">
        <is>
          <t>modal</t>
        </is>
      </c>
      <c r="G281" s="2" t="inlineStr"/>
      <c r="H281" s="2">
        <f>COUNTIF('Anh xa'!$A$2:$A$725,"A13.*")</f>
        <v/>
      </c>
      <c r="I281" s="2">
        <f>IF(H281&gt;0,"Đã ánh xạ","THIẾU")</f>
        <v/>
      </c>
      <c r="J281" s="6" t="inlineStr">
        <is>
          <t>Chưa làm</t>
        </is>
      </c>
      <c r="K281" s="6" t="inlineStr"/>
    </row>
    <row r="282">
      <c r="A282" s="2" t="inlineStr">
        <is>
          <t>A13.1</t>
        </is>
      </c>
      <c r="B282" s="2" t="n">
        <v>2</v>
      </c>
      <c r="C282" s="2" t="inlineStr">
        <is>
          <t>Thiết lập</t>
        </is>
      </c>
      <c r="D282" s="2" t="inlineStr">
        <is>
          <t>Tự chủ &amp; cấp quyền</t>
        </is>
      </c>
      <c r="E282" s="2" t="inlineStr"/>
      <c r="F282" s="2" t="inlineStr">
        <is>
          <t>khối</t>
        </is>
      </c>
      <c r="G282" s="2" t="inlineStr"/>
      <c r="H282" s="2">
        <f>COUNTIF('Anh xa'!$A$2:$A$725,"A13.1")+COUNTIF('Anh xa'!$A$2:$A$725,"A13.1.*")</f>
        <v/>
      </c>
      <c r="I282" s="2">
        <f>IF(H282&gt;0,"Đã ánh xạ","THIẾU")</f>
        <v/>
      </c>
      <c r="J282" s="6" t="inlineStr">
        <is>
          <t>Chưa làm</t>
        </is>
      </c>
      <c r="K282" s="6" t="inlineStr"/>
    </row>
    <row r="283">
      <c r="A283" s="2" t="inlineStr">
        <is>
          <t>A13.1.1</t>
        </is>
      </c>
      <c r="B283" s="2" t="n">
        <v>3</v>
      </c>
      <c r="C283" s="2" t="inlineStr">
        <is>
          <t>Thiết lập</t>
        </is>
      </c>
      <c r="D283" s="2" t="inlineStr">
        <is>
          <t>Tự chủ &amp; cấp quyền</t>
        </is>
      </c>
      <c r="E283" s="2" t="inlineStr">
        <is>
          <t>Mức tự chủ A0–A4 (mô tả từng mức)</t>
        </is>
      </c>
      <c r="F283" s="2" t="inlineStr">
        <is>
          <t>edit</t>
        </is>
      </c>
      <c r="G283" s="2" t="inlineStr"/>
      <c r="H283" s="2">
        <f>COUNTIF('Anh xa'!$A$2:$A$725,A283)</f>
        <v/>
      </c>
      <c r="I283" s="2">
        <f>IF(H283&gt;0,"Đã ánh xạ","THIẾU")</f>
        <v/>
      </c>
      <c r="J283" s="6" t="inlineStr">
        <is>
          <t>Chưa làm</t>
        </is>
      </c>
      <c r="K283" s="6" t="inlineStr"/>
    </row>
    <row r="284">
      <c r="A284" s="2" t="inlineStr">
        <is>
          <t>A13.1.2</t>
        </is>
      </c>
      <c r="B284" s="2" t="n">
        <v>3</v>
      </c>
      <c r="C284" s="2" t="inlineStr">
        <is>
          <t>Thiết lập</t>
        </is>
      </c>
      <c r="D284" s="2" t="inlineStr">
        <is>
          <t>Tự chủ &amp; cấp quyền</t>
        </is>
      </c>
      <c r="E284" s="2" t="inlineStr">
        <is>
          <t>Danh sách 'đã tin' theo tool/gói/nguồn — xoá được</t>
        </is>
      </c>
      <c r="F284" s="2" t="inlineStr">
        <is>
          <t>edit</t>
        </is>
      </c>
      <c r="G284" s="2" t="inlineStr"/>
      <c r="H284" s="2">
        <f>COUNTIF('Anh xa'!$A$2:$A$725,A284)</f>
        <v/>
      </c>
      <c r="I284" s="2">
        <f>IF(H284&gt;0,"Đã ánh xạ","THIẾU")</f>
        <v/>
      </c>
      <c r="J284" s="6" t="inlineStr">
        <is>
          <t>Chưa làm</t>
        </is>
      </c>
      <c r="K284" s="6" t="inlineStr"/>
    </row>
    <row r="285">
      <c r="A285" s="2" t="inlineStr">
        <is>
          <t>A13.1.3</t>
        </is>
      </c>
      <c r="B285" s="2" t="n">
        <v>3</v>
      </c>
      <c r="C285" s="2" t="inlineStr">
        <is>
          <t>Thiết lập</t>
        </is>
      </c>
      <c r="D285" s="2" t="inlineStr">
        <is>
          <t>Tự chủ &amp; cấp quyền</t>
        </is>
      </c>
      <c r="E285" s="2" t="inlineStr">
        <is>
          <t>Nguồn tin cậy (tên miền nhà sản xuất)</t>
        </is>
      </c>
      <c r="F285" s="2" t="inlineStr">
        <is>
          <t>edit</t>
        </is>
      </c>
      <c r="G285" s="2" t="inlineStr"/>
      <c r="H285" s="2">
        <f>COUNTIF('Anh xa'!$A$2:$A$725,A285)</f>
        <v/>
      </c>
      <c r="I285" s="2">
        <f>IF(H285&gt;0,"Đã ánh xạ","THIẾU")</f>
        <v/>
      </c>
      <c r="J285" s="6" t="inlineStr">
        <is>
          <t>Chưa làm</t>
        </is>
      </c>
      <c r="K285" s="6" t="inlineStr"/>
    </row>
    <row r="286">
      <c r="A286" s="2" t="inlineStr">
        <is>
          <t>A13.2</t>
        </is>
      </c>
      <c r="B286" s="2" t="n">
        <v>2</v>
      </c>
      <c r="C286" s="2" t="inlineStr">
        <is>
          <t>Thiết lập</t>
        </is>
      </c>
      <c r="D286" s="2" t="inlineStr">
        <is>
          <t>Mô hình</t>
        </is>
      </c>
      <c r="E286" s="2" t="inlineStr"/>
      <c r="F286" s="2" t="inlineStr">
        <is>
          <t>khối</t>
        </is>
      </c>
      <c r="G286" s="2" t="inlineStr"/>
      <c r="H286" s="2">
        <f>COUNTIF('Anh xa'!$A$2:$A$725,"A13.2")+COUNTIF('Anh xa'!$A$2:$A$725,"A13.2.*")</f>
        <v/>
      </c>
      <c r="I286" s="2">
        <f>IF(H286&gt;0,"Đã ánh xạ","THIẾU")</f>
        <v/>
      </c>
      <c r="J286" s="6" t="inlineStr">
        <is>
          <t>Chưa làm</t>
        </is>
      </c>
      <c r="K286" s="6" t="inlineStr"/>
    </row>
    <row r="287">
      <c r="A287" s="2" t="inlineStr">
        <is>
          <t>A13.2.1</t>
        </is>
      </c>
      <c r="B287" s="2" t="n">
        <v>3</v>
      </c>
      <c r="C287" s="2" t="inlineStr">
        <is>
          <t>Thiết lập</t>
        </is>
      </c>
      <c r="D287" s="2" t="inlineStr">
        <is>
          <t>Mô hình</t>
        </is>
      </c>
      <c r="E287" s="2" t="inlineStr">
        <is>
          <t>Chọn mô hình theo vai trò (chính, subagent, tóm tắt, embed)</t>
        </is>
      </c>
      <c r="F287" s="2" t="inlineStr">
        <is>
          <t>edit</t>
        </is>
      </c>
      <c r="G287" s="2" t="inlineStr"/>
      <c r="H287" s="2">
        <f>COUNTIF('Anh xa'!$A$2:$A$725,A287)</f>
        <v/>
      </c>
      <c r="I287" s="2">
        <f>IF(H287&gt;0,"Đã ánh xạ","THIẾU")</f>
        <v/>
      </c>
      <c r="J287" s="6" t="inlineStr">
        <is>
          <t>Chưa làm</t>
        </is>
      </c>
      <c r="K287" s="6" t="inlineStr"/>
    </row>
    <row r="288">
      <c r="A288" s="2" t="inlineStr">
        <is>
          <t>A13.3</t>
        </is>
      </c>
      <c r="B288" s="2" t="n">
        <v>2</v>
      </c>
      <c r="C288" s="2" t="inlineStr">
        <is>
          <t>Thiết lập</t>
        </is>
      </c>
      <c r="D288" s="2" t="inlineStr">
        <is>
          <t>Trình bày</t>
        </is>
      </c>
      <c r="E288" s="2" t="inlineStr"/>
      <c r="F288" s="2" t="inlineStr">
        <is>
          <t>khối</t>
        </is>
      </c>
      <c r="G288" s="2" t="inlineStr"/>
      <c r="H288" s="2">
        <f>COUNTIF('Anh xa'!$A$2:$A$725,"A13.3")+COUNTIF('Anh xa'!$A$2:$A$725,"A13.3.*")</f>
        <v/>
      </c>
      <c r="I288" s="2">
        <f>IF(H288&gt;0,"Đã ánh xạ","THIẾU")</f>
        <v/>
      </c>
      <c r="J288" s="6" t="inlineStr">
        <is>
          <t>Chưa làm</t>
        </is>
      </c>
      <c r="K288" s="6" t="inlineStr"/>
    </row>
    <row r="289">
      <c r="A289" s="2" t="inlineStr">
        <is>
          <t>A13.3.1</t>
        </is>
      </c>
      <c r="B289" s="2" t="n">
        <v>3</v>
      </c>
      <c r="C289" s="2" t="inlineStr">
        <is>
          <t>Thiết lập</t>
        </is>
      </c>
      <c r="D289" s="2" t="inlineStr">
        <is>
          <t>Trình bày</t>
        </is>
      </c>
      <c r="E289" s="2" t="inlineStr">
        <is>
          <t>Mức chi tiết mặc định; diff nguyên văn?; thuật ngữ; tab mở theo chặng</t>
        </is>
      </c>
      <c r="F289" s="2" t="inlineStr">
        <is>
          <t>edit</t>
        </is>
      </c>
      <c r="G289" s="2" t="inlineStr"/>
      <c r="H289" s="2">
        <f>COUNTIF('Anh xa'!$A$2:$A$725,A289)</f>
        <v/>
      </c>
      <c r="I289" s="2">
        <f>IF(H289&gt;0,"Đã ánh xạ","THIẾU")</f>
        <v/>
      </c>
      <c r="J289" s="6" t="inlineStr">
        <is>
          <t>Chưa làm</t>
        </is>
      </c>
      <c r="K289" s="6" t="inlineStr"/>
    </row>
    <row r="290">
      <c r="A290" s="2" t="inlineStr">
        <is>
          <t>A13.5</t>
        </is>
      </c>
      <c r="B290" s="2" t="n">
        <v>2</v>
      </c>
      <c r="C290" s="2" t="inlineStr">
        <is>
          <t>Thiết lập</t>
        </is>
      </c>
      <c r="D290" s="2" t="inlineStr">
        <is>
          <t>Chẩn đoán giao thức (dành cho phát triển)</t>
        </is>
      </c>
      <c r="E290" s="2" t="inlineStr"/>
      <c r="F290" s="2" t="inlineStr">
        <is>
          <t>khối</t>
        </is>
      </c>
      <c r="G290" s="2" t="inlineStr"/>
      <c r="H290" s="2">
        <f>COUNTIF('Anh xa'!$A$2:$A$725,"A13.5")+COUNTIF('Anh xa'!$A$2:$A$725,"A13.5.*")</f>
        <v/>
      </c>
      <c r="I290" s="2">
        <f>IF(H290&gt;0,"Đã ánh xạ","THIẾU")</f>
        <v/>
      </c>
      <c r="J290" s="6" t="inlineStr">
        <is>
          <t>Chưa làm</t>
        </is>
      </c>
      <c r="K290" s="6" t="inlineStr"/>
    </row>
    <row r="291">
      <c r="A291" s="2" t="inlineStr">
        <is>
          <t>A13.5.1</t>
        </is>
      </c>
      <c r="B291" s="2" t="n">
        <v>3</v>
      </c>
      <c r="C291" s="2" t="inlineStr">
        <is>
          <t>Thiết lập</t>
        </is>
      </c>
      <c r="D291" s="2" t="inlineStr">
        <is>
          <t>Chẩn đoán giao thức (dành cho phát triển)</t>
        </is>
      </c>
      <c r="E291" s="2" t="inlineStr">
        <is>
          <t>Bộ xem UAP: HumanAct đã gửi / UICommand đã nhận (id, seq, surface.set/patch/append…)</t>
        </is>
      </c>
      <c r="F291" s="2" t="inlineStr">
        <is>
          <t>display</t>
        </is>
      </c>
      <c r="G291" s="2" t="inlineStr"/>
      <c r="H291" s="2">
        <f>COUNTIF('Anh xa'!$A$2:$A$725,A291)</f>
        <v/>
      </c>
      <c r="I291" s="2">
        <f>IF(H291&gt;0,"Đã ánh xạ","THIẾU")</f>
        <v/>
      </c>
      <c r="J291" s="6" t="inlineStr">
        <is>
          <t>Chưa làm</t>
        </is>
      </c>
      <c r="K291" s="6" t="inlineStr"/>
    </row>
    <row r="292">
      <c r="A292" s="2" t="inlineStr">
        <is>
          <t>A13.5.2</t>
        </is>
      </c>
      <c r="B292" s="2" t="n">
        <v>3</v>
      </c>
      <c r="C292" s="2" t="inlineStr">
        <is>
          <t>Thiết lập</t>
        </is>
      </c>
      <c r="D292" s="2" t="inlineStr">
        <is>
          <t>Chẩn đoán giao thức (dành cho phát triển)</t>
        </is>
      </c>
      <c r="E292" s="2" t="inlineStr">
        <is>
          <t>Chế độ truy vết: hiện mã UI (Ax.y.z) và yêu cầu ánh xạ trên mọi phần tử</t>
        </is>
      </c>
      <c r="F292" s="2" t="inlineStr">
        <is>
          <t>action</t>
        </is>
      </c>
      <c r="G292" s="2" t="inlineStr"/>
      <c r="H292" s="2">
        <f>COUNTIF('Anh xa'!$A$2:$A$725,A292)</f>
        <v/>
      </c>
      <c r="I292" s="2">
        <f>IF(H292&gt;0,"Đã ánh xạ","THIẾU")</f>
        <v/>
      </c>
      <c r="J292" s="6" t="inlineStr">
        <is>
          <t>Chưa làm</t>
        </is>
      </c>
      <c r="K292" s="6" t="inlineStr"/>
    </row>
    <row r="293">
      <c r="A293" s="2" t="inlineStr">
        <is>
          <t>A13.4</t>
        </is>
      </c>
      <c r="B293" s="2" t="n">
        <v>2</v>
      </c>
      <c r="C293" s="2" t="inlineStr">
        <is>
          <t>Thiết lập</t>
        </is>
      </c>
      <c r="D293" s="2" t="inlineStr">
        <is>
          <t>Sandbox &amp; ngân sách</t>
        </is>
      </c>
      <c r="E293" s="2" t="inlineStr"/>
      <c r="F293" s="2" t="inlineStr">
        <is>
          <t>khối</t>
        </is>
      </c>
      <c r="G293" s="2" t="inlineStr"/>
      <c r="H293" s="2">
        <f>COUNTIF('Anh xa'!$A$2:$A$725,"A13.4")+COUNTIF('Anh xa'!$A$2:$A$725,"A13.4.*")</f>
        <v/>
      </c>
      <c r="I293" s="2">
        <f>IF(H293&gt;0,"Đã ánh xạ","THIẾU")</f>
        <v/>
      </c>
      <c r="J293" s="6" t="inlineStr">
        <is>
          <t>Chưa làm</t>
        </is>
      </c>
      <c r="K293" s="6" t="inlineStr"/>
    </row>
    <row r="294">
      <c r="A294" s="2" t="inlineStr">
        <is>
          <t>A13.4.1</t>
        </is>
      </c>
      <c r="B294" s="2" t="n">
        <v>3</v>
      </c>
      <c r="C294" s="2" t="inlineStr">
        <is>
          <t>Thiết lập</t>
        </is>
      </c>
      <c r="D294" s="2" t="inlineStr">
        <is>
          <t>Sandbox &amp; ngân sách</t>
        </is>
      </c>
      <c r="E294" s="2" t="inlineStr">
        <is>
          <t>Thư mục cho phép; mạng theo tool; tool/lượt; giây/lượt</t>
        </is>
      </c>
      <c r="F294" s="2" t="inlineStr">
        <is>
          <t>edit</t>
        </is>
      </c>
      <c r="G294" s="2" t="inlineStr"/>
      <c r="H294" s="2">
        <f>COUNTIF('Anh xa'!$A$2:$A$725,A294)</f>
        <v/>
      </c>
      <c r="I294" s="2">
        <f>IF(H294&gt;0,"Đã ánh xạ","THIẾU")</f>
        <v/>
      </c>
      <c r="J294" s="6" t="inlineStr">
        <is>
          <t>Chưa làm</t>
        </is>
      </c>
      <c r="K294" s="6" t="inlineStr"/>
    </row>
    <row r="295">
      <c r="A295" s="2" t="inlineStr">
        <is>
          <t>A13.4.2</t>
        </is>
      </c>
      <c r="B295" s="2" t="n">
        <v>3</v>
      </c>
      <c r="C295" s="2" t="inlineStr">
        <is>
          <t>Thiết lập</t>
        </is>
      </c>
      <c r="D295" s="2" t="inlineStr">
        <is>
          <t>Sandbox &amp; ngân sách</t>
        </is>
      </c>
      <c r="E295" s="2" t="inlineStr">
        <is>
          <t>Cờ tính năng: features.schematic (mặc định tắt)</t>
        </is>
      </c>
      <c r="F295" s="2" t="inlineStr">
        <is>
          <t>edit</t>
        </is>
      </c>
      <c r="G295" s="2" t="inlineStr"/>
      <c r="H295" s="2">
        <f>COUNTIF('Anh xa'!$A$2:$A$725,A295)</f>
        <v/>
      </c>
      <c r="I295" s="2">
        <f>IF(H295&gt;0,"Đã ánh xạ","THIẾU")</f>
        <v/>
      </c>
      <c r="J295" s="6" t="inlineStr">
        <is>
          <t>Chưa làm</t>
        </is>
      </c>
      <c r="K295" s="6" t="inlineStr"/>
    </row>
    <row r="296">
      <c r="A296" s="7" t="inlineStr">
        <is>
          <t>A14</t>
        </is>
      </c>
      <c r="B296" s="7" t="n">
        <v>1</v>
      </c>
      <c r="C296" s="7" t="inlineStr">
        <is>
          <t>Dự án &amp; Bộ nhớ tác tử</t>
        </is>
      </c>
      <c r="D296" s="2" t="inlineStr"/>
      <c r="E296" s="2" t="inlineStr"/>
      <c r="F296" s="2" t="inlineStr">
        <is>
          <t>panel</t>
        </is>
      </c>
      <c r="G296" s="2" t="inlineStr"/>
      <c r="H296" s="2">
        <f>COUNTIF('Anh xa'!$A$2:$A$725,"A14.*")</f>
        <v/>
      </c>
      <c r="I296" s="2">
        <f>IF(H296&gt;0,"Đã ánh xạ","THIẾU")</f>
        <v/>
      </c>
      <c r="J296" s="6" t="inlineStr">
        <is>
          <t>Chưa làm</t>
        </is>
      </c>
      <c r="K296" s="6" t="inlineStr"/>
    </row>
    <row r="297">
      <c r="A297" s="2" t="inlineStr">
        <is>
          <t>A14.1</t>
        </is>
      </c>
      <c r="B297" s="2" t="n">
        <v>2</v>
      </c>
      <c r="C297" s="2" t="inlineStr">
        <is>
          <t>Dự án &amp; Bộ nhớ tác tử</t>
        </is>
      </c>
      <c r="D297" s="2" t="inlineStr">
        <is>
          <t>Dự án</t>
        </is>
      </c>
      <c r="E297" s="2" t="inlineStr"/>
      <c r="F297" s="2" t="inlineStr">
        <is>
          <t>khối</t>
        </is>
      </c>
      <c r="G297" s="2" t="inlineStr"/>
      <c r="H297" s="2">
        <f>COUNTIF('Anh xa'!$A$2:$A$725,"A14.1")+COUNTIF('Anh xa'!$A$2:$A$725,"A14.1.*")</f>
        <v/>
      </c>
      <c r="I297" s="2">
        <f>IF(H297&gt;0,"Đã ánh xạ","THIẾU")</f>
        <v/>
      </c>
      <c r="J297" s="6" t="inlineStr">
        <is>
          <t>Chưa làm</t>
        </is>
      </c>
      <c r="K297" s="6" t="inlineStr"/>
    </row>
    <row r="298">
      <c r="A298" s="2" t="inlineStr">
        <is>
          <t>A14.1.1</t>
        </is>
      </c>
      <c r="B298" s="2" t="n">
        <v>3</v>
      </c>
      <c r="C298" s="2" t="inlineStr">
        <is>
          <t>Dự án &amp; Bộ nhớ tác tử</t>
        </is>
      </c>
      <c r="D298" s="2" t="inlineStr">
        <is>
          <t>Dự án</t>
        </is>
      </c>
      <c r="E298" s="2" t="inlineStr">
        <is>
          <t>Mở / tạo dự án; không tạo lồng khi đang mở</t>
        </is>
      </c>
      <c r="F298" s="2" t="inlineStr">
        <is>
          <t>action</t>
        </is>
      </c>
      <c r="G298" s="2" t="inlineStr"/>
      <c r="H298" s="2">
        <f>COUNTIF('Anh xa'!$A$2:$A$725,A298)</f>
        <v/>
      </c>
      <c r="I298" s="2">
        <f>IF(H298&gt;0,"Đã ánh xạ","THIẾU")</f>
        <v/>
      </c>
      <c r="J298" s="6" t="inlineStr">
        <is>
          <t>Chưa làm</t>
        </is>
      </c>
      <c r="K298" s="6" t="inlineStr"/>
    </row>
    <row r="299">
      <c r="A299" s="2" t="inlineStr">
        <is>
          <t>A14.1.2</t>
        </is>
      </c>
      <c r="B299" s="2" t="n">
        <v>3</v>
      </c>
      <c r="C299" s="2" t="inlineStr">
        <is>
          <t>Dự án &amp; Bộ nhớ tác tử</t>
        </is>
      </c>
      <c r="D299" s="2" t="inlineStr">
        <is>
          <t>Dự án</t>
        </is>
      </c>
      <c r="E299" s="2" t="inlineStr">
        <is>
          <t>Mở lại: tác tử tự thuật 'đang ở đâu, đã quyết gì, làm gì tiếp' + snapshot gần nhất</t>
        </is>
      </c>
      <c r="F299" s="2" t="inlineStr">
        <is>
          <t>display</t>
        </is>
      </c>
      <c r="G299" s="2" t="inlineStr"/>
      <c r="H299" s="2">
        <f>COUNTIF('Anh xa'!$A$2:$A$725,A299)</f>
        <v/>
      </c>
      <c r="I299" s="2">
        <f>IF(H299&gt;0,"Đã ánh xạ","THIẾU")</f>
        <v/>
      </c>
      <c r="J299" s="6" t="inlineStr">
        <is>
          <t>Chưa làm</t>
        </is>
      </c>
      <c r="K299" s="6" t="inlineStr"/>
    </row>
    <row r="300">
      <c r="A300" s="2" t="inlineStr">
        <is>
          <t>A14.1.3</t>
        </is>
      </c>
      <c r="B300" s="2" t="n">
        <v>3</v>
      </c>
      <c r="C300" s="2" t="inlineStr">
        <is>
          <t>Dự án &amp; Bộ nhớ tác tử</t>
        </is>
      </c>
      <c r="D300" s="2" t="inlineStr">
        <is>
          <t>Dự án</t>
        </is>
      </c>
      <c r="E300" s="2" t="inlineStr">
        <is>
          <t>Xuất toàn bộ dự án</t>
        </is>
      </c>
      <c r="F300" s="2" t="inlineStr">
        <is>
          <t>action</t>
        </is>
      </c>
      <c r="G300" s="2" t="inlineStr"/>
      <c r="H300" s="2">
        <f>COUNTIF('Anh xa'!$A$2:$A$725,A300)</f>
        <v/>
      </c>
      <c r="I300" s="2">
        <f>IF(H300&gt;0,"Đã ánh xạ","THIẾU")</f>
        <v/>
      </c>
      <c r="J300" s="6" t="inlineStr">
        <is>
          <t>Chưa làm</t>
        </is>
      </c>
      <c r="K300" s="6" t="inlineStr"/>
    </row>
    <row r="301">
      <c r="A301" s="2" t="inlineStr">
        <is>
          <t>A14.2</t>
        </is>
      </c>
      <c r="B301" s="2" t="n">
        <v>2</v>
      </c>
      <c r="C301" s="2" t="inlineStr">
        <is>
          <t>Dự án &amp; Bộ nhớ tác tử</t>
        </is>
      </c>
      <c r="D301" s="2" t="inlineStr">
        <is>
          <t>EIDE.md</t>
        </is>
      </c>
      <c r="E301" s="2" t="inlineStr"/>
      <c r="F301" s="2" t="inlineStr">
        <is>
          <t>khối</t>
        </is>
      </c>
      <c r="G301" s="2" t="inlineStr"/>
      <c r="H301" s="2">
        <f>COUNTIF('Anh xa'!$A$2:$A$725,"A14.2")+COUNTIF('Anh xa'!$A$2:$A$725,"A14.2.*")</f>
        <v/>
      </c>
      <c r="I301" s="2">
        <f>IF(H301&gt;0,"Đã ánh xạ","THIẾU")</f>
        <v/>
      </c>
      <c r="J301" s="6" t="inlineStr">
        <is>
          <t>Chưa làm</t>
        </is>
      </c>
      <c r="K301" s="6" t="inlineStr"/>
    </row>
    <row r="302">
      <c r="A302" s="2" t="inlineStr">
        <is>
          <t>A14.2.1</t>
        </is>
      </c>
      <c r="B302" s="2" t="n">
        <v>3</v>
      </c>
      <c r="C302" s="2" t="inlineStr">
        <is>
          <t>Dự án &amp; Bộ nhớ tác tử</t>
        </is>
      </c>
      <c r="D302" s="2" t="inlineStr">
        <is>
          <t>EIDE.md</t>
        </is>
      </c>
      <c r="E302" s="2" t="inlineStr">
        <is>
          <t>Xem/sửa EIDE.md (mục tiêu, chip, ADR, giả định, quy ước, Đừng, Người vừa sửa)</t>
        </is>
      </c>
      <c r="F302" s="2" t="inlineStr">
        <is>
          <t>edit</t>
        </is>
      </c>
      <c r="G302" s="2" t="inlineStr"/>
      <c r="H302" s="2">
        <f>COUNTIF('Anh xa'!$A$2:$A$725,A302)</f>
        <v/>
      </c>
      <c r="I302" s="2">
        <f>IF(H302&gt;0,"Đã ánh xạ","THIẾU")</f>
        <v/>
      </c>
      <c r="J302" s="6" t="inlineStr">
        <is>
          <t>Chưa làm</t>
        </is>
      </c>
      <c r="K302" s="6" t="inlineStr"/>
    </row>
    <row r="303">
      <c r="A303" s="2" t="inlineStr">
        <is>
          <t>A14.2.2</t>
        </is>
      </c>
      <c r="B303" s="2" t="n">
        <v>3</v>
      </c>
      <c r="C303" s="2" t="inlineStr">
        <is>
          <t>Dự án &amp; Bộ nhớ tác tử</t>
        </is>
      </c>
      <c r="D303" s="2" t="inlineStr">
        <is>
          <t>EIDE.md</t>
        </is>
      </c>
      <c r="E303" s="2" t="inlineStr">
        <is>
          <t>§'Người vừa sửa' — tác tử đã nhắc chưa (acknowledged)</t>
        </is>
      </c>
      <c r="F303" s="2" t="inlineStr">
        <is>
          <t>display</t>
        </is>
      </c>
      <c r="G303" s="2" t="inlineStr"/>
      <c r="H303" s="2">
        <f>COUNTIF('Anh xa'!$A$2:$A$725,A303)</f>
        <v/>
      </c>
      <c r="I303" s="2">
        <f>IF(H303&gt;0,"Đã ánh xạ","THIẾU")</f>
        <v/>
      </c>
      <c r="J303" s="6" t="inlineStr">
        <is>
          <t>Chưa làm</t>
        </is>
      </c>
      <c r="K303" s="6" t="inlineStr"/>
    </row>
    <row r="304">
      <c r="A304" s="2" t="inlineStr">
        <is>
          <t>A14.3</t>
        </is>
      </c>
      <c r="B304" s="2" t="n">
        <v>2</v>
      </c>
      <c r="C304" s="2" t="inlineStr">
        <is>
          <t>Dự án &amp; Bộ nhớ tác tử</t>
        </is>
      </c>
      <c r="D304" s="2" t="inlineStr">
        <is>
          <t>Kiểm kê (inventory) &amp; giả định</t>
        </is>
      </c>
      <c r="E304" s="2" t="inlineStr"/>
      <c r="F304" s="2" t="inlineStr">
        <is>
          <t>khối</t>
        </is>
      </c>
      <c r="G304" s="2" t="inlineStr"/>
      <c r="H304" s="2">
        <f>COUNTIF('Anh xa'!$A$2:$A$725,"A14.3")+COUNTIF('Anh xa'!$A$2:$A$725,"A14.3.*")</f>
        <v/>
      </c>
      <c r="I304" s="2">
        <f>IF(H304&gt;0,"Đã ánh xạ","THIẾU")</f>
        <v/>
      </c>
      <c r="J304" s="6" t="inlineStr">
        <is>
          <t>Chưa làm</t>
        </is>
      </c>
      <c r="K304" s="6" t="inlineStr"/>
    </row>
    <row r="305">
      <c r="A305" s="2" t="inlineStr">
        <is>
          <t>A14.3.1</t>
        </is>
      </c>
      <c r="B305" s="2" t="n">
        <v>3</v>
      </c>
      <c r="C305" s="2" t="inlineStr">
        <is>
          <t>Dự án &amp; Bộ nhớ tác tử</t>
        </is>
      </c>
      <c r="D305" s="2" t="inlineStr">
        <is>
          <t>Kiểm kê (inventory) &amp; giả định</t>
        </is>
      </c>
      <c r="E305" s="2" t="inlineStr">
        <is>
          <t>Bảng &lt;inventory&gt; đúng như tác tử thấy</t>
        </is>
      </c>
      <c r="F305" s="2" t="inlineStr">
        <is>
          <t>display</t>
        </is>
      </c>
      <c r="G305" s="2" t="inlineStr"/>
      <c r="H305" s="2">
        <f>COUNTIF('Anh xa'!$A$2:$A$725,A305)</f>
        <v/>
      </c>
      <c r="I305" s="2">
        <f>IF(H305&gt;0,"Đã ánh xạ","THIẾU")</f>
        <v/>
      </c>
      <c r="J305" s="6" t="inlineStr">
        <is>
          <t>Chưa làm</t>
        </is>
      </c>
      <c r="K305" s="6" t="inlineStr"/>
    </row>
    <row r="306">
      <c r="A306" s="2" t="inlineStr">
        <is>
          <t>A14.3.2</t>
        </is>
      </c>
      <c r="B306" s="2" t="n">
        <v>3</v>
      </c>
      <c r="C306" s="2" t="inlineStr">
        <is>
          <t>Dự án &amp; Bộ nhớ tác tử</t>
        </is>
      </c>
      <c r="D306" s="2" t="inlineStr">
        <is>
          <t>Kiểm kê (inventory) &amp; giả định</t>
        </is>
      </c>
      <c r="E306" s="2" t="inlineStr">
        <is>
          <t>Giả định đang dùng: xác nhận thành sự thật / bác bỏ</t>
        </is>
      </c>
      <c r="F306" s="2" t="inlineStr">
        <is>
          <t>edit</t>
        </is>
      </c>
      <c r="G306" s="2" t="inlineStr"/>
      <c r="H306" s="2">
        <f>COUNTIF('Anh xa'!$A$2:$A$725,A306)</f>
        <v/>
      </c>
      <c r="I306" s="2">
        <f>IF(H306&gt;0,"Đã ánh xạ","THIẾU")</f>
        <v/>
      </c>
      <c r="J306" s="6" t="inlineStr">
        <is>
          <t>Chưa làm</t>
        </is>
      </c>
      <c r="K306" s="6" t="inlineStr"/>
    </row>
    <row r="307">
      <c r="A307" s="2" t="inlineStr">
        <is>
          <t>A14.4</t>
        </is>
      </c>
      <c r="B307" s="2" t="n">
        <v>2</v>
      </c>
      <c r="C307" s="2" t="inlineStr">
        <is>
          <t>Dự án &amp; Bộ nhớ tác tử</t>
        </is>
      </c>
      <c r="D307" s="2" t="inlineStr">
        <is>
          <t>Kế hoạch (plan mode)</t>
        </is>
      </c>
      <c r="E307" s="2" t="inlineStr"/>
      <c r="F307" s="2" t="inlineStr">
        <is>
          <t>khối</t>
        </is>
      </c>
      <c r="G307" s="2" t="inlineStr">
        <is>
          <t>AR12</t>
        </is>
      </c>
      <c r="H307" s="2">
        <f>COUNTIF('Anh xa'!$A$2:$A$725,"A14.4")+COUNTIF('Anh xa'!$A$2:$A$725,"A14.4.*")</f>
        <v/>
      </c>
      <c r="I307" s="2">
        <f>IF(H307&gt;0,"Đã ánh xạ","THIẾU")</f>
        <v/>
      </c>
      <c r="J307" s="6" t="inlineStr">
        <is>
          <t>Chưa làm</t>
        </is>
      </c>
      <c r="K307" s="6" t="inlineStr"/>
    </row>
    <row r="308">
      <c r="A308" s="2" t="inlineStr">
        <is>
          <t>A14.4.1</t>
        </is>
      </c>
      <c r="B308" s="2" t="n">
        <v>3</v>
      </c>
      <c r="C308" s="2" t="inlineStr">
        <is>
          <t>Dự án &amp; Bộ nhớ tác tử</t>
        </is>
      </c>
      <c r="D308" s="2" t="inlineStr">
        <is>
          <t>Kế hoạch (plan mode)</t>
        </is>
      </c>
      <c r="E308" s="2" t="inlineStr">
        <is>
          <t>Kế hoạch đã duyệt: bước ✓/đang/chưa; đối chiếu 'đã làm'</t>
        </is>
      </c>
      <c r="F308" s="2" t="inlineStr">
        <is>
          <t>display</t>
        </is>
      </c>
      <c r="G308" s="2" t="inlineStr">
        <is>
          <t>AR12</t>
        </is>
      </c>
      <c r="H308" s="2">
        <f>COUNTIF('Anh xa'!$A$2:$A$725,A308)</f>
        <v/>
      </c>
      <c r="I308" s="2">
        <f>IF(H308&gt;0,"Đã ánh xạ","THIẾU")</f>
        <v/>
      </c>
      <c r="J308" s="6" t="inlineStr">
        <is>
          <t>Chưa làm</t>
        </is>
      </c>
      <c r="K308" s="6" t="inlineStr"/>
    </row>
    <row r="309">
      <c r="A309" s="2" t="inlineStr">
        <is>
          <t>A14.4.2</t>
        </is>
      </c>
      <c r="B309" s="2" t="n">
        <v>3</v>
      </c>
      <c r="C309" s="2" t="inlineStr">
        <is>
          <t>Dự án &amp; Bộ nhớ tác tử</t>
        </is>
      </c>
      <c r="D309" s="2" t="inlineStr">
        <is>
          <t>Kế hoạch (plan mode)</t>
        </is>
      </c>
      <c r="E309" s="2" t="inlineStr">
        <is>
          <t>Bỏ/thêm bước; sửa giả định</t>
        </is>
      </c>
      <c r="F309" s="2" t="inlineStr">
        <is>
          <t>edit</t>
        </is>
      </c>
      <c r="G309" s="2" t="inlineStr">
        <is>
          <t>AR12</t>
        </is>
      </c>
      <c r="H309" s="2">
        <f>COUNTIF('Anh xa'!$A$2:$A$725,A309)</f>
        <v/>
      </c>
      <c r="I309" s="2">
        <f>IF(H309&gt;0,"Đã ánh xạ","THIẾU")</f>
        <v/>
      </c>
      <c r="J309" s="6" t="inlineStr">
        <is>
          <t>Chưa làm</t>
        </is>
      </c>
      <c r="K309" s="6" t="inlineStr"/>
    </row>
    <row r="310">
      <c r="A310" s="2" t="inlineStr">
        <is>
          <t>A14.6</t>
        </is>
      </c>
      <c r="B310" s="2" t="n">
        <v>2</v>
      </c>
      <c r="C310" s="2" t="inlineStr">
        <is>
          <t>Dự án &amp; Bộ nhớ tác tử</t>
        </is>
      </c>
      <c r="D310" s="2" t="inlineStr">
        <is>
          <t>Bộ nhớ tác tử (MEM-42)</t>
        </is>
      </c>
      <c r="E310" s="2" t="inlineStr"/>
      <c r="F310" s="2" t="inlineStr">
        <is>
          <t>khối</t>
        </is>
      </c>
      <c r="G310" s="2" t="inlineStr"/>
      <c r="H310" s="2">
        <f>COUNTIF('Anh xa'!$A$2:$A$725,"A14.6")+COUNTIF('Anh xa'!$A$2:$A$725,"A14.6.*")</f>
        <v/>
      </c>
      <c r="I310" s="2">
        <f>IF(H310&gt;0,"Đã ánh xạ","THIẾU")</f>
        <v/>
      </c>
      <c r="J310" s="6" t="inlineStr">
        <is>
          <t>Chưa làm</t>
        </is>
      </c>
      <c r="K310" s="6" t="inlineStr"/>
    </row>
    <row r="311">
      <c r="A311" s="2" t="inlineStr">
        <is>
          <t>A14.6.1</t>
        </is>
      </c>
      <c r="B311" s="2" t="n">
        <v>3</v>
      </c>
      <c r="C311" s="2" t="inlineStr">
        <is>
          <t>Dự án &amp; Bộ nhớ tác tử</t>
        </is>
      </c>
      <c r="D311" s="2" t="inlineStr">
        <is>
          <t>Bộ nhớ tác tử (MEM-42)</t>
        </is>
      </c>
      <c r="E311" s="2" t="inlineStr">
        <is>
          <t>Đồng hồ ngữ cảnh theo 10 khối (% và token, màu theo ngưỡng 60/70/85/95)</t>
        </is>
      </c>
      <c r="F311" s="2" t="inlineStr">
        <is>
          <t>display</t>
        </is>
      </c>
      <c r="G311" s="2" t="inlineStr"/>
      <c r="H311" s="2">
        <f>COUNTIF('Anh xa'!$A$2:$A$725,A311)</f>
        <v/>
      </c>
      <c r="I311" s="2">
        <f>IF(H311&gt;0,"Đã ánh xạ","THIẾU")</f>
        <v/>
      </c>
      <c r="J311" s="6" t="inlineStr">
        <is>
          <t>Chưa làm</t>
        </is>
      </c>
      <c r="K311" s="6" t="inlineStr"/>
    </row>
    <row r="312">
      <c r="A312" s="2" t="inlineStr">
        <is>
          <t>A14.6.2</t>
        </is>
      </c>
      <c r="B312" s="2" t="n">
        <v>3</v>
      </c>
      <c r="C312" s="2" t="inlineStr">
        <is>
          <t>Dự án &amp; Bộ nhớ tác tử</t>
        </is>
      </c>
      <c r="D312" s="2" t="inlineStr">
        <is>
          <t>Bộ nhớ tác tử (MEM-42)</t>
        </is>
      </c>
      <c r="E312" s="2" t="inlineStr">
        <is>
          <t>Bản tóm tắt phiên hiện tại (10 mục): xem, sửa, ghim mục</t>
        </is>
      </c>
      <c r="F312" s="2" t="inlineStr">
        <is>
          <t>edit</t>
        </is>
      </c>
      <c r="G312" s="2" t="inlineStr"/>
      <c r="H312" s="2">
        <f>COUNTIF('Anh xa'!$A$2:$A$725,A312)</f>
        <v/>
      </c>
      <c r="I312" s="2">
        <f>IF(H312&gt;0,"Đã ánh xạ","THIẾU")</f>
        <v/>
      </c>
      <c r="J312" s="6" t="inlineStr">
        <is>
          <t>Chưa làm</t>
        </is>
      </c>
      <c r="K312" s="6" t="inlineStr"/>
    </row>
    <row r="313">
      <c r="A313" s="2" t="inlineStr">
        <is>
          <t>A14.6.3</t>
        </is>
      </c>
      <c r="B313" s="2" t="n">
        <v>3</v>
      </c>
      <c r="C313" s="2" t="inlineStr">
        <is>
          <t>Dự án &amp; Bộ nhớ tác tử</t>
        </is>
      </c>
      <c r="D313" s="2" t="inlineStr">
        <is>
          <t>Bộ nhớ tác tử (MEM-42)</t>
        </is>
      </c>
      <c r="E313" s="2" t="inlineStr">
        <is>
          <t>Danh sách message ghim; ghim/bỏ ghim thủ công</t>
        </is>
      </c>
      <c r="F313" s="2" t="inlineStr">
        <is>
          <t>edit</t>
        </is>
      </c>
      <c r="G313" s="2" t="inlineStr"/>
      <c r="H313" s="2">
        <f>COUNTIF('Anh xa'!$A$2:$A$725,A313)</f>
        <v/>
      </c>
      <c r="I313" s="2">
        <f>IF(H313&gt;0,"Đã ánh xạ","THIẾU")</f>
        <v/>
      </c>
      <c r="J313" s="6" t="inlineStr">
        <is>
          <t>Chưa làm</t>
        </is>
      </c>
      <c r="K313" s="6" t="inlineStr"/>
    </row>
    <row r="314">
      <c r="A314" s="2" t="inlineStr">
        <is>
          <t>A14.6.4</t>
        </is>
      </c>
      <c r="B314" s="2" t="n">
        <v>3</v>
      </c>
      <c r="C314" s="2" t="inlineStr">
        <is>
          <t>Dự án &amp; Bộ nhớ tác tử</t>
        </is>
      </c>
      <c r="D314" s="2" t="inlineStr">
        <is>
          <t>Bộ nhớ tác tử (MEM-42)</t>
        </is>
      </c>
      <c r="E314" s="2" t="inlineStr">
        <is>
          <t>Nén ngay (C1/C2) · Huỷ nén gần nhất (24 h)</t>
        </is>
      </c>
      <c r="F314" s="2" t="inlineStr">
        <is>
          <t>action</t>
        </is>
      </c>
      <c r="G314" s="2" t="inlineStr"/>
      <c r="H314" s="2">
        <f>COUNTIF('Anh xa'!$A$2:$A$725,A314)</f>
        <v/>
      </c>
      <c r="I314" s="2">
        <f>IF(H314&gt;0,"Đã ánh xạ","THIẾU")</f>
        <v/>
      </c>
      <c r="J314" s="6" t="inlineStr">
        <is>
          <t>Chưa làm</t>
        </is>
      </c>
      <c r="K314" s="6" t="inlineStr"/>
    </row>
    <row r="315">
      <c r="A315" s="2" t="inlineStr">
        <is>
          <t>A14.6.5</t>
        </is>
      </c>
      <c r="B315" s="2" t="n">
        <v>3</v>
      </c>
      <c r="C315" s="2" t="inlineStr">
        <is>
          <t>Dự án &amp; Bộ nhớ tác tử</t>
        </is>
      </c>
      <c r="D315" s="2" t="inlineStr">
        <is>
          <t>Bộ nhớ tác tử (MEM-42)</t>
        </is>
      </c>
      <c r="E315" s="2" t="inlineStr">
        <is>
          <t>Nhật ký nén: trước/sau, kiểm 3/3, chuỗi tóm tắt (C3)</t>
        </is>
      </c>
      <c r="F315" s="2" t="inlineStr">
        <is>
          <t>display</t>
        </is>
      </c>
      <c r="G315" s="2" t="inlineStr"/>
      <c r="H315" s="2">
        <f>COUNTIF('Anh xa'!$A$2:$A$725,A315)</f>
        <v/>
      </c>
      <c r="I315" s="2">
        <f>IF(H315&gt;0,"Đã ánh xạ","THIẾU")</f>
        <v/>
      </c>
      <c r="J315" s="6" t="inlineStr">
        <is>
          <t>Chưa làm</t>
        </is>
      </c>
      <c r="K315" s="6" t="inlineStr"/>
    </row>
    <row r="316">
      <c r="A316" s="2" t="inlineStr">
        <is>
          <t>A14.6.6</t>
        </is>
      </c>
      <c r="B316" s="2" t="n">
        <v>3</v>
      </c>
      <c r="C316" s="2" t="inlineStr">
        <is>
          <t>Dự án &amp; Bộ nhớ tác tử</t>
        </is>
      </c>
      <c r="D316" s="2" t="inlineStr">
        <is>
          <t>Bộ nhớ tác tử (MEM-42)</t>
        </is>
      </c>
      <c r="E316" s="2" t="inlineStr">
        <is>
          <t>Bộ nhớ người dùng (memory.md): xem, sửa, quên từng dòng, xoá toàn bộ</t>
        </is>
      </c>
      <c r="F316" s="2" t="inlineStr">
        <is>
          <t>edit</t>
        </is>
      </c>
      <c r="G316" s="2" t="inlineStr"/>
      <c r="H316" s="2">
        <f>COUNTIF('Anh xa'!$A$2:$A$725,A316)</f>
        <v/>
      </c>
      <c r="I316" s="2">
        <f>IF(H316&gt;0,"Đã ánh xạ","THIẾU")</f>
        <v/>
      </c>
      <c r="J316" s="6" t="inlineStr">
        <is>
          <t>Chưa làm</t>
        </is>
      </c>
      <c r="K316" s="6" t="inlineStr"/>
    </row>
    <row r="317">
      <c r="A317" s="2" t="inlineStr">
        <is>
          <t>A14.6.7</t>
        </is>
      </c>
      <c r="B317" s="2" t="n">
        <v>3</v>
      </c>
      <c r="C317" s="2" t="inlineStr">
        <is>
          <t>Dự án &amp; Bộ nhớ tác tử</t>
        </is>
      </c>
      <c r="D317" s="2" t="inlineStr">
        <is>
          <t>Bộ nhớ tác tử (MEM-42)</t>
        </is>
      </c>
      <c r="E317" s="2" t="inlineStr">
        <is>
          <t>Đề xuất ghi nhớ của tác tử — Đồng ý / Không</t>
        </is>
      </c>
      <c r="F317" s="2" t="inlineStr">
        <is>
          <t>action</t>
        </is>
      </c>
      <c r="G317" s="2" t="inlineStr"/>
      <c r="H317" s="2">
        <f>COUNTIF('Anh xa'!$A$2:$A$725,A317)</f>
        <v/>
      </c>
      <c r="I317" s="2">
        <f>IF(H317&gt;0,"Đã ánh xạ","THIẾU")</f>
        <v/>
      </c>
      <c r="J317" s="6" t="inlineStr">
        <is>
          <t>Chưa làm</t>
        </is>
      </c>
      <c r="K317" s="6" t="inlineStr"/>
    </row>
    <row r="318">
      <c r="A318" s="2" t="inlineStr">
        <is>
          <t>A14.6.8</t>
        </is>
      </c>
      <c r="B318" s="2" t="n">
        <v>3</v>
      </c>
      <c r="C318" s="2" t="inlineStr">
        <is>
          <t>Dự án &amp; Bộ nhớ tác tử</t>
        </is>
      </c>
      <c r="D318" s="2" t="inlineStr">
        <is>
          <t>Bộ nhớ tác tử (MEM-42)</t>
        </is>
      </c>
      <c r="E318" s="2" t="inlineStr">
        <is>
          <t>Tìm trong lịch sử (ledger.query) — kết quả có ref</t>
        </is>
      </c>
      <c r="F318" s="2" t="inlineStr">
        <is>
          <t>action</t>
        </is>
      </c>
      <c r="G318" s="2" t="inlineStr"/>
      <c r="H318" s="2">
        <f>COUNTIF('Anh xa'!$A$2:$A$725,A318)</f>
        <v/>
      </c>
      <c r="I318" s="2">
        <f>IF(H318&gt;0,"Đã ánh xạ","THIẾU")</f>
        <v/>
      </c>
      <c r="J318" s="6" t="inlineStr">
        <is>
          <t>Chưa làm</t>
        </is>
      </c>
      <c r="K318" s="6" t="inlineStr"/>
    </row>
    <row r="319">
      <c r="A319" s="2" t="inlineStr">
        <is>
          <t>A14.6.9</t>
        </is>
      </c>
      <c r="B319" s="2" t="n">
        <v>3</v>
      </c>
      <c r="C319" s="2" t="inlineStr">
        <is>
          <t>Dự án &amp; Bộ nhớ tác tử</t>
        </is>
      </c>
      <c r="D319" s="2" t="inlineStr">
        <is>
          <t>Bộ nhớ tác tử (MEM-42)</t>
        </is>
      </c>
      <c r="E319" s="2" t="inlineStr">
        <is>
          <t>Cảnh báo EIDE.md vượt trần + đề xuất lược (memory.prune) — duyệt</t>
        </is>
      </c>
      <c r="F319" s="2" t="inlineStr">
        <is>
          <t>action</t>
        </is>
      </c>
      <c r="G319" s="2" t="inlineStr"/>
      <c r="H319" s="2">
        <f>COUNTIF('Anh xa'!$A$2:$A$725,A319)</f>
        <v/>
      </c>
      <c r="I319" s="2">
        <f>IF(H319&gt;0,"Đã ánh xạ","THIẾU")</f>
        <v/>
      </c>
      <c r="J319" s="6" t="inlineStr">
        <is>
          <t>Chưa làm</t>
        </is>
      </c>
      <c r="K319" s="6" t="inlineStr"/>
    </row>
    <row r="320">
      <c r="A320" s="2" t="inlineStr">
        <is>
          <t>A14.6.10</t>
        </is>
      </c>
      <c r="B320" s="2" t="n">
        <v>3</v>
      </c>
      <c r="C320" s="2" t="inlineStr">
        <is>
          <t>Dự án &amp; Bộ nhớ tác tử</t>
        </is>
      </c>
      <c r="D320" s="2" t="inlineStr">
        <is>
          <t>Bộ nhớ tác tử (MEM-42)</t>
        </is>
      </c>
      <c r="E320" s="2" t="inlineStr">
        <is>
          <t>Dòng [Hệ thống] sau mỗi lần nén; tool_result lớn hiện 'đã cắt, xem blob'</t>
        </is>
      </c>
      <c r="F320" s="2" t="inlineStr">
        <is>
          <t>display</t>
        </is>
      </c>
      <c r="G320" s="2" t="inlineStr"/>
      <c r="H320" s="2">
        <f>COUNTIF('Anh xa'!$A$2:$A$725,A320)</f>
        <v/>
      </c>
      <c r="I320" s="2">
        <f>IF(H320&gt;0,"Đã ánh xạ","THIẾU")</f>
        <v/>
      </c>
      <c r="J320" s="6" t="inlineStr">
        <is>
          <t>Chưa làm</t>
        </is>
      </c>
      <c r="K320" s="6" t="inlineStr"/>
    </row>
    <row r="321">
      <c r="A321" s="2" t="inlineStr">
        <is>
          <t>A14.6.11</t>
        </is>
      </c>
      <c r="B321" s="2" t="n">
        <v>3</v>
      </c>
      <c r="C321" s="2" t="inlineStr">
        <is>
          <t>Dự án &amp; Bộ nhớ tác tử</t>
        </is>
      </c>
      <c r="D321" s="2" t="inlineStr">
        <is>
          <t>Bộ nhớ tác tử (MEM-42)</t>
        </is>
      </c>
      <c r="E321" s="2" t="inlineStr">
        <is>
          <t>Khoá dự án khi phiên khác đang mở (chỉ đọc)</t>
        </is>
      </c>
      <c r="F321" s="2" t="inlineStr">
        <is>
          <t>display</t>
        </is>
      </c>
      <c r="G321" s="2" t="inlineStr"/>
      <c r="H321" s="2">
        <f>COUNTIF('Anh xa'!$A$2:$A$725,A321)</f>
        <v/>
      </c>
      <c r="I321" s="2">
        <f>IF(H321&gt;0,"Đã ánh xạ","THIẾU")</f>
        <v/>
      </c>
      <c r="J321" s="6" t="inlineStr">
        <is>
          <t>Chưa làm</t>
        </is>
      </c>
      <c r="K321" s="6" t="inlineStr"/>
    </row>
    <row r="322">
      <c r="A322" s="2" t="inlineStr">
        <is>
          <t>A14.6.12</t>
        </is>
      </c>
      <c r="B322" s="2" t="n">
        <v>3</v>
      </c>
      <c r="C322" s="2" t="inlineStr">
        <is>
          <t>Dự án &amp; Bộ nhớ tác tử</t>
        </is>
      </c>
      <c r="D322" s="2" t="inlineStr">
        <is>
          <t>Bộ nhớ tác tử (MEM-42)</t>
        </is>
      </c>
      <c r="E322" s="2" t="inlineStr">
        <is>
          <t>Chỉ số bộ nhớ: token/lượt, tần suất nén, kiểm đạt, số lần 'quên'</t>
        </is>
      </c>
      <c r="F322" s="2" t="inlineStr">
        <is>
          <t>display</t>
        </is>
      </c>
      <c r="G322" s="2" t="inlineStr"/>
      <c r="H322" s="2">
        <f>COUNTIF('Anh xa'!$A$2:$A$725,A322)</f>
        <v/>
      </c>
      <c r="I322" s="2">
        <f>IF(H322&gt;0,"Đã ánh xạ","THIẾU")</f>
        <v/>
      </c>
      <c r="J322" s="6" t="inlineStr">
        <is>
          <t>Chưa làm</t>
        </is>
      </c>
      <c r="K322" s="6" t="inlineStr"/>
    </row>
    <row r="323">
      <c r="A323" s="2" t="inlineStr">
        <is>
          <t>A14.6.13</t>
        </is>
      </c>
      <c r="B323" s="2" t="n">
        <v>3</v>
      </c>
      <c r="C323" s="2" t="inlineStr">
        <is>
          <t>Dự án &amp; Bộ nhớ tác tử</t>
        </is>
      </c>
      <c r="D323" s="2" t="inlineStr">
        <is>
          <t>Bộ nhớ tác tử (MEM-42)</t>
        </is>
      </c>
      <c r="E323" s="2" t="inlineStr">
        <is>
          <t>Resume: tác tử tự thuật + snapshot gần nhất + thẻ chờ (không summary rỗng)</t>
        </is>
      </c>
      <c r="F323" s="2" t="inlineStr">
        <is>
          <t>display</t>
        </is>
      </c>
      <c r="G323" s="2" t="inlineStr"/>
      <c r="H323" s="2">
        <f>COUNTIF('Anh xa'!$A$2:$A$725,A323)</f>
        <v/>
      </c>
      <c r="I323" s="2">
        <f>IF(H323&gt;0,"Đã ánh xạ","THIẾU")</f>
        <v/>
      </c>
      <c r="J323" s="6" t="inlineStr">
        <is>
          <t>Chưa làm</t>
        </is>
      </c>
      <c r="K323" s="6" t="inlineStr"/>
    </row>
    <row r="324">
      <c r="A324" s="2" t="inlineStr">
        <is>
          <t>A14.6.14</t>
        </is>
      </c>
      <c r="B324" s="2" t="n">
        <v>3</v>
      </c>
      <c r="C324" s="2" t="inlineStr">
        <is>
          <t>Dự án &amp; Bộ nhớ tác tử</t>
        </is>
      </c>
      <c r="D324" s="2" t="inlineStr">
        <is>
          <t>Bộ nhớ tác tử (MEM-42)</t>
        </is>
      </c>
      <c r="E324" s="2" t="inlineStr">
        <is>
          <t>Subagent: báo cáo ≤ 800 token, trạng thái 'dở dang' nếu chạm ngân sách</t>
        </is>
      </c>
      <c r="F324" s="2" t="inlineStr">
        <is>
          <t>display</t>
        </is>
      </c>
      <c r="G324" s="2" t="inlineStr"/>
      <c r="H324" s="2">
        <f>COUNTIF('Anh xa'!$A$2:$A$725,A324)</f>
        <v/>
      </c>
      <c r="I324" s="2">
        <f>IF(H324&gt;0,"Đã ánh xạ","THIẾU")</f>
        <v/>
      </c>
      <c r="J324" s="6" t="inlineStr">
        <is>
          <t>Chưa làm</t>
        </is>
      </c>
      <c r="K324" s="6" t="inlineStr"/>
    </row>
    <row r="325">
      <c r="A325" s="2" t="inlineStr">
        <is>
          <t>A14.6.15</t>
        </is>
      </c>
      <c r="B325" s="2" t="n">
        <v>3</v>
      </c>
      <c r="C325" s="2" t="inlineStr">
        <is>
          <t>Dự án &amp; Bộ nhớ tác tử</t>
        </is>
      </c>
      <c r="D325" s="2" t="inlineStr">
        <is>
          <t>Bộ nhớ tác tử (MEM-42)</t>
        </is>
      </c>
      <c r="E325" s="2" t="inlineStr">
        <is>
          <t>Dùng lại Fact đã xác nhận từ dự án khác (→ BẠC có nguồn gốc); retention/gc blob</t>
        </is>
      </c>
      <c r="F325" s="2" t="inlineStr">
        <is>
          <t>action</t>
        </is>
      </c>
      <c r="G325" s="2" t="inlineStr"/>
      <c r="H325" s="2">
        <f>COUNTIF('Anh xa'!$A$2:$A$725,A325)</f>
        <v/>
      </c>
      <c r="I325" s="2">
        <f>IF(H325&gt;0,"Đã ánh xạ","THIẾU")</f>
        <v/>
      </c>
      <c r="J325" s="6" t="inlineStr">
        <is>
          <t>Chưa làm</t>
        </is>
      </c>
      <c r="K325" s="6" t="inlineStr"/>
    </row>
    <row r="326">
      <c r="A326" s="2" t="inlineStr">
        <is>
          <t>A14.6.16</t>
        </is>
      </c>
      <c r="B326" s="2" t="n">
        <v>3</v>
      </c>
      <c r="C326" s="2" t="inlineStr">
        <is>
          <t>Dự án &amp; Bộ nhớ tác tử</t>
        </is>
      </c>
      <c r="D326" s="2" t="inlineStr">
        <is>
          <t>Bộ nhớ tác tử (MEM-42)</t>
        </is>
      </c>
      <c r="E326" s="2" t="inlineStr">
        <is>
          <t>Cửa sổ &lt;facts&gt; hiện thực thể được chọn và lý do; skill hết hạn 5 lượt được báo</t>
        </is>
      </c>
      <c r="F326" s="2" t="inlineStr">
        <is>
          <t>display</t>
        </is>
      </c>
      <c r="G326" s="2" t="inlineStr"/>
      <c r="H326" s="2">
        <f>COUNTIF('Anh xa'!$A$2:$A$725,A326)</f>
        <v/>
      </c>
      <c r="I326" s="2">
        <f>IF(H326&gt;0,"Đã ánh xạ","THIẾU")</f>
        <v/>
      </c>
      <c r="J326" s="6" t="inlineStr">
        <is>
          <t>Chưa làm</t>
        </is>
      </c>
      <c r="K326" s="6" t="inlineStr"/>
    </row>
    <row r="327">
      <c r="A327" s="2" t="inlineStr">
        <is>
          <t>A14.5</t>
        </is>
      </c>
      <c r="B327" s="2" t="n">
        <v>2</v>
      </c>
      <c r="C327" s="2" t="inlineStr">
        <is>
          <t>Dự án &amp; Bộ nhớ tác tử</t>
        </is>
      </c>
      <c r="D327" s="2" t="inlineStr">
        <is>
          <t>Tài liệu &amp; truy vết</t>
        </is>
      </c>
      <c r="E327" s="2" t="inlineStr"/>
      <c r="F327" s="2" t="inlineStr">
        <is>
          <t>khối</t>
        </is>
      </c>
      <c r="G327" s="2" t="inlineStr"/>
      <c r="H327" s="2">
        <f>COUNTIF('Anh xa'!$A$2:$A$725,"A14.5")+COUNTIF('Anh xa'!$A$2:$A$725,"A14.5.*")</f>
        <v/>
      </c>
      <c r="I327" s="2">
        <f>IF(H327&gt;0,"Đã ánh xạ","THIẾU")</f>
        <v/>
      </c>
      <c r="J327" s="6" t="inlineStr">
        <is>
          <t>Chưa làm</t>
        </is>
      </c>
      <c r="K327" s="6" t="inlineStr"/>
    </row>
    <row r="328">
      <c r="A328" s="2" t="inlineStr">
        <is>
          <t>A14.5.1</t>
        </is>
      </c>
      <c r="B328" s="2" t="n">
        <v>3</v>
      </c>
      <c r="C328" s="2" t="inlineStr">
        <is>
          <t>Dự án &amp; Bộ nhớ tác tử</t>
        </is>
      </c>
      <c r="D328" s="2" t="inlineStr">
        <is>
          <t>Tài liệu &amp; truy vết</t>
        </is>
      </c>
      <c r="E328" s="2" t="inlineStr">
        <is>
          <t>Sinh tài liệu thiết kế/hướng dẫn; đánh dấu phần lỗi thời sau khi sửa</t>
        </is>
      </c>
      <c r="F328" s="2" t="inlineStr">
        <is>
          <t>action</t>
        </is>
      </c>
      <c r="G328" s="2" t="inlineStr"/>
      <c r="H328" s="2">
        <f>COUNTIF('Anh xa'!$A$2:$A$725,A328)</f>
        <v/>
      </c>
      <c r="I328" s="2">
        <f>IF(H328&gt;0,"Đã ánh xạ","THIẾU")</f>
        <v/>
      </c>
      <c r="J328" s="6" t="inlineStr">
        <is>
          <t>Chưa làm</t>
        </is>
      </c>
      <c r="K328" s="6" t="inlineStr"/>
    </row>
  </sheetData>
  <conditionalFormatting sqref="I2:I328">
    <cfRule type="cellIs" priority="1" operator="equal" dxfId="0">
      <formula>"THIẾU"</formula>
    </cfRule>
    <cfRule type="cellIs" priority="2" operator="equal" dxfId="1">
      <formula>"Đã ánh xạ"</formula>
    </cfRule>
  </conditionalFormatting>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showDropDown="0" showInputMessage="0" showErrorMessage="0" allowBlank="1" type="list">
      <formula1>"Chưa làm,Đang làm,Đã làm"</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60" customWidth="1" min="3" max="3"/>
    <col width="60" customWidth="1" min="4" max="4"/>
    <col width="10" customWidth="1" min="5" max="5"/>
    <col width="12" customWidth="1" min="6" max="6"/>
    <col width="8" customWidth="1" min="7" max="7"/>
  </cols>
  <sheetData>
    <row r="1" ht="30" customHeight="1">
      <c r="A1" s="1" t="inlineStr">
        <is>
          <t>Mã yêu cầu</t>
        </is>
      </c>
      <c r="B1" s="1" t="inlineStr">
        <is>
          <t>Nhóm</t>
        </is>
      </c>
      <c r="C1" s="1" t="inlineStr">
        <is>
          <t>Mô tả</t>
        </is>
      </c>
      <c r="D1" s="1" t="inlineStr">
        <is>
          <t>Danh sách mã UI (ghép)</t>
        </is>
      </c>
      <c r="E1" s="1" t="inlineStr">
        <is>
          <t>Số UI (ghép)</t>
        </is>
      </c>
      <c r="F1" s="1" t="inlineStr">
        <is>
          <t>Số UI (công thức từ Anh xa)</t>
        </is>
      </c>
      <c r="G1" s="1" t="inlineStr">
        <is>
          <t>Khớp?</t>
        </is>
      </c>
    </row>
    <row r="2">
      <c r="A2" s="2" t="inlineStr">
        <is>
          <t>N1</t>
        </is>
      </c>
      <c r="B2" s="2" t="inlineStr">
        <is>
          <t>Nguyên tắc</t>
        </is>
      </c>
      <c r="C2" s="2" t="inlineStr">
        <is>
          <t>Datasheet là nguồn sự thật — mọi con số truy vết tới tài liệu/trang</t>
        </is>
      </c>
      <c r="D2" s="2" t="inlineStr">
        <is>
          <t>A2.5, A2.5.1, A3.4.1, A3.4.2, A3.5.1, A4.2, A5.2.2, A5.9.3, A7.1.1, A7.2.1, A9.1.1, A9.4.1, A9.7.1</t>
        </is>
      </c>
      <c r="E2" s="2" t="n">
        <v>13</v>
      </c>
      <c r="F2" s="2">
        <f>SUMPRODUCT(('Anh xa'!$D$2:$D$725=A2)*1)</f>
        <v/>
      </c>
      <c r="G2" s="2">
        <f>IF(AND(F2&gt;0,F2=E2),"✓","THIẾU")</f>
        <v/>
      </c>
    </row>
    <row r="3">
      <c r="A3" s="2" t="inlineStr">
        <is>
          <t>N2</t>
        </is>
      </c>
      <c r="B3" s="2" t="inlineStr">
        <is>
          <t>Nguyên tắc</t>
        </is>
      </c>
      <c r="C3" s="2" t="inlineStr">
        <is>
          <t>Bốn tầng tin cậy VÀNG/BẠC/NGƯỜI/ĐỒNG; ĐỒNG không là vế so sánh</t>
        </is>
      </c>
      <c r="D3" s="2" t="inlineStr">
        <is>
          <t>A0.1.3, A2.3.2, A4.2, A4.4, A4.4.1, A5.9.7</t>
        </is>
      </c>
      <c r="E3" s="2" t="n">
        <v>6</v>
      </c>
      <c r="F3" s="2">
        <f>SUMPRODUCT(('Anh xa'!$D$2:$D$725=A3)*1)</f>
        <v/>
      </c>
      <c r="G3" s="2">
        <f>IF(AND(F3&gt;0,F3=E3),"✓","THIẾU")</f>
        <v/>
      </c>
    </row>
    <row r="4">
      <c r="A4" s="2" t="inlineStr">
        <is>
          <t>N3</t>
        </is>
      </c>
      <c r="B4" s="2" t="inlineStr">
        <is>
          <t>Nguyên tắc</t>
        </is>
      </c>
      <c r="C4" s="2" t="inlineStr">
        <is>
          <t>Kiểm kê xác định — tình trạng dự án do mã dựng, hiển thị cho người</t>
        </is>
      </c>
      <c r="D4" s="2" t="inlineStr">
        <is>
          <t>A0.1, A14.1.1, A14.3.1, A6.1.1</t>
        </is>
      </c>
      <c r="E4" s="2" t="n">
        <v>4</v>
      </c>
      <c r="F4" s="2">
        <f>SUMPRODUCT(('Anh xa'!$D$2:$D$725=A4)*1)</f>
        <v/>
      </c>
      <c r="G4" s="2">
        <f>IF(AND(F4&gt;0,F4=E4),"✓","THIẾU")</f>
        <v/>
      </c>
    </row>
    <row r="5">
      <c r="A5" s="2" t="inlineStr">
        <is>
          <t>N4</t>
        </is>
      </c>
      <c r="B5" s="2" t="inlineStr">
        <is>
          <t>Nguyên tắc</t>
        </is>
      </c>
      <c r="C5" s="2" t="inlineStr">
        <is>
          <t>Hỏi một cụm, ≤ 2 lần/lượt, nói ra giả định</t>
        </is>
      </c>
      <c r="D5" s="2" t="inlineStr">
        <is>
          <t>A1.1.4, A1.2.4, A1.3.1, A1.4.6, A2.5.2, A9.7.1</t>
        </is>
      </c>
      <c r="E5" s="2" t="n">
        <v>6</v>
      </c>
      <c r="F5" s="2">
        <f>SUMPRODUCT(('Anh xa'!$D$2:$D$725=A5)*1)</f>
        <v/>
      </c>
      <c r="G5" s="2">
        <f>IF(AND(F5&gt;0,F5=E5),"✓","THIẾU")</f>
        <v/>
      </c>
    </row>
    <row r="6">
      <c r="A6" s="2" t="inlineStr">
        <is>
          <t>N5</t>
        </is>
      </c>
      <c r="B6" s="2" t="inlineStr">
        <is>
          <t>Nguyên tắc</t>
        </is>
      </c>
      <c r="C6" s="2" t="inlineStr">
        <is>
          <t>Cổng an toàn đứng trước phép đoán (S0, G-OPS never_auto)</t>
        </is>
      </c>
      <c r="D6" s="2" t="inlineStr">
        <is>
          <t>A1.4.3, A12.1.1, A9.5, A9.5.1, A9.6.1</t>
        </is>
      </c>
      <c r="E6" s="2" t="n">
        <v>5</v>
      </c>
      <c r="F6" s="2">
        <f>SUMPRODUCT(('Anh xa'!$D$2:$D$725=A6)*1)</f>
        <v/>
      </c>
      <c r="G6" s="2">
        <f>IF(AND(F6&gt;0,F6=E6),"✓","THIẾU")</f>
        <v/>
      </c>
    </row>
    <row r="7">
      <c r="A7" s="2" t="inlineStr">
        <is>
          <t>N6</t>
        </is>
      </c>
      <c r="B7" s="2" t="inlineStr">
        <is>
          <t>Nguyên tắc</t>
        </is>
      </c>
      <c r="C7" s="2" t="inlineStr">
        <is>
          <t>Không đạt giả — tiêu chí của người; log rỗng ≠ đạt; phần chưa mô phỏng nói rõ</t>
        </is>
      </c>
      <c r="D7" s="2" t="inlineStr">
        <is>
          <t>A1.3.4, A5.5.2, A8.1, A8.1.3, A8.2.1, A8.2.4, A8.2.6</t>
        </is>
      </c>
      <c r="E7" s="2" t="n">
        <v>7</v>
      </c>
      <c r="F7" s="2">
        <f>SUMPRODUCT(('Anh xa'!$D$2:$D$725=A7)*1)</f>
        <v/>
      </c>
      <c r="G7" s="2">
        <f>IF(AND(F7&gt;0,F7=E7),"✓","THIẾU")</f>
        <v/>
      </c>
    </row>
    <row r="8">
      <c r="A8" s="2" t="inlineStr">
        <is>
          <t>N7</t>
        </is>
      </c>
      <c r="B8" s="2" t="inlineStr">
        <is>
          <t>Nguyên tắc</t>
        </is>
      </c>
      <c r="C8" s="2" t="inlineStr">
        <is>
          <t>Chỉ thị cho tác tử ≠ yêu cầu sản phẩm; rủi ro tách riêng</t>
        </is>
      </c>
      <c r="D8" s="2" t="inlineStr">
        <is>
          <t>A2.1, A2.1.2, A2.2, A2.2.1</t>
        </is>
      </c>
      <c r="E8" s="2" t="n">
        <v>4</v>
      </c>
      <c r="F8" s="2">
        <f>SUMPRODUCT(('Anh xa'!$D$2:$D$725=A8)*1)</f>
        <v/>
      </c>
      <c r="G8" s="2">
        <f>IF(AND(F8&gt;0,F8=E8),"✓","THIẾU")</f>
        <v/>
      </c>
    </row>
    <row r="9">
      <c r="A9" s="2" t="inlineStr">
        <is>
          <t>N8</t>
        </is>
      </c>
      <c r="B9" s="2" t="inlineStr">
        <is>
          <t>Nguyên tắc</t>
        </is>
      </c>
      <c r="C9" s="2" t="inlineStr">
        <is>
          <t>Mọi thứ tác tử làm ra có dạng người hiểu được (lớp giải thích 6 trường)</t>
        </is>
      </c>
      <c r="D9" s="2" t="inlineStr">
        <is>
          <t>A13.5.2, A2.1.1, A5.9.9</t>
        </is>
      </c>
      <c r="E9" s="2" t="n">
        <v>3</v>
      </c>
      <c r="F9" s="2">
        <f>SUMPRODUCT(('Anh xa'!$D$2:$D$725=A9)*1)</f>
        <v/>
      </c>
      <c r="G9" s="2">
        <f>IF(AND(F9&gt;0,F9=E9),"✓","THIẾU")</f>
        <v/>
      </c>
    </row>
    <row r="10">
      <c r="A10" s="2" t="inlineStr">
        <is>
          <t>N9</t>
        </is>
      </c>
      <c r="B10" s="2" t="inlineStr">
        <is>
          <t>Nguyên tắc</t>
        </is>
      </c>
      <c r="C10" s="2" t="inlineStr">
        <is>
          <t>Mọi thay đổi là changeset hoàn tác được; sửa của người được tác tử biết; snapshot bất biến</t>
        </is>
      </c>
      <c r="D10" s="2" t="inlineStr">
        <is>
          <t>A14.2.2, A2.1.8, A9.5.2</t>
        </is>
      </c>
      <c r="E10" s="2" t="n">
        <v>3</v>
      </c>
      <c r="F10" s="2">
        <f>SUMPRODUCT(('Anh xa'!$D$2:$D$725=A10)*1)</f>
        <v/>
      </c>
      <c r="G10" s="2">
        <f>IF(AND(F10&gt;0,F10=E10),"✓","THIẾU")</f>
        <v/>
      </c>
    </row>
    <row r="11">
      <c r="A11" s="2" t="inlineStr">
        <is>
          <t>I1</t>
        </is>
      </c>
      <c r="B11" s="2" t="inlineStr">
        <is>
          <t>Bất biến giao thức</t>
        </is>
      </c>
      <c r="C11" s="2" t="inlineStr">
        <is>
          <t>Một cửa vào: console.act / HumanAct</t>
        </is>
      </c>
      <c r="D11" s="2" t="inlineStr">
        <is>
          <t>A1.1.2, A1.2.1</t>
        </is>
      </c>
      <c r="E11" s="2" t="n">
        <v>2</v>
      </c>
      <c r="F11" s="2">
        <f>SUMPRODUCT(('Anh xa'!$D$2:$D$725=A11)*1)</f>
        <v/>
      </c>
      <c r="G11" s="2">
        <f>IF(AND(F11&gt;0,F11=E11),"✓","THIẾU")</f>
        <v/>
      </c>
    </row>
    <row r="12">
      <c r="A12" s="2" t="inlineStr">
        <is>
          <t>I2</t>
        </is>
      </c>
      <c r="B12" s="2" t="inlineStr">
        <is>
          <t>Bất biến giao thức</t>
        </is>
      </c>
      <c r="C12" s="2" t="inlineStr">
        <is>
          <t>Một dòng hội thoại: mọi HumanAct và lời tác tử trong transcript</t>
        </is>
      </c>
      <c r="D12" s="2" t="inlineStr">
        <is>
          <t>A1.1, A1.1.2, A1.1.5, A10.1, A10.1.1</t>
        </is>
      </c>
      <c r="E12" s="2" t="n">
        <v>5</v>
      </c>
      <c r="F12" s="2">
        <f>SUMPRODUCT(('Anh xa'!$D$2:$D$725=A12)*1)</f>
        <v/>
      </c>
      <c r="G12" s="2">
        <f>IF(AND(F12&gt;0,F12=E12),"✓","THIẾU")</f>
        <v/>
      </c>
    </row>
    <row r="13">
      <c r="A13" s="2" t="inlineStr">
        <is>
          <t>I3</t>
        </is>
      </c>
      <c r="B13" s="2" t="inlineStr">
        <is>
          <t>Bất biến giao thức</t>
        </is>
      </c>
      <c r="C13" s="2" t="inlineStr">
        <is>
          <t>Giao diện không quyết — chỉ render SurfaceModel/Card</t>
        </is>
      </c>
      <c r="D13" s="2" t="inlineStr">
        <is>
          <t>A13.5, A13.5.1, A13.5.2</t>
        </is>
      </c>
      <c r="E13" s="2" t="n">
        <v>3</v>
      </c>
      <c r="F13" s="2">
        <f>SUMPRODUCT(('Anh xa'!$D$2:$D$725=A13)*1)</f>
        <v/>
      </c>
      <c r="G13" s="2">
        <f>IF(AND(F13&gt;0,F13=E13),"✓","THIẾU")</f>
        <v/>
      </c>
    </row>
    <row r="14">
      <c r="A14" s="2" t="inlineStr">
        <is>
          <t>I4</t>
        </is>
      </c>
      <c r="B14" s="2" t="inlineStr">
        <is>
          <t>Bất biến giao thức</t>
        </is>
      </c>
      <c r="C14" s="2" t="inlineStr">
        <is>
          <t>Lõi không biết giao diện — chỉ thấy HumanAct + origin</t>
        </is>
      </c>
      <c r="D14" s="2" t="inlineStr">
        <is>
          <t>A13.5, A13.5.1</t>
        </is>
      </c>
      <c r="E14" s="2" t="n">
        <v>2</v>
      </c>
      <c r="F14" s="2">
        <f>SUMPRODUCT(('Anh xa'!$D$2:$D$725=A14)*1)</f>
        <v/>
      </c>
      <c r="G14" s="2">
        <f>IF(AND(F14&gt;0,F14=E14),"✓","THIẾU")</f>
        <v/>
      </c>
    </row>
    <row r="15">
      <c r="A15" s="2" t="inlineStr">
        <is>
          <t>I5</t>
        </is>
      </c>
      <c r="B15" s="2" t="inlineStr">
        <is>
          <t>Bất biến giao thức</t>
        </is>
      </c>
      <c r="C15" s="2" t="inlineStr">
        <is>
          <t>Có thứ tự, không trùng, khôi phục được (seq/resume)</t>
        </is>
      </c>
      <c r="D15" s="2" t="inlineStr">
        <is>
          <t>A0.1.9, A1.1.5, A10.1, A13.5, A13.5.1</t>
        </is>
      </c>
      <c r="E15" s="2" t="n">
        <v>5</v>
      </c>
      <c r="F15" s="2">
        <f>SUMPRODUCT(('Anh xa'!$D$2:$D$725=A15)*1)</f>
        <v/>
      </c>
      <c r="G15" s="2">
        <f>IF(AND(F15&gt;0,F15=E15),"✓","THIẾU")</f>
        <v/>
      </c>
    </row>
    <row r="16">
      <c r="A16" s="2" t="inlineStr">
        <is>
          <t>I6</t>
        </is>
      </c>
      <c r="B16" s="2" t="inlineStr">
        <is>
          <t>Bất biến giao thức</t>
        </is>
      </c>
      <c r="C16" s="2" t="inlineStr">
        <is>
          <t>Cổng là thẻ riêng — text 'có' không mở cổng</t>
        </is>
      </c>
      <c r="D16" s="2" t="inlineStr">
        <is>
          <t>A12.1, A12.1.1, A12.1.2, A9.5.1</t>
        </is>
      </c>
      <c r="E16" s="2" t="n">
        <v>4</v>
      </c>
      <c r="F16" s="2">
        <f>SUMPRODUCT(('Anh xa'!$D$2:$D$725=A16)*1)</f>
        <v/>
      </c>
      <c r="G16" s="2">
        <f>IF(AND(F16&gt;0,F16=E16),"✓","THIẾU")</f>
        <v/>
      </c>
    </row>
    <row r="17">
      <c r="A17" s="2" t="inlineStr">
        <is>
          <t>C1</t>
        </is>
      </c>
      <c r="B17" s="2" t="inlineStr">
        <is>
          <t>Chặng</t>
        </is>
      </c>
      <c r="C17" s="2" t="inlineStr">
        <is>
          <t>Làm rõ ý tưởng &amp; đề xuất giải pháp</t>
        </is>
      </c>
      <c r="D17" s="2" t="inlineStr">
        <is>
          <t>A0.1.4, A2.1</t>
        </is>
      </c>
      <c r="E17" s="2" t="n">
        <v>2</v>
      </c>
      <c r="F17" s="2">
        <f>SUMPRODUCT(('Anh xa'!$D$2:$D$725=A17)*1)</f>
        <v/>
      </c>
      <c r="G17" s="2">
        <f>IF(AND(F17&gt;0,F17=E17),"✓","THIẾU")</f>
        <v/>
      </c>
    </row>
    <row r="18">
      <c r="A18" s="2" t="inlineStr">
        <is>
          <t>C2</t>
        </is>
      </c>
      <c r="B18" s="2" t="inlineStr">
        <is>
          <t>Chặng</t>
        </is>
      </c>
      <c r="C18" s="2" t="inlineStr">
        <is>
          <t>Tài liệu &amp; Bản đồ tri thức mạch</t>
        </is>
      </c>
      <c r="D18" s="2" t="inlineStr">
        <is>
          <t>A0.1.4, A4.3</t>
        </is>
      </c>
      <c r="E18" s="2" t="n">
        <v>2</v>
      </c>
      <c r="F18" s="2">
        <f>SUMPRODUCT(('Anh xa'!$D$2:$D$725=A18)*1)</f>
        <v/>
      </c>
      <c r="G18" s="2">
        <f>IF(AND(F18&gt;0,F18=E18),"✓","THIẾU")</f>
        <v/>
      </c>
    </row>
    <row r="19">
      <c r="A19" s="2" t="inlineStr">
        <is>
          <t>C3</t>
        </is>
      </c>
      <c r="B19" s="2" t="inlineStr">
        <is>
          <t>Chặng</t>
        </is>
      </c>
      <c r="C19" s="2" t="inlineStr">
        <is>
          <t>Môi trường công cụ</t>
        </is>
      </c>
      <c r="D19" s="2" t="inlineStr">
        <is>
          <t>A0.1.4, A6.1</t>
        </is>
      </c>
      <c r="E19" s="2" t="n">
        <v>2</v>
      </c>
      <c r="F19" s="2">
        <f>SUMPRODUCT(('Anh xa'!$D$2:$D$725=A19)*1)</f>
        <v/>
      </c>
      <c r="G19" s="2">
        <f>IF(AND(F19&gt;0,F19=E19),"✓","THIẾU")</f>
        <v/>
      </c>
    </row>
    <row r="20">
      <c r="A20" s="2" t="inlineStr">
        <is>
          <t>C4</t>
        </is>
      </c>
      <c r="B20" s="2" t="inlineStr">
        <is>
          <t>Chặng</t>
        </is>
      </c>
      <c r="C20" s="2" t="inlineStr">
        <is>
          <t>Firmware</t>
        </is>
      </c>
      <c r="D20" s="2" t="inlineStr">
        <is>
          <t>A0.1.4, A7.1</t>
        </is>
      </c>
      <c r="E20" s="2" t="n">
        <v>2</v>
      </c>
      <c r="F20" s="2">
        <f>SUMPRODUCT(('Anh xa'!$D$2:$D$725=A20)*1)</f>
        <v/>
      </c>
      <c r="G20" s="2">
        <f>IF(AND(F20&gt;0,F20=E20),"✓","THIẾU")</f>
        <v/>
      </c>
    </row>
    <row r="21">
      <c r="A21" s="2" t="inlineStr">
        <is>
          <t>C5</t>
        </is>
      </c>
      <c r="B21" s="2" t="inlineStr">
        <is>
          <t>Chặng</t>
        </is>
      </c>
      <c r="C21" s="2" t="inlineStr">
        <is>
          <t>Mô phỏng</t>
        </is>
      </c>
      <c r="D21" s="2" t="inlineStr">
        <is>
          <t>A0.1.4</t>
        </is>
      </c>
      <c r="E21" s="2" t="n">
        <v>1</v>
      </c>
      <c r="F21" s="2">
        <f>SUMPRODUCT(('Anh xa'!$D$2:$D$725=A21)*1)</f>
        <v/>
      </c>
      <c r="G21" s="2">
        <f>IF(AND(F21&gt;0,F21=E21),"✓","THIẾU")</f>
        <v/>
      </c>
    </row>
    <row r="22">
      <c r="A22" s="2" t="inlineStr">
        <is>
          <t>C6</t>
        </is>
      </c>
      <c r="B22" s="2" t="inlineStr">
        <is>
          <t>Chặng</t>
        </is>
      </c>
      <c r="C22" s="2" t="inlineStr">
        <is>
          <t>Mạch thật</t>
        </is>
      </c>
      <c r="D22" s="2" t="inlineStr">
        <is>
          <t>A0.1.4</t>
        </is>
      </c>
      <c r="E22" s="2" t="n">
        <v>1</v>
      </c>
      <c r="F22" s="2">
        <f>SUMPRODUCT(('Anh xa'!$D$2:$D$725=A22)*1)</f>
        <v/>
      </c>
      <c r="G22" s="2">
        <f>IF(AND(F22&gt;0,F22=E22),"✓","THIẾU")</f>
        <v/>
      </c>
    </row>
    <row r="23">
      <c r="A23" s="2" t="inlineStr">
        <is>
          <t>C7</t>
        </is>
      </c>
      <c r="B23" s="2" t="inlineStr">
        <is>
          <t>Chặng</t>
        </is>
      </c>
      <c r="C23" s="2" t="inlineStr">
        <is>
          <t>Xuyên suốt (lịch sử, snapshot, sổ cái, tài liệu, báo cáo)</t>
        </is>
      </c>
      <c r="D23" s="2" t="inlineStr">
        <is>
          <t>A0.1.4</t>
        </is>
      </c>
      <c r="E23" s="2" t="n">
        <v>1</v>
      </c>
      <c r="F23" s="2">
        <f>SUMPRODUCT(('Anh xa'!$D$2:$D$725=A23)*1)</f>
        <v/>
      </c>
      <c r="G23" s="2">
        <f>IF(AND(F23&gt;0,F23=E23),"✓","THIẾU")</f>
        <v/>
      </c>
    </row>
    <row r="24">
      <c r="A24" s="2" t="inlineStr">
        <is>
          <t>UC01</t>
        </is>
      </c>
      <c r="B24" s="2" t="inlineStr">
        <is>
          <t>Usecase</t>
        </is>
      </c>
      <c r="C24" s="2" t="inlineStr">
        <is>
          <t>Làm rõ ý tưởng và đề xuất phương án</t>
        </is>
      </c>
      <c r="D24" s="2" t="inlineStr">
        <is>
          <t>A1.3.1, A2.1, A2.2, A2.3, A2.5, A2.5.1</t>
        </is>
      </c>
      <c r="E24" s="2" t="n">
        <v>6</v>
      </c>
      <c r="F24" s="2">
        <f>SUMPRODUCT(('Anh xa'!$D$2:$D$725=A24)*1)</f>
        <v/>
      </c>
      <c r="G24" s="2">
        <f>IF(AND(F24&gt;0,F24=E24),"✓","THIẾU")</f>
        <v/>
      </c>
    </row>
    <row r="25">
      <c r="A25" s="2" t="inlineStr">
        <is>
          <t>UC02</t>
        </is>
      </c>
      <c r="B25" s="2" t="inlineStr">
        <is>
          <t>Usecase</t>
        </is>
      </c>
      <c r="C25" s="2" t="inlineStr">
        <is>
          <t>Từ phương án đến thiết kế mạch</t>
        </is>
      </c>
      <c r="D25" s="2" t="inlineStr">
        <is>
          <t>A1.3.2, A3.2, A3.2.3, A3.4, A3.4.1, A5.1</t>
        </is>
      </c>
      <c r="E25" s="2" t="n">
        <v>6</v>
      </c>
      <c r="F25" s="2">
        <f>SUMPRODUCT(('Anh xa'!$D$2:$D$725=A25)*1)</f>
        <v/>
      </c>
      <c r="G25" s="2">
        <f>IF(AND(F25&gt;0,F25=E25),"✓","THIẾU")</f>
        <v/>
      </c>
    </row>
    <row r="26">
      <c r="A26" s="2" t="inlineStr">
        <is>
          <t>UC03</t>
        </is>
      </c>
      <c r="B26" s="2" t="inlineStr">
        <is>
          <t>Usecase</t>
        </is>
      </c>
      <c r="C26" s="2" t="inlineStr">
        <is>
          <t>Sinh firmware, biên dịch, mô phỏng</t>
        </is>
      </c>
      <c r="D26" s="2" t="inlineStr">
        <is>
          <t>A7.1, A7.3.1, A7.3.2, A8.2, A8.2.4, A8.2.5</t>
        </is>
      </c>
      <c r="E26" s="2" t="n">
        <v>6</v>
      </c>
      <c r="F26" s="2">
        <f>SUMPRODUCT(('Anh xa'!$D$2:$D$725=A26)*1)</f>
        <v/>
      </c>
      <c r="G26" s="2">
        <f>IF(AND(F26&gt;0,F26=E26),"✓","THIẾU")</f>
        <v/>
      </c>
    </row>
    <row r="27">
      <c r="A27" s="2" t="inlineStr">
        <is>
          <t>UC04</t>
        </is>
      </c>
      <c r="B27" s="2" t="inlineStr">
        <is>
          <t>Usecase</t>
        </is>
      </c>
      <c r="C27" s="2" t="inlineStr">
        <is>
          <t>Nhập thiết kế có sẵn → mô phỏng → sửa code</t>
        </is>
      </c>
      <c r="D27" s="2" t="inlineStr">
        <is>
          <t>A3.1.1, A3.1.3, A3.6.10, A5.3, A5.3.3</t>
        </is>
      </c>
      <c r="E27" s="2" t="n">
        <v>5</v>
      </c>
      <c r="F27" s="2">
        <f>SUMPRODUCT(('Anh xa'!$D$2:$D$725=A27)*1)</f>
        <v/>
      </c>
      <c r="G27" s="2">
        <f>IF(AND(F27&gt;0,F27=E27),"✓","THIẾU")</f>
        <v/>
      </c>
    </row>
    <row r="28">
      <c r="A28" s="2" t="inlineStr">
        <is>
          <t>UC05</t>
        </is>
      </c>
      <c r="B28" s="2" t="inlineStr">
        <is>
          <t>Usecase</t>
        </is>
      </c>
      <c r="C28" s="2" t="inlineStr">
        <is>
          <t>Nạp mạch thật và gỡ lỗi</t>
        </is>
      </c>
      <c r="D28" s="2" t="inlineStr">
        <is>
          <t>A9.1, A9.3, A9.3.3</t>
        </is>
      </c>
      <c r="E28" s="2" t="n">
        <v>3</v>
      </c>
      <c r="F28" s="2">
        <f>SUMPRODUCT(('Anh xa'!$D$2:$D$725=A28)*1)</f>
        <v/>
      </c>
      <c r="G28" s="2">
        <f>IF(AND(F28&gt;0,F28=E28),"✓","THIẾU")</f>
        <v/>
      </c>
    </row>
    <row r="29">
      <c r="A29" s="2" t="inlineStr">
        <is>
          <t>UC06</t>
        </is>
      </c>
      <c r="B29" s="2" t="inlineStr">
        <is>
          <t>Usecase</t>
        </is>
      </c>
      <c r="C29" s="2" t="inlineStr">
        <is>
          <t>Rà soát thiết kế</t>
        </is>
      </c>
      <c r="D29" s="2" t="inlineStr">
        <is>
          <t>A4.4, A5.5</t>
        </is>
      </c>
      <c r="E29" s="2" t="n">
        <v>2</v>
      </c>
      <c r="F29" s="2">
        <f>SUMPRODUCT(('Anh xa'!$D$2:$D$725=A29)*1)</f>
        <v/>
      </c>
      <c r="G29" s="2">
        <f>IF(AND(F29&gt;0,F29=E29),"✓","THIẾU")</f>
        <v/>
      </c>
    </row>
    <row r="30">
      <c r="A30" s="2" t="inlineStr">
        <is>
          <t>UC07</t>
        </is>
      </c>
      <c r="B30" s="2" t="inlineStr">
        <is>
          <t>Usecase</t>
        </is>
      </c>
      <c r="C30" s="2" t="inlineStr">
        <is>
          <t>Hỏi đáp datasheet có trích trang</t>
        </is>
      </c>
      <c r="D30" s="2" t="inlineStr">
        <is>
          <t>A3.5, A3.5.1</t>
        </is>
      </c>
      <c r="E30" s="2" t="n">
        <v>2</v>
      </c>
      <c r="F30" s="2">
        <f>SUMPRODUCT(('Anh xa'!$D$2:$D$725=A30)*1)</f>
        <v/>
      </c>
      <c r="G30" s="2">
        <f>IF(AND(F30&gt;0,F30=E30),"✓","THIẾU")</f>
        <v/>
      </c>
    </row>
    <row r="31">
      <c r="A31" s="2" t="inlineStr">
        <is>
          <t>UC08</t>
        </is>
      </c>
      <c r="B31" s="2" t="inlineStr">
        <is>
          <t>Usecase</t>
        </is>
      </c>
      <c r="C31" s="2" t="inlineStr">
        <is>
          <t>Thay thế linh kiện</t>
        </is>
      </c>
      <c r="D31" s="2" t="inlineStr">
        <is>
          <t>A4.5, A4.5.1</t>
        </is>
      </c>
      <c r="E31" s="2" t="n">
        <v>2</v>
      </c>
      <c r="F31" s="2">
        <f>SUMPRODUCT(('Anh xa'!$D$2:$D$725=A31)*1)</f>
        <v/>
      </c>
      <c r="G31" s="2">
        <f>IF(AND(F31&gt;0,F31=E31),"✓","THIẾU")</f>
        <v/>
      </c>
    </row>
    <row r="32">
      <c r="A32" s="2" t="inlineStr">
        <is>
          <t>UC09</t>
        </is>
      </c>
      <c r="B32" s="2" t="inlineStr">
        <is>
          <t>Usecase</t>
        </is>
      </c>
      <c r="C32" s="2" t="inlineStr">
        <is>
          <t>Porting</t>
        </is>
      </c>
      <c r="D32" s="2" t="inlineStr">
        <is>
          <t>A7.4, A7.4.1</t>
        </is>
      </c>
      <c r="E32" s="2" t="n">
        <v>2</v>
      </c>
      <c r="F32" s="2">
        <f>SUMPRODUCT(('Anh xa'!$D$2:$D$725=A32)*1)</f>
        <v/>
      </c>
      <c r="G32" s="2">
        <f>IF(AND(F32&gt;0,F32=E32),"✓","THIẾU")</f>
        <v/>
      </c>
    </row>
    <row r="33">
      <c r="A33" s="2" t="inlineStr">
        <is>
          <t>UC10</t>
        </is>
      </c>
      <c r="B33" s="2" t="inlineStr">
        <is>
          <t>Usecase</t>
        </is>
      </c>
      <c r="C33" s="2" t="inlineStr">
        <is>
          <t>Phân tích log/crash/capture</t>
        </is>
      </c>
      <c r="D33" s="2" t="inlineStr">
        <is>
          <t>A9.4, A9.4.3</t>
        </is>
      </c>
      <c r="E33" s="2" t="n">
        <v>2</v>
      </c>
      <c r="F33" s="2">
        <f>SUMPRODUCT(('Anh xa'!$D$2:$D$725=A33)*1)</f>
        <v/>
      </c>
      <c r="G33" s="2">
        <f>IF(AND(F33&gt;0,F33=E33),"✓","THIẾU")</f>
        <v/>
      </c>
    </row>
    <row r="34">
      <c r="A34" s="2" t="inlineStr">
        <is>
          <t>UC11</t>
        </is>
      </c>
      <c r="B34" s="2" t="inlineStr">
        <is>
          <t>Usecase</t>
        </is>
      </c>
      <c r="C34" s="2" t="inlineStr">
        <is>
          <t>Kiểm thử tự động / HIL</t>
        </is>
      </c>
      <c r="D34" s="2" t="inlineStr">
        <is>
          <t>A7.5, A7.5.1</t>
        </is>
      </c>
      <c r="E34" s="2" t="n">
        <v>2</v>
      </c>
      <c r="F34" s="2">
        <f>SUMPRODUCT(('Anh xa'!$D$2:$D$725=A34)*1)</f>
        <v/>
      </c>
      <c r="G34" s="2">
        <f>IF(AND(F34&gt;0,F34=E34),"✓","THIẾU")</f>
        <v/>
      </c>
    </row>
    <row r="35">
      <c r="A35" s="2" t="inlineStr">
        <is>
          <t>UC12</t>
        </is>
      </c>
      <c r="B35" s="2" t="inlineStr">
        <is>
          <t>Usecase</t>
        </is>
      </c>
      <c r="C35" s="2" t="inlineStr">
        <is>
          <t>Tối ưu bộ nhớ/hiệu năng/điện</t>
        </is>
      </c>
      <c r="D35" s="2" t="inlineStr">
        <is>
          <t>A7.4, A7.4.2</t>
        </is>
      </c>
      <c r="E35" s="2" t="n">
        <v>2</v>
      </c>
      <c r="F35" s="2">
        <f>SUMPRODUCT(('Anh xa'!$D$2:$D$725=A35)*1)</f>
        <v/>
      </c>
      <c r="G35" s="2">
        <f>IF(AND(F35&gt;0,F35=E35),"✓","THIẾU")</f>
        <v/>
      </c>
    </row>
    <row r="36">
      <c r="A36" s="2" t="inlineStr">
        <is>
          <t>UC13</t>
        </is>
      </c>
      <c r="B36" s="2" t="inlineStr">
        <is>
          <t>Usecase</t>
        </is>
      </c>
      <c r="C36" s="2" t="inlineStr">
        <is>
          <t>Tính toán kỹ thuật</t>
        </is>
      </c>
      <c r="D36" s="2" t="inlineStr">
        <is>
          <t>A9.7</t>
        </is>
      </c>
      <c r="E36" s="2" t="n">
        <v>1</v>
      </c>
      <c r="F36" s="2">
        <f>SUMPRODUCT(('Anh xa'!$D$2:$D$725=A36)*1)</f>
        <v/>
      </c>
      <c r="G36" s="2">
        <f>IF(AND(F36&gt;0,F36=E36),"✓","THIẾU")</f>
        <v/>
      </c>
    </row>
    <row r="37">
      <c r="A37" s="2" t="inlineStr">
        <is>
          <t>UC14</t>
        </is>
      </c>
      <c r="B37" s="2" t="inlineStr">
        <is>
          <t>Usecase</t>
        </is>
      </c>
      <c r="C37" s="2" t="inlineStr">
        <is>
          <t>Bảo mật &amp; OTA</t>
        </is>
      </c>
      <c r="D37" s="2" t="inlineStr">
        <is>
          <t>A5.6, A5.6.1</t>
        </is>
      </c>
      <c r="E37" s="2" t="n">
        <v>2</v>
      </c>
      <c r="F37" s="2">
        <f>SUMPRODUCT(('Anh xa'!$D$2:$D$725=A37)*1)</f>
        <v/>
      </c>
      <c r="G37" s="2">
        <f>IF(AND(F37&gt;0,F37=E37),"✓","THIẾU")</f>
        <v/>
      </c>
    </row>
    <row r="38">
      <c r="A38" s="2" t="inlineStr">
        <is>
          <t>UC15</t>
        </is>
      </c>
      <c r="B38" s="2" t="inlineStr">
        <is>
          <t>Usecase</t>
        </is>
      </c>
      <c r="C38" s="2" t="inlineStr">
        <is>
          <t>Chuẩn bị sản xuất (NGOÀI PHẠM VI)</t>
        </is>
      </c>
      <c r="D38" s="2" t="inlineStr">
        <is>
          <t>A5.7, A5.7.1</t>
        </is>
      </c>
      <c r="E38" s="2" t="n">
        <v>2</v>
      </c>
      <c r="F38" s="2">
        <f>SUMPRODUCT(('Anh xa'!$D$2:$D$725=A38)*1)</f>
        <v/>
      </c>
      <c r="G38" s="2">
        <f>IF(AND(F38&gt;0,F38=E38),"✓","THIẾU")</f>
        <v/>
      </c>
    </row>
    <row r="39">
      <c r="A39" s="2" t="inlineStr">
        <is>
          <t>UC16</t>
        </is>
      </c>
      <c r="B39" s="2" t="inlineStr">
        <is>
          <t>Usecase</t>
        </is>
      </c>
      <c r="C39" s="2" t="inlineStr">
        <is>
          <t>Tài liệu &amp; truy vết</t>
        </is>
      </c>
      <c r="D39" s="2" t="inlineStr">
        <is>
          <t>A10.1.3, A14.5, A14.5.1, A2.6, A2.6.1</t>
        </is>
      </c>
      <c r="E39" s="2" t="n">
        <v>5</v>
      </c>
      <c r="F39" s="2">
        <f>SUMPRODUCT(('Anh xa'!$D$2:$D$725=A39)*1)</f>
        <v/>
      </c>
      <c r="G39" s="2">
        <f>IF(AND(F39&gt;0,F39=E39),"✓","THIẾU")</f>
        <v/>
      </c>
    </row>
    <row r="40">
      <c r="A40" s="2" t="inlineStr">
        <is>
          <t>UC17</t>
        </is>
      </c>
      <c r="B40" s="2" t="inlineStr">
        <is>
          <t>Usecase</t>
        </is>
      </c>
      <c r="C40" s="2" t="inlineStr">
        <is>
          <t>Quản lý phiên/dự án</t>
        </is>
      </c>
      <c r="D40" s="2" t="inlineStr">
        <is>
          <t>A0.1.1, A1.1.5, A10.1, A10.1.3, A14.1, A14.1.1, A14.1.2, A14.1.3, A14.6.11, A14.6.8</t>
        </is>
      </c>
      <c r="E40" s="2" t="n">
        <v>10</v>
      </c>
      <c r="F40" s="2">
        <f>SUMPRODUCT(('Anh xa'!$D$2:$D$725=A40)*1)</f>
        <v/>
      </c>
      <c r="G40" s="2">
        <f>IF(AND(F40&gt;0,F40=E40),"✓","THIẾU")</f>
        <v/>
      </c>
    </row>
    <row r="41">
      <c r="A41" s="2" t="inlineStr">
        <is>
          <t>UC18</t>
        </is>
      </c>
      <c r="B41" s="2" t="inlineStr">
        <is>
          <t>Usecase</t>
        </is>
      </c>
      <c r="C41" s="2" t="inlineStr">
        <is>
          <t>An toàn thao tác &amp; kiểm soát quyền</t>
        </is>
      </c>
      <c r="D41" s="2" t="inlineStr">
        <is>
          <t>A13.1, A13.4, A13.4.1, A9.6</t>
        </is>
      </c>
      <c r="E41" s="2" t="n">
        <v>4</v>
      </c>
      <c r="F41" s="2">
        <f>SUMPRODUCT(('Anh xa'!$D$2:$D$725=A41)*1)</f>
        <v/>
      </c>
      <c r="G41" s="2">
        <f>IF(AND(F41&gt;0,F41=E41),"✓","THIẾU")</f>
        <v/>
      </c>
    </row>
    <row r="42">
      <c r="A42" s="2" t="inlineStr">
        <is>
          <t>UC19</t>
        </is>
      </c>
      <c r="B42" s="2" t="inlineStr">
        <is>
          <t>Usecase</t>
        </is>
      </c>
      <c r="C42" s="2" t="inlineStr">
        <is>
          <t>Sự cố của chính tác tử</t>
        </is>
      </c>
      <c r="D42" s="2" t="inlineStr">
        <is>
          <t>A1.4.3, A10.2, A3.3.2, A8.2.6</t>
        </is>
      </c>
      <c r="E42" s="2" t="n">
        <v>4</v>
      </c>
      <c r="F42" s="2">
        <f>SUMPRODUCT(('Anh xa'!$D$2:$D$725=A42)*1)</f>
        <v/>
      </c>
      <c r="G42" s="2">
        <f>IF(AND(F42&gt;0,F42=E42),"✓","THIẾU")</f>
        <v/>
      </c>
    </row>
    <row r="43">
      <c r="A43" s="2" t="inlineStr">
        <is>
          <t>HA-say</t>
        </is>
      </c>
      <c r="B43" s="2" t="inlineStr">
        <is>
          <t>HumanAct</t>
        </is>
      </c>
      <c r="C43" s="2" t="inlineStr">
        <is>
          <t>Gõ tự do</t>
        </is>
      </c>
      <c r="D43" s="2" t="inlineStr">
        <is>
          <t>A1.2, A1.2.1, A14.6.4, A3.6.13, A3.6.6, A5.8.1, A5.8.3, A8.2.7, A9.1.2</t>
        </is>
      </c>
      <c r="E43" s="2" t="n">
        <v>9</v>
      </c>
      <c r="F43" s="2">
        <f>SUMPRODUCT(('Anh xa'!$D$2:$D$725=A43)*1)</f>
        <v/>
      </c>
      <c r="G43" s="2">
        <f>IF(AND(F43&gt;0,F43=E43),"✓","THIẾU")</f>
        <v/>
      </c>
    </row>
    <row r="44">
      <c r="A44" s="2" t="inlineStr">
        <is>
          <t>HA-choose</t>
        </is>
      </c>
      <c r="B44" s="2" t="inlineStr">
        <is>
          <t>HumanAct</t>
        </is>
      </c>
      <c r="C44" s="2" t="inlineStr">
        <is>
          <t>Chọn mục trong thẻ</t>
        </is>
      </c>
      <c r="D44" s="2" t="inlineStr">
        <is>
          <t>A1.3, A1.3.1, A1.3.2, A14.6.7, A2.3.3, A3.6.2, A4.1.3, A8.1.2</t>
        </is>
      </c>
      <c r="E44" s="2" t="n">
        <v>8</v>
      </c>
      <c r="F44" s="2">
        <f>SUMPRODUCT(('Anh xa'!$D$2:$D$725=A44)*1)</f>
        <v/>
      </c>
      <c r="G44" s="2">
        <f>IF(AND(F44&gt;0,F44=E44),"✓","THIẾU")</f>
        <v/>
      </c>
    </row>
    <row r="45">
      <c r="A45" s="2" t="inlineStr">
        <is>
          <t>HA-decide</t>
        </is>
      </c>
      <c r="B45" s="2" t="inlineStr">
        <is>
          <t>HumanAct</t>
        </is>
      </c>
      <c r="C45" s="2" t="inlineStr">
        <is>
          <t>Quyết định cổng</t>
        </is>
      </c>
      <c r="D45" s="2" t="inlineStr">
        <is>
          <t>A12.1, A12.1.2, A5.5.4, A6.2.1, A7.2.3, A9.2.1, A9.5.1</t>
        </is>
      </c>
      <c r="E45" s="2" t="n">
        <v>7</v>
      </c>
      <c r="F45" s="2">
        <f>SUMPRODUCT(('Anh xa'!$D$2:$D$725=A45)*1)</f>
        <v/>
      </c>
      <c r="G45" s="2">
        <f>IF(AND(F45&gt;0,F45=E45),"✓","THIẾU")</f>
        <v/>
      </c>
    </row>
    <row r="46">
      <c r="A46" s="2" t="inlineStr">
        <is>
          <t>HA-confirm</t>
        </is>
      </c>
      <c r="B46" s="2" t="inlineStr">
        <is>
          <t>HumanAct</t>
        </is>
      </c>
      <c r="C46" s="2" t="inlineStr">
        <is>
          <t>Xác nhận/từ chối/sửa Fact hoặc nguồn</t>
        </is>
      </c>
      <c r="D46" s="2" t="inlineStr">
        <is>
          <t>A14.3.2, A14.6.15, A2.1.5, A2.2.2, A3.2.2, A3.4.1, A3.6.7, A4.2.2, A4.2.3, A5.3.3, A5.5.3, A5.8.7, A9.4.4</t>
        </is>
      </c>
      <c r="E46" s="2" t="n">
        <v>13</v>
      </c>
      <c r="F46" s="2">
        <f>SUMPRODUCT(('Anh xa'!$D$2:$D$725=A46)*1)</f>
        <v/>
      </c>
      <c r="G46" s="2">
        <f>IF(AND(F46&gt;0,F46=E46),"✓","THIẾU")</f>
        <v/>
      </c>
    </row>
    <row r="47">
      <c r="A47" s="2" t="inlineStr">
        <is>
          <t>HA-edit</t>
        </is>
      </c>
      <c r="B47" s="2" t="inlineStr">
        <is>
          <t>HumanAct</t>
        </is>
      </c>
      <c r="C47" s="2" t="inlineStr">
        <is>
          <t>Sửa hiện vật rồi lưu</t>
        </is>
      </c>
      <c r="D47" s="2" t="inlineStr">
        <is>
          <t>A14.2.1, A14.4.2, A14.6.2, A2.1.3, A2.1.4, A2.3.4, A2.4.2, A4.1.2, A4.3.3, A5.1.2, A5.2.2, A5.3.2, A5.4.2, A5.9.4, A7.1.2, A8.1.3</t>
        </is>
      </c>
      <c r="E47" s="2" t="n">
        <v>16</v>
      </c>
      <c r="F47" s="2">
        <f>SUMPRODUCT(('Anh xa'!$D$2:$D$725=A47)*1)</f>
        <v/>
      </c>
      <c r="G47" s="2">
        <f>IF(AND(F47&gt;0,F47=E47),"✓","THIẾU")</f>
        <v/>
      </c>
    </row>
    <row r="48">
      <c r="A48" s="2" t="inlineStr">
        <is>
          <t>HA-upload</t>
        </is>
      </c>
      <c r="B48" s="2" t="inlineStr">
        <is>
          <t>HumanAct</t>
        </is>
      </c>
      <c r="C48" s="2" t="inlineStr">
        <is>
          <t>Kéo thả/chọn tệp</t>
        </is>
      </c>
      <c r="D48" s="2" t="inlineStr">
        <is>
          <t>A1.2.2, A3.1, A3.1.1, A3.1.2, A5.3.2, A5.8.6</t>
        </is>
      </c>
      <c r="E48" s="2" t="n">
        <v>6</v>
      </c>
      <c r="F48" s="2">
        <f>SUMPRODUCT(('Anh xa'!$D$2:$D$725=A48)*1)</f>
        <v/>
      </c>
      <c r="G48" s="2">
        <f>IF(AND(F48&gt;0,F48=E48),"✓","THIẾU")</f>
        <v/>
      </c>
    </row>
    <row r="49">
      <c r="A49" s="2" t="inlineStr">
        <is>
          <t>HA-stop</t>
        </is>
      </c>
      <c r="B49" s="2" t="inlineStr">
        <is>
          <t>HumanAct</t>
        </is>
      </c>
      <c r="C49" s="2" t="inlineStr">
        <is>
          <t>Dừng khẩn</t>
        </is>
      </c>
      <c r="D49" s="2" t="inlineStr">
        <is>
          <t>A1.2.3, A1.4.3, A8.2.7</t>
        </is>
      </c>
      <c r="E49" s="2" t="n">
        <v>3</v>
      </c>
      <c r="F49" s="2">
        <f>SUMPRODUCT(('Anh xa'!$D$2:$D$725=A49)*1)</f>
        <v/>
      </c>
      <c r="G49" s="2">
        <f>IF(AND(F49&gt;0,F49=E49),"✓","THIẾU")</f>
        <v/>
      </c>
    </row>
    <row r="50">
      <c r="A50" s="2" t="inlineStr">
        <is>
          <t>HA-undo</t>
        </is>
      </c>
      <c r="B50" s="2" t="inlineStr">
        <is>
          <t>HumanAct</t>
        </is>
      </c>
      <c r="C50" s="2" t="inlineStr">
        <is>
          <t>Hoàn tác</t>
        </is>
      </c>
      <c r="D50" s="2" t="inlineStr">
        <is>
          <t>A1.2.3, A1.4.4, A11.1.3, A11.1.4, A7.2.2</t>
        </is>
      </c>
      <c r="E50" s="2" t="n">
        <v>5</v>
      </c>
      <c r="F50" s="2">
        <f>SUMPRODUCT(('Anh xa'!$D$2:$D$725=A50)*1)</f>
        <v/>
      </c>
      <c r="G50" s="2">
        <f>IF(AND(F50&gt;0,F50=E50),"✓","THIẾU")</f>
        <v/>
      </c>
    </row>
    <row r="51">
      <c r="A51" s="2" t="inlineStr">
        <is>
          <t>HA-resume</t>
        </is>
      </c>
      <c r="B51" s="2" t="inlineStr">
        <is>
          <t>HumanAct</t>
        </is>
      </c>
      <c r="C51" s="2" t="inlineStr">
        <is>
          <t>Tiếp tục sau sự cố/mở lại</t>
        </is>
      </c>
      <c r="D51" s="2" t="inlineStr">
        <is>
          <t>A1.2.3, A1.4.8, A10.2.1, A14.1.2</t>
        </is>
      </c>
      <c r="E51" s="2" t="n">
        <v>4</v>
      </c>
      <c r="F51" s="2">
        <f>SUMPRODUCT(('Anh xa'!$D$2:$D$725=A51)*1)</f>
        <v/>
      </c>
      <c r="G51" s="2">
        <f>IF(AND(F51&gt;0,F51=E51),"✓","THIẾU")</f>
        <v/>
      </c>
    </row>
    <row r="52">
      <c r="A52" s="2" t="inlineStr">
        <is>
          <t>HA-attend</t>
        </is>
      </c>
      <c r="B52" s="2" t="inlineStr">
        <is>
          <t>HumanAct</t>
        </is>
      </c>
      <c r="C52" s="2" t="inlineStr">
        <is>
          <t>Chuyển tab/chọn hiện vật</t>
        </is>
      </c>
      <c r="D52" s="2" t="inlineStr">
        <is>
          <t>A10.1.2, A11.1.2, A4.3.1</t>
        </is>
      </c>
      <c r="E52" s="2" t="n">
        <v>3</v>
      </c>
      <c r="F52" s="2">
        <f>SUMPRODUCT(('Anh xa'!$D$2:$D$725=A52)*1)</f>
        <v/>
      </c>
      <c r="G52" s="2">
        <f>IF(AND(F52&gt;0,F52=E52),"✓","THIẾU")</f>
        <v/>
      </c>
    </row>
    <row r="53">
      <c r="A53" s="2" t="inlineStr">
        <is>
          <t>HA-set</t>
        </is>
      </c>
      <c r="B53" s="2" t="inlineStr">
        <is>
          <t>HumanAct</t>
        </is>
      </c>
      <c r="C53" s="2" t="inlineStr">
        <is>
          <t>Đổi thiết lập</t>
        </is>
      </c>
      <c r="D53" s="2" t="inlineStr">
        <is>
          <t>A1.5.1, A13.1.1, A13.1.2, A13.1.3, A13.2.1, A13.3.1, A13.4.1, A13.4.2, A14.6.3, A3.6.9, A6.2.2</t>
        </is>
      </c>
      <c r="E53" s="2" t="n">
        <v>11</v>
      </c>
      <c r="F53" s="2">
        <f>SUMPRODUCT(('Anh xa'!$D$2:$D$725=A53)*1)</f>
        <v/>
      </c>
      <c r="G53" s="2">
        <f>IF(AND(F53&gt;0,F53=E53),"✓","THIẾU")</f>
        <v/>
      </c>
    </row>
    <row r="54">
      <c r="A54" s="2" t="inlineStr">
        <is>
          <t>HA-snapshot</t>
        </is>
      </c>
      <c r="B54" s="2" t="inlineStr">
        <is>
          <t>HumanAct</t>
        </is>
      </c>
      <c r="C54" s="2" t="inlineStr">
        <is>
          <t>Ghi bản ưng ý</t>
        </is>
      </c>
      <c r="D54" s="2" t="inlineStr">
        <is>
          <t>A1.2.3, A1.4.5, A11.1.5, A11.2.2</t>
        </is>
      </c>
      <c r="E54" s="2" t="n">
        <v>4</v>
      </c>
      <c r="F54" s="2">
        <f>SUMPRODUCT(('Anh xa'!$D$2:$D$725=A54)*1)</f>
        <v/>
      </c>
      <c r="G54" s="2">
        <f>IF(AND(F54&gt;0,F54=E54),"✓","THIẾU")</f>
        <v/>
      </c>
    </row>
    <row r="55">
      <c r="A55" s="2" t="inlineStr">
        <is>
          <t>HA-branch</t>
        </is>
      </c>
      <c r="B55" s="2" t="inlineStr">
        <is>
          <t>HumanAct</t>
        </is>
      </c>
      <c r="C55" s="2" t="inlineStr">
        <is>
          <t>Rẽ/chuyển/gộp nhánh</t>
        </is>
      </c>
      <c r="D55" s="2" t="inlineStr">
        <is>
          <t>A1.2.3, A11.3, A11.3.1, A2.3.5</t>
        </is>
      </c>
      <c r="E55" s="2" t="n">
        <v>4</v>
      </c>
      <c r="F55" s="2">
        <f>SUMPRODUCT(('Anh xa'!$D$2:$D$725=A55)*1)</f>
        <v/>
      </c>
      <c r="G55" s="2">
        <f>IF(AND(F55&gt;0,F55=E55),"✓","THIẾU")</f>
        <v/>
      </c>
    </row>
    <row r="56">
      <c r="A56" s="2" t="inlineStr">
        <is>
          <t>UI-console.post</t>
        </is>
      </c>
      <c r="B56" s="2" t="inlineStr">
        <is>
          <t>UICommand</t>
        </is>
      </c>
      <c r="C56" s="2" t="inlineStr">
        <is>
          <t>Đăng lời tác tử + thẻ</t>
        </is>
      </c>
      <c r="D56" s="2" t="inlineStr">
        <is>
          <t>A1.1, A1.1.1</t>
        </is>
      </c>
      <c r="E56" s="2" t="n">
        <v>2</v>
      </c>
      <c r="F56" s="2">
        <f>SUMPRODUCT(('Anh xa'!$D$2:$D$725=A56)*1)</f>
        <v/>
      </c>
      <c r="G56" s="2">
        <f>IF(AND(F56&gt;0,F56=E56),"✓","THIẾU")</f>
        <v/>
      </c>
    </row>
    <row r="57">
      <c r="A57" s="2" t="inlineStr">
        <is>
          <t>UI-console.stream</t>
        </is>
      </c>
      <c r="B57" s="2" t="inlineStr">
        <is>
          <t>UICommand</t>
        </is>
      </c>
      <c r="C57" s="2" t="inlineStr">
        <is>
          <t>Stream văn bản</t>
        </is>
      </c>
      <c r="D57" s="2" t="inlineStr">
        <is>
          <t>A1.1, A1.1.1</t>
        </is>
      </c>
      <c r="E57" s="2" t="n">
        <v>2</v>
      </c>
      <c r="F57" s="2">
        <f>SUMPRODUCT(('Anh xa'!$D$2:$D$725=A57)*1)</f>
        <v/>
      </c>
      <c r="G57" s="2">
        <f>IF(AND(F57&gt;0,F57=E57),"✓","THIẾU")</f>
        <v/>
      </c>
    </row>
    <row r="58">
      <c r="A58" s="2" t="inlineStr">
        <is>
          <t>UI-card.resolve</t>
        </is>
      </c>
      <c r="B58" s="2" t="inlineStr">
        <is>
          <t>UICommand</t>
        </is>
      </c>
      <c r="C58" s="2" t="inlineStr">
        <is>
          <t>Đóng thẻ</t>
        </is>
      </c>
      <c r="D58" s="2" t="inlineStr">
        <is>
          <t>A1.3, A1.3.6</t>
        </is>
      </c>
      <c r="E58" s="2" t="n">
        <v>2</v>
      </c>
      <c r="F58" s="2">
        <f>SUMPRODUCT(('Anh xa'!$D$2:$D$725=A58)*1)</f>
        <v/>
      </c>
      <c r="G58" s="2">
        <f>IF(AND(F58&gt;0,F58=E58),"✓","THIẾU")</f>
        <v/>
      </c>
    </row>
    <row r="59">
      <c r="A59" s="2" t="inlineStr">
        <is>
          <t>UI-card.expire</t>
        </is>
      </c>
      <c r="B59" s="2" t="inlineStr">
        <is>
          <t>UICommand</t>
        </is>
      </c>
      <c r="C59" s="2" t="inlineStr">
        <is>
          <t>Thẻ hết hạn</t>
        </is>
      </c>
      <c r="D59" s="2" t="inlineStr">
        <is>
          <t>A1.3, A1.3.6, A12.1.4</t>
        </is>
      </c>
      <c r="E59" s="2" t="n">
        <v>3</v>
      </c>
      <c r="F59" s="2">
        <f>SUMPRODUCT(('Anh xa'!$D$2:$D$725=A59)*1)</f>
        <v/>
      </c>
      <c r="G59" s="2">
        <f>IF(AND(F59&gt;0,F59=E59),"✓","THIẾU")</f>
        <v/>
      </c>
    </row>
    <row r="60">
      <c r="A60" s="2" t="inlineStr">
        <is>
          <t>UI-surface.set</t>
        </is>
      </c>
      <c r="B60" s="2" t="inlineStr">
        <is>
          <t>UICommand</t>
        </is>
      </c>
      <c r="C60" s="2" t="inlineStr">
        <is>
          <t>Thay mô hình bề mặt</t>
        </is>
      </c>
      <c r="D60" s="2" t="inlineStr">
        <is>
          <t>A13.5.1</t>
        </is>
      </c>
      <c r="E60" s="2" t="n">
        <v>1</v>
      </c>
      <c r="F60" s="2">
        <f>SUMPRODUCT(('Anh xa'!$D$2:$D$725=A60)*1)</f>
        <v/>
      </c>
      <c r="G60" s="2">
        <f>IF(AND(F60&gt;0,F60=E60),"✓","THIẾU")</f>
        <v/>
      </c>
    </row>
    <row r="61">
      <c r="A61" s="2" t="inlineStr">
        <is>
          <t>UI-surface.patch</t>
        </is>
      </c>
      <c r="B61" s="2" t="inlineStr">
        <is>
          <t>UICommand</t>
        </is>
      </c>
      <c r="C61" s="2" t="inlineStr">
        <is>
          <t>Vá bề mặt</t>
        </is>
      </c>
      <c r="D61" s="2" t="inlineStr">
        <is>
          <t>A13.5.1</t>
        </is>
      </c>
      <c r="E61" s="2" t="n">
        <v>1</v>
      </c>
      <c r="F61" s="2">
        <f>SUMPRODUCT(('Anh xa'!$D$2:$D$725=A61)*1)</f>
        <v/>
      </c>
      <c r="G61" s="2">
        <f>IF(AND(F61&gt;0,F61=E61),"✓","THIẾU")</f>
        <v/>
      </c>
    </row>
    <row r="62">
      <c r="A62" s="2" t="inlineStr">
        <is>
          <t>UI-surface.append</t>
        </is>
      </c>
      <c r="B62" s="2" t="inlineStr">
        <is>
          <t>UICommand</t>
        </is>
      </c>
      <c r="C62" s="2" t="inlineStr">
        <is>
          <t>Nối log/timeline</t>
        </is>
      </c>
      <c r="D62" s="2" t="inlineStr">
        <is>
          <t>A10.1.1, A3.3.1, A6.2.3, A8.2.2, A9.3.1</t>
        </is>
      </c>
      <c r="E62" s="2" t="n">
        <v>5</v>
      </c>
      <c r="F62" s="2">
        <f>SUMPRODUCT(('Anh xa'!$D$2:$D$725=A62)*1)</f>
        <v/>
      </c>
      <c r="G62" s="2">
        <f>IF(AND(F62&gt;0,F62=E62),"✓","THIẾU")</f>
        <v/>
      </c>
    </row>
    <row r="63">
      <c r="A63" s="2" t="inlineStr">
        <is>
          <t>UI-surface.focus</t>
        </is>
      </c>
      <c r="B63" s="2" t="inlineStr">
        <is>
          <t>UICommand</t>
        </is>
      </c>
      <c r="C63" s="2" t="inlineStr">
        <is>
          <t>Đưa mắt tới vị trí</t>
        </is>
      </c>
      <c r="D63" s="2" t="inlineStr">
        <is>
          <t>A4.3.1</t>
        </is>
      </c>
      <c r="E63" s="2" t="n">
        <v>1</v>
      </c>
      <c r="F63" s="2">
        <f>SUMPRODUCT(('Anh xa'!$D$2:$D$725=A63)*1)</f>
        <v/>
      </c>
      <c r="G63" s="2">
        <f>IF(AND(F63&gt;0,F63=E63),"✓","THIẾU")</f>
        <v/>
      </c>
    </row>
    <row r="64">
      <c r="A64" s="2" t="inlineStr">
        <is>
          <t>UI-surface.highlight</t>
        </is>
      </c>
      <c r="B64" s="2" t="inlineStr">
        <is>
          <t>UICommand</t>
        </is>
      </c>
      <c r="C64" s="2" t="inlineStr">
        <is>
          <t>Tô sáng</t>
        </is>
      </c>
      <c r="D64" s="2" t="inlineStr">
        <is>
          <t>A5.5.1</t>
        </is>
      </c>
      <c r="E64" s="2" t="n">
        <v>1</v>
      </c>
      <c r="F64" s="2">
        <f>SUMPRODUCT(('Anh xa'!$D$2:$D$725=A64)*1)</f>
        <v/>
      </c>
      <c r="G64" s="2">
        <f>IF(AND(F64&gt;0,F64=E64),"✓","THIẾU")</f>
        <v/>
      </c>
    </row>
    <row r="65">
      <c r="A65" s="2" t="inlineStr">
        <is>
          <t>UI-surface.lock</t>
        </is>
      </c>
      <c r="B65" s="2" t="inlineStr">
        <is>
          <t>UICommand</t>
        </is>
      </c>
      <c r="C65" s="2" t="inlineStr">
        <is>
          <t>Soft-lock khối tác tử đang sửa</t>
        </is>
      </c>
      <c r="D65" s="2" t="inlineStr">
        <is>
          <t>A7.1.3</t>
        </is>
      </c>
      <c r="E65" s="2" t="n">
        <v>1</v>
      </c>
      <c r="F65" s="2">
        <f>SUMPRODUCT(('Anh xa'!$D$2:$D$725=A65)*1)</f>
        <v/>
      </c>
      <c r="G65" s="2">
        <f>IF(AND(F65&gt;0,F65=E65),"✓","THIẾU")</f>
        <v/>
      </c>
    </row>
    <row r="66">
      <c r="A66" s="2" t="inlineStr">
        <is>
          <t>UI-surface.unlock</t>
        </is>
      </c>
      <c r="B66" s="2" t="inlineStr">
        <is>
          <t>UICommand</t>
        </is>
      </c>
      <c r="C66" s="2" t="inlineStr">
        <is>
          <t>Bỏ khoá</t>
        </is>
      </c>
      <c r="D66" s="2" t="inlineStr">
        <is>
          <t>A7.1.3</t>
        </is>
      </c>
      <c r="E66" s="2" t="n">
        <v>1</v>
      </c>
      <c r="F66" s="2">
        <f>SUMPRODUCT(('Anh xa'!$D$2:$D$725=A66)*1)</f>
        <v/>
      </c>
      <c r="G66" s="2">
        <f>IF(AND(F66&gt;0,F66=E66),"✓","THIẾU")</f>
        <v/>
      </c>
    </row>
    <row r="67">
      <c r="A67" s="2" t="inlineStr">
        <is>
          <t>UI-run.update</t>
        </is>
      </c>
      <c r="B67" s="2" t="inlineStr">
        <is>
          <t>UICommand</t>
        </is>
      </c>
      <c r="C67" s="2" t="inlineStr">
        <is>
          <t>Thẻ Run</t>
        </is>
      </c>
      <c r="D67" s="2" t="inlineStr">
        <is>
          <t>A1.4, A1.4.1, A3.6.11</t>
        </is>
      </c>
      <c r="E67" s="2" t="n">
        <v>3</v>
      </c>
      <c r="F67" s="2">
        <f>SUMPRODUCT(('Anh xa'!$D$2:$D$725=A67)*1)</f>
        <v/>
      </c>
      <c r="G67" s="2">
        <f>IF(AND(F67&gt;0,F67=E67),"✓","THIẾU")</f>
        <v/>
      </c>
    </row>
    <row r="68">
      <c r="A68" s="2" t="inlineStr">
        <is>
          <t>UI-notice</t>
        </is>
      </c>
      <c r="B68" s="2" t="inlineStr">
        <is>
          <t>UICommand</t>
        </is>
      </c>
      <c r="C68" s="2" t="inlineStr">
        <is>
          <t>Thông báo ngắn</t>
        </is>
      </c>
      <c r="D68" s="2" t="inlineStr">
        <is>
          <t>A1.1.3, A14.6.10</t>
        </is>
      </c>
      <c r="E68" s="2" t="n">
        <v>2</v>
      </c>
      <c r="F68" s="2">
        <f>SUMPRODUCT(('Anh xa'!$D$2:$D$725=A68)*1)</f>
        <v/>
      </c>
      <c r="G68" s="2">
        <f>IF(AND(F68&gt;0,F68=E68),"✓","THIẾU")</f>
        <v/>
      </c>
    </row>
    <row r="69">
      <c r="A69" s="2" t="inlineStr">
        <is>
          <t>UI-ui.set</t>
        </is>
      </c>
      <c r="B69" s="2" t="inlineStr">
        <is>
          <t>UICommand</t>
        </is>
      </c>
      <c r="C69" s="2" t="inlineStr">
        <is>
          <t>Thiết lập UI do lõi</t>
        </is>
      </c>
      <c r="D69" s="2" t="inlineStr">
        <is>
          <t>A1.5.1</t>
        </is>
      </c>
      <c r="E69" s="2" t="n">
        <v>1</v>
      </c>
      <c r="F69" s="2">
        <f>SUMPRODUCT(('Anh xa'!$D$2:$D$725=A69)*1)</f>
        <v/>
      </c>
      <c r="G69" s="2">
        <f>IF(AND(F69&gt;0,F69=E69),"✓","THIẾU")</f>
        <v/>
      </c>
    </row>
    <row r="70">
      <c r="A70" s="2" t="inlineStr">
        <is>
          <t>UI-history.update</t>
        </is>
      </c>
      <c r="B70" s="2" t="inlineStr">
        <is>
          <t>UICommand</t>
        </is>
      </c>
      <c r="C70" s="2" t="inlineStr">
        <is>
          <t>Cập nhật changeset/snapshot/STALE</t>
        </is>
      </c>
      <c r="D70" s="2" t="inlineStr">
        <is>
          <t>A11.1</t>
        </is>
      </c>
      <c r="E70" s="2" t="n">
        <v>1</v>
      </c>
      <c r="F70" s="2">
        <f>SUMPRODUCT(('Anh xa'!$D$2:$D$725=A70)*1)</f>
        <v/>
      </c>
      <c r="G70" s="2">
        <f>IF(AND(F70&gt;0,F70=E70),"✓","THIẾU")</f>
        <v/>
      </c>
    </row>
    <row r="71">
      <c r="A71" s="2" t="inlineStr">
        <is>
          <t>UI-explain.show</t>
        </is>
      </c>
      <c r="B71" s="2" t="inlineStr">
        <is>
          <t>UICommand</t>
        </is>
      </c>
      <c r="C71" s="2" t="inlineStr">
        <is>
          <t>Hiện lớp giải thích</t>
        </is>
      </c>
      <c r="D71" s="2" t="inlineStr">
        <is>
          <t>A2.1.1</t>
        </is>
      </c>
      <c r="E71" s="2" t="n">
        <v>1</v>
      </c>
      <c r="F71" s="2">
        <f>SUMPRODUCT(('Anh xa'!$D$2:$D$725=A71)*1)</f>
        <v/>
      </c>
      <c r="G71" s="2">
        <f>IF(AND(F71&gt;0,F71=E71),"✓","THIẾU")</f>
        <v/>
      </c>
    </row>
    <row r="72">
      <c r="A72" s="2" t="inlineStr">
        <is>
          <t>G-DATA</t>
        </is>
      </c>
      <c r="B72" s="2" t="inlineStr">
        <is>
          <t>Cổng</t>
        </is>
      </c>
      <c r="C72" s="2" t="inlineStr">
        <is>
          <t>Duyệt nguồn tài liệu</t>
        </is>
      </c>
      <c r="D72" s="2" t="inlineStr">
        <is>
          <t>A12.1.5, A3.2.2</t>
        </is>
      </c>
      <c r="E72" s="2" t="n">
        <v>2</v>
      </c>
      <c r="F72" s="2">
        <f>SUMPRODUCT(('Anh xa'!$D$2:$D$725=A72)*1)</f>
        <v/>
      </c>
      <c r="G72" s="2">
        <f>IF(AND(F72&gt;0,F72=E72),"✓","THIẾU")</f>
        <v/>
      </c>
    </row>
    <row r="73">
      <c r="A73" s="2" t="inlineStr">
        <is>
          <t>G-DESIGN</t>
        </is>
      </c>
      <c r="B73" s="2" t="inlineStr">
        <is>
          <t>Cổng</t>
        </is>
      </c>
      <c r="C73" s="2" t="inlineStr">
        <is>
          <t>Chốt phương án/thiết kế</t>
        </is>
      </c>
      <c r="D73" s="2" t="inlineStr">
        <is>
          <t>A12.1.6, A2.3, A2.3.3, A5.3.3, A5.5.4, A5.9.8</t>
        </is>
      </c>
      <c r="E73" s="2" t="n">
        <v>6</v>
      </c>
      <c r="F73" s="2">
        <f>SUMPRODUCT(('Anh xa'!$D$2:$D$725=A73)*1)</f>
        <v/>
      </c>
      <c r="G73" s="2">
        <f>IF(AND(F73&gt;0,F73=E73),"✓","THIẾU")</f>
        <v/>
      </c>
    </row>
    <row r="74">
      <c r="A74" s="2" t="inlineStr">
        <is>
          <t>G-SCOPE</t>
        </is>
      </c>
      <c r="B74" s="2" t="inlineStr">
        <is>
          <t>Cổng</t>
        </is>
      </c>
      <c r="C74" s="2" t="inlineStr">
        <is>
          <t>Duyệt kế hoạch việc lớn</t>
        </is>
      </c>
      <c r="D74" s="2" t="inlineStr">
        <is>
          <t>A1.3.3, A12.1.7, A14.4</t>
        </is>
      </c>
      <c r="E74" s="2" t="n">
        <v>3</v>
      </c>
      <c r="F74" s="2">
        <f>SUMPRODUCT(('Anh xa'!$D$2:$D$725=A74)*1)</f>
        <v/>
      </c>
      <c r="G74" s="2">
        <f>IF(AND(F74&gt;0,F74=E74),"✓","THIẾU")</f>
        <v/>
      </c>
    </row>
    <row r="75">
      <c r="A75" s="2" t="inlineStr">
        <is>
          <t>G-TOOL</t>
        </is>
      </c>
      <c r="B75" s="2" t="inlineStr">
        <is>
          <t>Cổng</t>
        </is>
      </c>
      <c r="C75" s="2" t="inlineStr">
        <is>
          <t>Cài công cụ</t>
        </is>
      </c>
      <c r="D75" s="2" t="inlineStr">
        <is>
          <t>A12.1.8, A6.2, A6.2.1</t>
        </is>
      </c>
      <c r="E75" s="2" t="n">
        <v>3</v>
      </c>
      <c r="F75" s="2">
        <f>SUMPRODUCT(('Anh xa'!$D$2:$D$725=A75)*1)</f>
        <v/>
      </c>
      <c r="G75" s="2">
        <f>IF(AND(F75&gt;0,F75=E75),"✓","THIẾU")</f>
        <v/>
      </c>
    </row>
    <row r="76">
      <c r="A76" s="2" t="inlineStr">
        <is>
          <t>G-QUAL</t>
        </is>
      </c>
      <c r="B76" s="2" t="inlineStr">
        <is>
          <t>Cổng</t>
        </is>
      </c>
      <c r="C76" s="2" t="inlineStr">
        <is>
          <t>Đổi tiêu chí/test</t>
        </is>
      </c>
      <c r="D76" s="2" t="inlineStr">
        <is>
          <t>A12.1.9, A8.1.3</t>
        </is>
      </c>
      <c r="E76" s="2" t="n">
        <v>2</v>
      </c>
      <c r="F76" s="2">
        <f>SUMPRODUCT(('Anh xa'!$D$2:$D$725=A76)*1)</f>
        <v/>
      </c>
      <c r="G76" s="2">
        <f>IF(AND(F76&gt;0,F76=E76),"✓","THIẾU")</f>
        <v/>
      </c>
    </row>
    <row r="77">
      <c r="A77" s="2" t="inlineStr">
        <is>
          <t>G-FILE</t>
        </is>
      </c>
      <c r="B77" s="2" t="inlineStr">
        <is>
          <t>Cổng</t>
        </is>
      </c>
      <c r="C77" s="2" t="inlineStr">
        <is>
          <t>Ghi đè tệp người đã sửa</t>
        </is>
      </c>
      <c r="D77" s="2" t="inlineStr">
        <is>
          <t>A12.1.10, A5.8.10, A7.1.4, A7.2.3</t>
        </is>
      </c>
      <c r="E77" s="2" t="n">
        <v>4</v>
      </c>
      <c r="F77" s="2">
        <f>SUMPRODUCT(('Anh xa'!$D$2:$D$725=A77)*1)</f>
        <v/>
      </c>
      <c r="G77" s="2">
        <f>IF(AND(F77&gt;0,F77=E77),"✓","THIẾU")</f>
        <v/>
      </c>
    </row>
    <row r="78">
      <c r="A78" s="2" t="inlineStr">
        <is>
          <t>G-FLASH</t>
        </is>
      </c>
      <c r="B78" s="2" t="inlineStr">
        <is>
          <t>Cổng</t>
        </is>
      </c>
      <c r="C78" s="2" t="inlineStr">
        <is>
          <t>Nạp firmware</t>
        </is>
      </c>
      <c r="D78" s="2" t="inlineStr">
        <is>
          <t>A12.1.11, A9.2, A9.2.1</t>
        </is>
      </c>
      <c r="E78" s="2" t="n">
        <v>3</v>
      </c>
      <c r="F78" s="2">
        <f>SUMPRODUCT(('Anh xa'!$D$2:$D$725=A78)*1)</f>
        <v/>
      </c>
      <c r="G78" s="2">
        <f>IF(AND(F78&gt;0,F78=E78),"✓","THIẾU")</f>
        <v/>
      </c>
    </row>
    <row r="79">
      <c r="A79" s="2" t="inlineStr">
        <is>
          <t>G-OPS</t>
        </is>
      </c>
      <c r="B79" s="2" t="inlineStr">
        <is>
          <t>Cổng</t>
        </is>
      </c>
      <c r="C79" s="2" t="inlineStr">
        <is>
          <t>Không đảo ngược (RDP/eFuse/erase)</t>
        </is>
      </c>
      <c r="D79" s="2" t="inlineStr">
        <is>
          <t>A12.1.12, A9.5, A9.5.1</t>
        </is>
      </c>
      <c r="E79" s="2" t="n">
        <v>3</v>
      </c>
      <c r="F79" s="2">
        <f>SUMPRODUCT(('Anh xa'!$D$2:$D$725=A79)*1)</f>
        <v/>
      </c>
      <c r="G79" s="2">
        <f>IF(AND(F79&gt;0,F79=E79),"✓","THIẾU")</f>
        <v/>
      </c>
    </row>
    <row r="80">
      <c r="A80" s="2" t="inlineStr">
        <is>
          <t>G-SAFE</t>
        </is>
      </c>
      <c r="B80" s="2" t="inlineStr">
        <is>
          <t>Cổng</t>
        </is>
      </c>
      <c r="C80" s="2" t="inlineStr">
        <is>
          <t>Điện lưới/nhiệt — cảnh báo đứng đầu</t>
        </is>
      </c>
      <c r="D80" s="2" t="inlineStr">
        <is>
          <t>A12.1.13, A9.6, A9.6.1</t>
        </is>
      </c>
      <c r="E80" s="2" t="n">
        <v>3</v>
      </c>
      <c r="F80" s="2">
        <f>SUMPRODUCT(('Anh xa'!$D$2:$D$725=A80)*1)</f>
        <v/>
      </c>
      <c r="G80" s="2">
        <f>IF(AND(F80&gt;0,F80=E80),"✓","THIẾU")</f>
        <v/>
      </c>
    </row>
    <row r="81">
      <c r="A81" s="2" t="inlineStr">
        <is>
          <t>G-HIST</t>
        </is>
      </c>
      <c r="B81" s="2" t="inlineStr">
        <is>
          <t>Cổng</t>
        </is>
      </c>
      <c r="C81" s="2" t="inlineStr">
        <is>
          <t>Hoàn tác lượt / khôi phục snapshot</t>
        </is>
      </c>
      <c r="D81" s="2" t="inlineStr">
        <is>
          <t>A11.1.4, A11.2.3, A12.1.14</t>
        </is>
      </c>
      <c r="E81" s="2" t="n">
        <v>3</v>
      </c>
      <c r="F81" s="2">
        <f>SUMPRODUCT(('Anh xa'!$D$2:$D$725=A81)*1)</f>
        <v/>
      </c>
      <c r="G81" s="2">
        <f>IF(AND(F81&gt;0,F81=E81),"✓","THIẾU")</f>
        <v/>
      </c>
    </row>
    <row r="82">
      <c r="A82" s="2" t="inlineStr">
        <is>
          <t>G-SNAP</t>
        </is>
      </c>
      <c r="B82" s="2" t="inlineStr">
        <is>
          <t>Cổng</t>
        </is>
      </c>
      <c r="C82" s="2" t="inlineStr">
        <is>
          <t>Tác tử đề xuất snapshot</t>
        </is>
      </c>
      <c r="D82" s="2" t="inlineStr">
        <is>
          <t>A12.1.15, A8.2.8</t>
        </is>
      </c>
      <c r="E82" s="2" t="n">
        <v>2</v>
      </c>
      <c r="F82" s="2">
        <f>SUMPRODUCT(('Anh xa'!$D$2:$D$725=A82)*1)</f>
        <v/>
      </c>
      <c r="G82" s="2">
        <f>IF(AND(F82&gt;0,F82=E82),"✓","THIẾU")</f>
        <v/>
      </c>
    </row>
    <row r="83">
      <c r="A83" s="2" t="inlineStr">
        <is>
          <t>AR01</t>
        </is>
      </c>
      <c r="B83" s="2" t="inlineStr">
        <is>
          <t>Hiện vật (E2)</t>
        </is>
      </c>
      <c r="C83" s="2" t="inlineStr">
        <is>
          <t>Đặc tả yêu cầu (REQ set)</t>
        </is>
      </c>
      <c r="D83" s="2" t="inlineStr">
        <is>
          <t>A2.1, A2.1.2, A2.1.6</t>
        </is>
      </c>
      <c r="E83" s="2" t="n">
        <v>3</v>
      </c>
      <c r="F83" s="2">
        <f>SUMPRODUCT(('Anh xa'!$D$2:$D$725=A83)*1)</f>
        <v/>
      </c>
      <c r="G83" s="2">
        <f>IF(AND(F83&gt;0,F83=E83),"✓","THIẾU")</f>
        <v/>
      </c>
    </row>
    <row r="84">
      <c r="A84" s="2" t="inlineStr">
        <is>
          <t>AR02</t>
        </is>
      </c>
      <c r="B84" s="2" t="inlineStr">
        <is>
          <t>Hiện vật (E2)</t>
        </is>
      </c>
      <c r="C84" s="2" t="inlineStr">
        <is>
          <t>Phương án + phương án chọn</t>
        </is>
      </c>
      <c r="D84" s="2" t="inlineStr">
        <is>
          <t>A2.3, A2.3.1</t>
        </is>
      </c>
      <c r="E84" s="2" t="n">
        <v>2</v>
      </c>
      <c r="F84" s="2">
        <f>SUMPRODUCT(('Anh xa'!$D$2:$D$725=A84)*1)</f>
        <v/>
      </c>
      <c r="G84" s="2">
        <f>IF(AND(F84&gt;0,F84=E84),"✓","THIẾU")</f>
        <v/>
      </c>
    </row>
    <row r="85">
      <c r="A85" s="2" t="inlineStr">
        <is>
          <t>AR03</t>
        </is>
      </c>
      <c r="B85" s="2" t="inlineStr">
        <is>
          <t>Hiện vật (E2)</t>
        </is>
      </c>
      <c r="C85" s="2" t="inlineStr">
        <is>
          <t>ADR</t>
        </is>
      </c>
      <c r="D85" s="2" t="inlineStr">
        <is>
          <t>A2.4, A2.4.1</t>
        </is>
      </c>
      <c r="E85" s="2" t="n">
        <v>2</v>
      </c>
      <c r="F85" s="2">
        <f>SUMPRODUCT(('Anh xa'!$D$2:$D$725=A85)*1)</f>
        <v/>
      </c>
      <c r="G85" s="2">
        <f>IF(AND(F85&gt;0,F85=E85),"✓","THIẾU")</f>
        <v/>
      </c>
    </row>
    <row r="86">
      <c r="A86" s="2" t="inlineStr">
        <is>
          <t>AR04</t>
        </is>
      </c>
      <c r="B86" s="2" t="inlineStr">
        <is>
          <t>Hiện vật (E2)</t>
        </is>
      </c>
      <c r="C86" s="2" t="inlineStr">
        <is>
          <t>Fact</t>
        </is>
      </c>
      <c r="D86" s="2" t="inlineStr">
        <is>
          <t>A3.4.2, A4.2, A4.2.1</t>
        </is>
      </c>
      <c r="E86" s="2" t="n">
        <v>3</v>
      </c>
      <c r="F86" s="2">
        <f>SUMPRODUCT(('Anh xa'!$D$2:$D$725=A86)*1)</f>
        <v/>
      </c>
      <c r="G86" s="2">
        <f>IF(AND(F86&gt;0,F86=E86),"✓","THIẾU")</f>
        <v/>
      </c>
    </row>
    <row r="87">
      <c r="A87" s="2" t="inlineStr">
        <is>
          <t>AR05</t>
        </is>
      </c>
      <c r="B87" s="2" t="inlineStr">
        <is>
          <t>Hiện vật (E2)</t>
        </is>
      </c>
      <c r="C87" s="2" t="inlineStr">
        <is>
          <t>Hộ chiếu chip</t>
        </is>
      </c>
      <c r="D87" s="2" t="inlineStr">
        <is>
          <t>A0.1.2, A4.1, A4.1.1, A4.1.2</t>
        </is>
      </c>
      <c r="E87" s="2" t="n">
        <v>4</v>
      </c>
      <c r="F87" s="2">
        <f>SUMPRODUCT(('Anh xa'!$D$2:$D$725=A87)*1)</f>
        <v/>
      </c>
      <c r="G87" s="2">
        <f>IF(AND(F87&gt;0,F87=E87),"✓","THIẾU")</f>
        <v/>
      </c>
    </row>
    <row r="88">
      <c r="A88" s="2" t="inlineStr">
        <is>
          <t>AR06</t>
        </is>
      </c>
      <c r="B88" s="2" t="inlineStr">
        <is>
          <t>Hiện vật (E2)</t>
        </is>
      </c>
      <c r="C88" s="2" t="inlineStr">
        <is>
          <t>Bản đồ tri thức mạch (KG)</t>
        </is>
      </c>
      <c r="D88" s="2" t="inlineStr">
        <is>
          <t>A4.3, A4.3.1, A4.3.2</t>
        </is>
      </c>
      <c r="E88" s="2" t="n">
        <v>3</v>
      </c>
      <c r="F88" s="2">
        <f>SUMPRODUCT(('Anh xa'!$D$2:$D$725=A88)*1)</f>
        <v/>
      </c>
      <c r="G88" s="2">
        <f>IF(AND(F88&gt;0,F88=E88),"✓","THIẾU")</f>
        <v/>
      </c>
    </row>
    <row r="89">
      <c r="A89" s="2" t="inlineStr">
        <is>
          <t>AR07</t>
        </is>
      </c>
      <c r="B89" s="2" t="inlineStr">
        <is>
          <t>Hiện vật (E2)</t>
        </is>
      </c>
      <c r="C89" s="2" t="inlineStr">
        <is>
          <t>Pinout</t>
        </is>
      </c>
      <c r="D89" s="2" t="inlineStr">
        <is>
          <t>A5.2, A5.2.1</t>
        </is>
      </c>
      <c r="E89" s="2" t="n">
        <v>2</v>
      </c>
      <c r="F89" s="2">
        <f>SUMPRODUCT(('Anh xa'!$D$2:$D$725=A89)*1)</f>
        <v/>
      </c>
      <c r="G89" s="2">
        <f>IF(AND(F89&gt;0,F89=E89),"✓","THIẾU")</f>
        <v/>
      </c>
    </row>
    <row r="90">
      <c r="A90" s="2" t="inlineStr">
        <is>
          <t>AR08</t>
        </is>
      </c>
      <c r="B90" s="2" t="inlineStr">
        <is>
          <t>Hiện vật (E2)</t>
        </is>
      </c>
      <c r="C90" s="2" t="inlineStr">
        <is>
          <t>Sơ đồ khối</t>
        </is>
      </c>
      <c r="D90" s="2" t="inlineStr">
        <is>
          <t>A5.1, A5.1.1</t>
        </is>
      </c>
      <c r="E90" s="2" t="n">
        <v>2</v>
      </c>
      <c r="F90" s="2">
        <f>SUMPRODUCT(('Anh xa'!$D$2:$D$725=A90)*1)</f>
        <v/>
      </c>
      <c r="G90" s="2">
        <f>IF(AND(F90&gt;0,F90=E90),"✓","THIẾU")</f>
        <v/>
      </c>
    </row>
    <row r="91">
      <c r="A91" s="2" t="inlineStr">
        <is>
          <t>AR09</t>
        </is>
      </c>
      <c r="B91" s="2" t="inlineStr">
        <is>
          <t>Hiện vật (E2)</t>
        </is>
      </c>
      <c r="C91" s="2" t="inlineStr">
        <is>
          <t>Schematic/netlist</t>
        </is>
      </c>
      <c r="D91" s="2" t="inlineStr">
        <is>
          <t>A4.3.3, A5.3, A5.3.1</t>
        </is>
      </c>
      <c r="E91" s="2" t="n">
        <v>3</v>
      </c>
      <c r="F91" s="2">
        <f>SUMPRODUCT(('Anh xa'!$D$2:$D$725=A91)*1)</f>
        <v/>
      </c>
      <c r="G91" s="2">
        <f>IF(AND(F91&gt;0,F91=E91),"✓","THIẾU")</f>
        <v/>
      </c>
    </row>
    <row r="92">
      <c r="A92" s="2" t="inlineStr">
        <is>
          <t>AR10</t>
        </is>
      </c>
      <c r="B92" s="2" t="inlineStr">
        <is>
          <t>Hiện vật (E2)</t>
        </is>
      </c>
      <c r="C92" s="2" t="inlineStr">
        <is>
          <t>BOM</t>
        </is>
      </c>
      <c r="D92" s="2" t="inlineStr">
        <is>
          <t>A5.4, A5.4.1</t>
        </is>
      </c>
      <c r="E92" s="2" t="n">
        <v>2</v>
      </c>
      <c r="F92" s="2">
        <f>SUMPRODUCT(('Anh xa'!$D$2:$D$725=A92)*1)</f>
        <v/>
      </c>
      <c r="G92" s="2">
        <f>IF(AND(F92&gt;0,F92=E92),"✓","THIẾU")</f>
        <v/>
      </c>
    </row>
    <row r="93">
      <c r="A93" s="2" t="inlineStr">
        <is>
          <t>AR11</t>
        </is>
      </c>
      <c r="B93" s="2" t="inlineStr">
        <is>
          <t>Hiện vật (E2)</t>
        </is>
      </c>
      <c r="C93" s="2" t="inlineStr">
        <is>
          <t>Phát hiện ERC/rà soát</t>
        </is>
      </c>
      <c r="D93" s="2" t="inlineStr">
        <is>
          <t>A5.5, A5.5.1</t>
        </is>
      </c>
      <c r="E93" s="2" t="n">
        <v>2</v>
      </c>
      <c r="F93" s="2">
        <f>SUMPRODUCT(('Anh xa'!$D$2:$D$725=A93)*1)</f>
        <v/>
      </c>
      <c r="G93" s="2">
        <f>IF(AND(F93&gt;0,F93=E93),"✓","THIẾU")</f>
        <v/>
      </c>
    </row>
    <row r="94">
      <c r="A94" s="2" t="inlineStr">
        <is>
          <t>AR12</t>
        </is>
      </c>
      <c r="B94" s="2" t="inlineStr">
        <is>
          <t>Hiện vật (E2)</t>
        </is>
      </c>
      <c r="C94" s="2" t="inlineStr">
        <is>
          <t>Kế hoạch (plan mode)</t>
        </is>
      </c>
      <c r="D94" s="2" t="inlineStr">
        <is>
          <t>A1.3.3, A14.4.1</t>
        </is>
      </c>
      <c r="E94" s="2" t="n">
        <v>2</v>
      </c>
      <c r="F94" s="2">
        <f>SUMPRODUCT(('Anh xa'!$D$2:$D$725=A94)*1)</f>
        <v/>
      </c>
      <c r="G94" s="2">
        <f>IF(AND(F94&gt;0,F94=E94),"✓","THIẾU")</f>
        <v/>
      </c>
    </row>
    <row r="95">
      <c r="A95" s="2" t="inlineStr">
        <is>
          <t>AR13</t>
        </is>
      </c>
      <c r="B95" s="2" t="inlineStr">
        <is>
          <t>Hiện vật (E2)</t>
        </is>
      </c>
      <c r="C95" s="2" t="inlineStr">
        <is>
          <t>Mã nguồn</t>
        </is>
      </c>
      <c r="D95" s="2" t="inlineStr">
        <is>
          <t>A7.1, A7.1.1</t>
        </is>
      </c>
      <c r="E95" s="2" t="n">
        <v>2</v>
      </c>
      <c r="F95" s="2">
        <f>SUMPRODUCT(('Anh xa'!$D$2:$D$725=A95)*1)</f>
        <v/>
      </c>
      <c r="G95" s="2">
        <f>IF(AND(F95&gt;0,F95=E95),"✓","THIẾU")</f>
        <v/>
      </c>
    </row>
    <row r="96">
      <c r="A96" s="2" t="inlineStr">
        <is>
          <t>AR14</t>
        </is>
      </c>
      <c r="B96" s="2" t="inlineStr">
        <is>
          <t>Hiện vật (E2)</t>
        </is>
      </c>
      <c r="C96" s="2" t="inlineStr">
        <is>
          <t>Diff của tác tử</t>
        </is>
      </c>
      <c r="D96" s="2" t="inlineStr">
        <is>
          <t>A11.1.6, A7.2, A7.2.1</t>
        </is>
      </c>
      <c r="E96" s="2" t="n">
        <v>3</v>
      </c>
      <c r="F96" s="2">
        <f>SUMPRODUCT(('Anh xa'!$D$2:$D$725=A96)*1)</f>
        <v/>
      </c>
      <c r="G96" s="2">
        <f>IF(AND(F96&gt;0,F96=E96),"✓","THIẾU")</f>
        <v/>
      </c>
    </row>
    <row r="97">
      <c r="A97" s="2" t="inlineStr">
        <is>
          <t>AR15</t>
        </is>
      </c>
      <c r="B97" s="2" t="inlineStr">
        <is>
          <t>Hiện vật (E2)</t>
        </is>
      </c>
      <c r="C97" s="2" t="inlineStr">
        <is>
          <t>Kết quả build</t>
        </is>
      </c>
      <c r="D97" s="2" t="inlineStr">
        <is>
          <t>A7.3, A7.3.1</t>
        </is>
      </c>
      <c r="E97" s="2" t="n">
        <v>2</v>
      </c>
      <c r="F97" s="2">
        <f>SUMPRODUCT(('Anh xa'!$D$2:$D$725=A97)*1)</f>
        <v/>
      </c>
      <c r="G97" s="2">
        <f>IF(AND(F97&gt;0,F97=E97),"✓","THIẾU")</f>
        <v/>
      </c>
    </row>
    <row r="98">
      <c r="A98" s="2" t="inlineStr">
        <is>
          <t>AR16</t>
        </is>
      </c>
      <c r="B98" s="2" t="inlineStr">
        <is>
          <t>Hiện vật (E2)</t>
        </is>
      </c>
      <c r="C98" s="2" t="inlineStr">
        <is>
          <t>Tiêu chí mô phỏng</t>
        </is>
      </c>
      <c r="D98" s="2" t="inlineStr">
        <is>
          <t>A1.3.4, A8.1, A8.1.1</t>
        </is>
      </c>
      <c r="E98" s="2" t="n">
        <v>3</v>
      </c>
      <c r="F98" s="2">
        <f>SUMPRODUCT(('Anh xa'!$D$2:$D$725=A98)*1)</f>
        <v/>
      </c>
      <c r="G98" s="2">
        <f>IF(AND(F98&gt;0,F98=E98),"✓","THIẾU")</f>
        <v/>
      </c>
    </row>
    <row r="99">
      <c r="A99" s="2" t="inlineStr">
        <is>
          <t>AR17</t>
        </is>
      </c>
      <c r="B99" s="2" t="inlineStr">
        <is>
          <t>Hiện vật (E2)</t>
        </is>
      </c>
      <c r="C99" s="2" t="inlineStr">
        <is>
          <t>Kết quả mô phỏng</t>
        </is>
      </c>
      <c r="D99" s="2" t="inlineStr">
        <is>
          <t>A8.2, A8.2.1, A8.2.3</t>
        </is>
      </c>
      <c r="E99" s="2" t="n">
        <v>3</v>
      </c>
      <c r="F99" s="2">
        <f>SUMPRODUCT(('Anh xa'!$D$2:$D$725=A99)*1)</f>
        <v/>
      </c>
      <c r="G99" s="2">
        <f>IF(AND(F99&gt;0,F99=E99),"✓","THIẾU")</f>
        <v/>
      </c>
    </row>
    <row r="100">
      <c r="A100" s="2" t="inlineStr">
        <is>
          <t>AR18</t>
        </is>
      </c>
      <c r="B100" s="2" t="inlineStr">
        <is>
          <t>Hiện vật (E2)</t>
        </is>
      </c>
      <c r="C100" s="2" t="inlineStr">
        <is>
          <t>Phân tích capture/log/HardFault</t>
        </is>
      </c>
      <c r="D100" s="2" t="inlineStr">
        <is>
          <t>A9.4</t>
        </is>
      </c>
      <c r="E100" s="2" t="n">
        <v>1</v>
      </c>
      <c r="F100" s="2">
        <f>SUMPRODUCT(('Anh xa'!$D$2:$D$725=A100)*1)</f>
        <v/>
      </c>
      <c r="G100" s="2">
        <f>IF(AND(F100&gt;0,F100=E100),"✓","THIẾU")</f>
        <v/>
      </c>
    </row>
    <row r="101">
      <c r="A101" s="2" t="inlineStr">
        <is>
          <t>AR19</t>
        </is>
      </c>
      <c r="B101" s="2" t="inlineStr">
        <is>
          <t>Hiện vật (E2)</t>
        </is>
      </c>
      <c r="C101" s="2" t="inlineStr">
        <is>
          <t>Dò board/nạp/verify</t>
        </is>
      </c>
      <c r="D101" s="2" t="inlineStr">
        <is>
          <t>A9.1, A9.1.1</t>
        </is>
      </c>
      <c r="E101" s="2" t="n">
        <v>2</v>
      </c>
      <c r="F101" s="2">
        <f>SUMPRODUCT(('Anh xa'!$D$2:$D$725=A101)*1)</f>
        <v/>
      </c>
      <c r="G101" s="2">
        <f>IF(AND(F101&gt;0,F101=E101),"✓","THIẾU")</f>
        <v/>
      </c>
    </row>
    <row r="102">
      <c r="A102" s="2" t="inlineStr">
        <is>
          <t>AR20</t>
        </is>
      </c>
      <c r="B102" s="2" t="inlineStr">
        <is>
          <t>Hiện vật (E2)</t>
        </is>
      </c>
      <c r="C102" s="2" t="inlineStr">
        <is>
          <t>Giả định đang dùng</t>
        </is>
      </c>
      <c r="D102" s="2" t="inlineStr">
        <is>
          <t>A1.4.6, A14.3.2</t>
        </is>
      </c>
      <c r="E102" s="2" t="n">
        <v>2</v>
      </c>
      <c r="F102" s="2">
        <f>SUMPRODUCT(('Anh xa'!$D$2:$D$725=A102)*1)</f>
        <v/>
      </c>
      <c r="G102" s="2">
        <f>IF(AND(F102&gt;0,F102=E102),"✓","THIẾU")</f>
        <v/>
      </c>
    </row>
    <row r="103">
      <c r="A103" s="2" t="inlineStr">
        <is>
          <t>AR21</t>
        </is>
      </c>
      <c r="B103" s="2" t="inlineStr">
        <is>
          <t>Hiện vật (E2)</t>
        </is>
      </c>
      <c r="C103" s="2" t="inlineStr">
        <is>
          <t>Báo cáo lượt</t>
        </is>
      </c>
      <c r="D103" s="2" t="inlineStr">
        <is>
          <t>A1.1.4, A1.3.5</t>
        </is>
      </c>
      <c r="E103" s="2" t="n">
        <v>2</v>
      </c>
      <c r="F103" s="2">
        <f>SUMPRODUCT(('Anh xa'!$D$2:$D$725=A103)*1)</f>
        <v/>
      </c>
      <c r="G103" s="2">
        <f>IF(AND(F103&gt;0,F103=E103),"✓","THIẾU")</f>
        <v/>
      </c>
    </row>
    <row r="104">
      <c r="A104" s="2" t="inlineStr">
        <is>
          <t>AR22</t>
        </is>
      </c>
      <c r="B104" s="2" t="inlineStr">
        <is>
          <t>Hiện vật (E2)</t>
        </is>
      </c>
      <c r="C104" s="2" t="inlineStr">
        <is>
          <t>Changeset</t>
        </is>
      </c>
      <c r="D104" s="2" t="inlineStr">
        <is>
          <t>A11.1, A11.1.1, A11.1.6, A2.1.8</t>
        </is>
      </c>
      <c r="E104" s="2" t="n">
        <v>4</v>
      </c>
      <c r="F104" s="2">
        <f>SUMPRODUCT(('Anh xa'!$D$2:$D$725=A104)*1)</f>
        <v/>
      </c>
      <c r="G104" s="2">
        <f>IF(AND(F104&gt;0,F104=E104),"✓","THIẾU")</f>
        <v/>
      </c>
    </row>
    <row r="105">
      <c r="A105" s="2" t="inlineStr">
        <is>
          <t>AR23</t>
        </is>
      </c>
      <c r="B105" s="2" t="inlineStr">
        <is>
          <t>Hiện vật (E2)</t>
        </is>
      </c>
      <c r="C105" s="2" t="inlineStr">
        <is>
          <t>Snapshot</t>
        </is>
      </c>
      <c r="D105" s="2" t="inlineStr">
        <is>
          <t>A11.2, A11.2.1</t>
        </is>
      </c>
      <c r="E105" s="2" t="n">
        <v>2</v>
      </c>
      <c r="F105" s="2">
        <f>SUMPRODUCT(('Anh xa'!$D$2:$D$725=A105)*1)</f>
        <v/>
      </c>
      <c r="G105" s="2">
        <f>IF(AND(F105&gt;0,F105=E105),"✓","THIẾU")</f>
        <v/>
      </c>
    </row>
    <row r="106">
      <c r="A106" s="2" t="inlineStr">
        <is>
          <t>EX-summary</t>
        </is>
      </c>
      <c r="B106" s="2" t="inlineStr">
        <is>
          <t>Lớp giải thích</t>
        </is>
      </c>
      <c r="C106" s="2" t="inlineStr">
        <is>
          <t>Tóm tắt 1 câu</t>
        </is>
      </c>
      <c r="D106" s="2" t="inlineStr">
        <is>
          <t>A2.1.1</t>
        </is>
      </c>
      <c r="E106" s="2" t="n">
        <v>1</v>
      </c>
      <c r="F106" s="2">
        <f>SUMPRODUCT(('Anh xa'!$D$2:$D$725=A106)*1)</f>
        <v/>
      </c>
      <c r="G106" s="2">
        <f>IF(AND(F106&gt;0,F106=E106),"✓","THIẾU")</f>
        <v/>
      </c>
    </row>
    <row r="107">
      <c r="A107" s="2" t="inlineStr">
        <is>
          <t>EX-why</t>
        </is>
      </c>
      <c r="B107" s="2" t="inlineStr">
        <is>
          <t>Lớp giải thích</t>
        </is>
      </c>
      <c r="C107" s="2" t="inlineStr">
        <is>
          <t>Vì sao</t>
        </is>
      </c>
      <c r="D107" s="2" t="inlineStr">
        <is>
          <t>A2.1.1, A2.4.1, A5.1.1, A7.2.1</t>
        </is>
      </c>
      <c r="E107" s="2" t="n">
        <v>4</v>
      </c>
      <c r="F107" s="2">
        <f>SUMPRODUCT(('Anh xa'!$D$2:$D$725=A107)*1)</f>
        <v/>
      </c>
      <c r="G107" s="2">
        <f>IF(AND(F107&gt;0,F107=E107),"✓","THIẾU")</f>
        <v/>
      </c>
    </row>
    <row r="108">
      <c r="A108" s="2" t="inlineStr">
        <is>
          <t>EX-sources</t>
        </is>
      </c>
      <c r="B108" s="2" t="inlineStr">
        <is>
          <t>Lớp giải thích</t>
        </is>
      </c>
      <c r="C108" s="2" t="inlineStr">
        <is>
          <t>Nguồn bấm được + tầng</t>
        </is>
      </c>
      <c r="D108" s="2" t="inlineStr">
        <is>
          <t>A2.2.1, A4.1.1, A4.2.5, A4.4.1, A8.1.1</t>
        </is>
      </c>
      <c r="E108" s="2" t="n">
        <v>5</v>
      </c>
      <c r="F108" s="2">
        <f>SUMPRODUCT(('Anh xa'!$D$2:$D$725=A108)*1)</f>
        <v/>
      </c>
      <c r="G108" s="2">
        <f>IF(AND(F108&gt;0,F108=E108),"✓","THIẾU")</f>
        <v/>
      </c>
    </row>
    <row r="109">
      <c r="A109" s="2" t="inlineStr">
        <is>
          <t>EX-diff_prev</t>
        </is>
      </c>
      <c r="B109" s="2" t="inlineStr">
        <is>
          <t>Lớp giải thích</t>
        </is>
      </c>
      <c r="C109" s="2" t="inlineStr">
        <is>
          <t>Khác bản trước</t>
        </is>
      </c>
      <c r="D109" s="2" t="inlineStr">
        <is>
          <t>A2.1.6, A5.8.5</t>
        </is>
      </c>
      <c r="E109" s="2" t="n">
        <v>2</v>
      </c>
      <c r="F109" s="2">
        <f>SUMPRODUCT(('Anh xa'!$D$2:$D$725=A109)*1)</f>
        <v/>
      </c>
      <c r="G109" s="2">
        <f>IF(AND(F109&gt;0,F109=E109),"✓","THIẾU")</f>
        <v/>
      </c>
    </row>
    <row r="110">
      <c r="A110" s="2" t="inlineStr">
        <is>
          <t>EX-next</t>
        </is>
      </c>
      <c r="B110" s="2" t="inlineStr">
        <is>
          <t>Lớp giải thích</t>
        </is>
      </c>
      <c r="C110" s="2" t="inlineStr">
        <is>
          <t>Việc tiếp theo</t>
        </is>
      </c>
      <c r="D110" s="2" t="inlineStr">
        <is>
          <t>A2.1.0, A2.5.2, A9.3.3</t>
        </is>
      </c>
      <c r="E110" s="2" t="n">
        <v>3</v>
      </c>
      <c r="F110" s="2">
        <f>SUMPRODUCT(('Anh xa'!$D$2:$D$725=A110)*1)</f>
        <v/>
      </c>
      <c r="G110" s="2">
        <f>IF(AND(F110&gt;0,F110=E110),"✓","THIẾU")</f>
        <v/>
      </c>
    </row>
    <row r="111">
      <c r="A111" s="2" t="inlineStr">
        <is>
          <t>EX-confidence</t>
        </is>
      </c>
      <c r="B111" s="2" t="inlineStr">
        <is>
          <t>Lớp giải thích</t>
        </is>
      </c>
      <c r="C111" s="2" t="inlineStr">
        <is>
          <t>Tin được đến đâu</t>
        </is>
      </c>
      <c r="D111" s="2" t="inlineStr">
        <is>
          <t>A2.3.1</t>
        </is>
      </c>
      <c r="E111" s="2" t="n">
        <v>1</v>
      </c>
      <c r="F111" s="2">
        <f>SUMPRODUCT(('Anh xa'!$D$2:$D$725=A111)*1)</f>
        <v/>
      </c>
      <c r="G111" s="2">
        <f>IF(AND(F111&gt;0,F111=E111),"✓","THIẾU")</f>
        <v/>
      </c>
    </row>
    <row r="112">
      <c r="A112" s="2" t="inlineStr">
        <is>
          <t>EX-why-button</t>
        </is>
      </c>
      <c r="B112" s="2" t="inlineStr">
        <is>
          <t>Lớp giải thích</t>
        </is>
      </c>
      <c r="C112" s="2" t="inlineStr">
        <is>
          <t>Nút 'Vì sao?' (0 token)</t>
        </is>
      </c>
      <c r="D112" s="2" t="inlineStr">
        <is>
          <t>A2.1.1</t>
        </is>
      </c>
      <c r="E112" s="2" t="n">
        <v>1</v>
      </c>
      <c r="F112" s="2">
        <f>SUMPRODUCT(('Anh xa'!$D$2:$D$725=A112)*1)</f>
        <v/>
      </c>
      <c r="G112" s="2">
        <f>IF(AND(F112&gt;0,F112=E112),"✓","THIẾU")</f>
        <v/>
      </c>
    </row>
    <row r="113">
      <c r="A113" s="2" t="inlineStr">
        <is>
          <t>EX-explain-more</t>
        </is>
      </c>
      <c r="B113" s="2" t="inlineStr">
        <is>
          <t>Lớp giải thích</t>
        </is>
      </c>
      <c r="C113" s="2" t="inlineStr">
        <is>
          <t>Nút 'Giải thích thêm' → tác tử trả lời</t>
        </is>
      </c>
      <c r="D113" s="2" t="inlineStr">
        <is>
          <t>A2.1.1</t>
        </is>
      </c>
      <c r="E113" s="2" t="n">
        <v>1</v>
      </c>
      <c r="F113" s="2">
        <f>SUMPRODUCT(('Anh xa'!$D$2:$D$725=A113)*1)</f>
        <v/>
      </c>
      <c r="G113" s="2">
        <f>IF(AND(F113&gt;0,F113=E113),"✓","THIẾU")</f>
        <v/>
      </c>
    </row>
    <row r="114">
      <c r="A114" s="2" t="inlineStr">
        <is>
          <t>EX-habit</t>
        </is>
      </c>
      <c r="B114" s="2" t="inlineStr">
        <is>
          <t>Lớp giải thích</t>
        </is>
      </c>
      <c r="C114" s="2" t="inlineStr">
        <is>
          <t>Thói quen trình bày theo người dùng</t>
        </is>
      </c>
      <c r="D114" s="2" t="inlineStr">
        <is>
          <t>A13.3, A13.3.1</t>
        </is>
      </c>
      <c r="E114" s="2" t="n">
        <v>2</v>
      </c>
      <c r="F114" s="2">
        <f>SUMPRODUCT(('Anh xa'!$D$2:$D$725=A114)*1)</f>
        <v/>
      </c>
      <c r="G114" s="2">
        <f>IF(AND(F114&gt;0,F114=E114),"✓","THIẾU")</f>
        <v/>
      </c>
    </row>
    <row r="115">
      <c r="A115" s="2" t="inlineStr">
        <is>
          <t>PR1</t>
        </is>
      </c>
      <c r="B115" s="2" t="inlineStr">
        <is>
          <t>Quy tắc trình bày</t>
        </is>
      </c>
      <c r="C115" s="2" t="inlineStr">
        <is>
          <t>Tóm tắt trước, chi tiết sau (gập)</t>
        </is>
      </c>
      <c r="D115" s="2" t="inlineStr">
        <is>
          <t>A2.1.0</t>
        </is>
      </c>
      <c r="E115" s="2" t="n">
        <v>1</v>
      </c>
      <c r="F115" s="2">
        <f>SUMPRODUCT(('Anh xa'!$D$2:$D$725=A115)*1)</f>
        <v/>
      </c>
      <c r="G115" s="2">
        <f>IF(AND(F115&gt;0,F115=E115),"✓","THIẾU")</f>
        <v/>
      </c>
    </row>
    <row r="116">
      <c r="A116" s="2" t="inlineStr">
        <is>
          <t>PR2</t>
        </is>
      </c>
      <c r="B116" s="2" t="inlineStr">
        <is>
          <t>Quy tắc trình bày</t>
        </is>
      </c>
      <c r="C116" s="2" t="inlineStr">
        <is>
          <t>Mọi con số là liên kết ra nguồn</t>
        </is>
      </c>
      <c r="D116" s="2" t="inlineStr">
        <is>
          <t>A1.1.1, A2.1.2, A2.2.1, A2.3.1, A4.2.1, A5.2.1, A5.4.1, A5.5.1, A7.1.1, A8.2.1</t>
        </is>
      </c>
      <c r="E116" s="2" t="n">
        <v>10</v>
      </c>
      <c r="F116" s="2">
        <f>SUMPRODUCT(('Anh xa'!$D$2:$D$725=A116)*1)</f>
        <v/>
      </c>
      <c r="G116" s="2">
        <f>IF(AND(F116&gt;0,F116=E116),"✓","THIẾU")</f>
        <v/>
      </c>
    </row>
    <row r="117">
      <c r="A117" s="2" t="inlineStr">
        <is>
          <t>PR3</t>
        </is>
      </c>
      <c r="B117" s="2" t="inlineStr">
        <is>
          <t>Quy tắc trình bày</t>
        </is>
      </c>
      <c r="C117" s="2" t="inlineStr">
        <is>
          <t>Luôn nói khác biệt; băng STALE</t>
        </is>
      </c>
      <c r="D117" s="2" t="inlineStr">
        <is>
          <t>A0.1.6, A2.1.6, A2.1.7, A9.2.4</t>
        </is>
      </c>
      <c r="E117" s="2" t="n">
        <v>4</v>
      </c>
      <c r="F117" s="2">
        <f>SUMPRODUCT(('Anh xa'!$D$2:$D$725=A117)*1)</f>
        <v/>
      </c>
      <c r="G117" s="2">
        <f>IF(AND(F117&gt;0,F117=E117),"✓","THIẾU")</f>
        <v/>
      </c>
    </row>
    <row r="118">
      <c r="A118" s="2" t="inlineStr">
        <is>
          <t>PR4</t>
        </is>
      </c>
      <c r="B118" s="2" t="inlineStr">
        <is>
          <t>Quy tắc trình bày</t>
        </is>
      </c>
      <c r="C118" s="2" t="inlineStr">
        <is>
          <t>Chỉ ra đúng một việc cần người</t>
        </is>
      </c>
      <c r="D118" s="2" t="inlineStr">
        <is>
          <t>A2.1.0</t>
        </is>
      </c>
      <c r="E118" s="2" t="n">
        <v>1</v>
      </c>
      <c r="F118" s="2">
        <f>SUMPRODUCT(('Anh xa'!$D$2:$D$725=A118)*1)</f>
        <v/>
      </c>
      <c r="G118" s="2">
        <f>IF(AND(F118&gt;0,F118=E118),"✓","THIẾU")</f>
        <v/>
      </c>
    </row>
    <row r="119">
      <c r="A119" s="2" t="inlineStr">
        <is>
          <t>PR5</t>
        </is>
      </c>
      <c r="B119" s="2" t="inlineStr">
        <is>
          <t>Quy tắc trình bày</t>
        </is>
      </c>
      <c r="C119" s="2" t="inlineStr">
        <is>
          <t>Không giấu thất bại — khối riêng</t>
        </is>
      </c>
      <c r="D119" s="2" t="inlineStr">
        <is>
          <t>A1.4.1, A2.5.1, A2.6.1, A3.1.3, A3.2.3, A3.5.1, A4.3.2, A4.5.1, A5.5.2, A5.7.1, A5.9.7, A6.1.1, A7.3.2, A8.2.4, A8.2.5, A9.1.2, A9.2.2, A9.4.3</t>
        </is>
      </c>
      <c r="E119" s="2" t="n">
        <v>18</v>
      </c>
      <c r="F119" s="2">
        <f>SUMPRODUCT(('Anh xa'!$D$2:$D$725=A119)*1)</f>
        <v/>
      </c>
      <c r="G119" s="2">
        <f>IF(AND(F119&gt;0,F119=E119),"✓","THIẾU")</f>
        <v/>
      </c>
    </row>
    <row r="120">
      <c r="A120" s="2" t="inlineStr">
        <is>
          <t>ED1</t>
        </is>
      </c>
      <c r="B120" s="2" t="inlineStr">
        <is>
          <t>Đồng bộ khi người sửa</t>
        </is>
      </c>
      <c r="C120" s="2" t="inlineStr">
        <is>
          <t>Sửa trên Surface bằng widget đúng loại; cảnh báo soft-lock</t>
        </is>
      </c>
      <c r="D120" s="2" t="inlineStr">
        <is>
          <t>A2.1.3, A5.2.2, A7.1.3</t>
        </is>
      </c>
      <c r="E120" s="2" t="n">
        <v>3</v>
      </c>
      <c r="F120" s="2">
        <f>SUMPRODUCT(('Anh xa'!$D$2:$D$725=A120)*1)</f>
        <v/>
      </c>
      <c r="G120" s="2">
        <f>IF(AND(F120&gt;0,F120=E120),"✓","THIẾU")</f>
        <v/>
      </c>
    </row>
    <row r="121">
      <c r="A121" s="2" t="inlineStr">
        <is>
          <t>ED2</t>
        </is>
      </c>
      <c r="B121" s="2" t="inlineStr">
        <is>
          <t>Đồng bộ khi người sửa</t>
        </is>
      </c>
      <c r="C121" s="2" t="inlineStr">
        <is>
          <t>Lưu → HumanAct edit qua Console; dòng '[Bạn] Sửa…'</t>
        </is>
      </c>
      <c r="D121" s="2" t="inlineStr">
        <is>
          <t>A1.1.2, A2.1.3, A7.1.2</t>
        </is>
      </c>
      <c r="E121" s="2" t="n">
        <v>3</v>
      </c>
      <c r="F121" s="2">
        <f>SUMPRODUCT(('Anh xa'!$D$2:$D$725=A121)*1)</f>
        <v/>
      </c>
      <c r="G121" s="2">
        <f>IF(AND(F121&gt;0,F121=E121),"✓","THIẾU")</f>
        <v/>
      </c>
    </row>
    <row r="122">
      <c r="A122" s="2" t="inlineStr">
        <is>
          <t>ED3</t>
        </is>
      </c>
      <c r="B122" s="2" t="inlineStr">
        <is>
          <t>Đồng bộ khi người sửa</t>
        </is>
      </c>
      <c r="C122" s="2" t="inlineStr">
        <is>
          <t>Kiểm lược đồ + 3-way merge; xung đột → thẻ hai bản</t>
        </is>
      </c>
      <c r="D122" s="2" t="inlineStr">
        <is>
          <t>A11.3.2, A4.2.3, A7.1.4</t>
        </is>
      </c>
      <c r="E122" s="2" t="n">
        <v>3</v>
      </c>
      <c r="F122" s="2">
        <f>SUMPRODUCT(('Anh xa'!$D$2:$D$725=A122)*1)</f>
        <v/>
      </c>
      <c r="G122" s="2">
        <f>IF(AND(F122&gt;0,F122=E122),"✓","THIẾU")</f>
        <v/>
      </c>
    </row>
    <row r="123">
      <c r="A123" s="2" t="inlineStr">
        <is>
          <t>ED4</t>
        </is>
      </c>
      <c r="B123" s="2" t="inlineStr">
        <is>
          <t>Đồng bộ khi người sửa</t>
        </is>
      </c>
      <c r="C123" s="2" t="inlineStr">
        <is>
          <t>Changeset author=human; STALE hạ nguồn</t>
        </is>
      </c>
      <c r="D123" s="2" t="inlineStr">
        <is>
          <t>A2.1.7</t>
        </is>
      </c>
      <c r="E123" s="2" t="n">
        <v>1</v>
      </c>
      <c r="F123" s="2">
        <f>SUMPRODUCT(('Anh xa'!$D$2:$D$725=A123)*1)</f>
        <v/>
      </c>
      <c r="G123" s="2">
        <f>IF(AND(F123&gt;0,F123=E123),"✓","THIẾU")</f>
        <v/>
      </c>
    </row>
    <row r="124">
      <c r="A124" s="2" t="inlineStr">
        <is>
          <t>ED5</t>
        </is>
      </c>
      <c r="B124" s="2" t="inlineStr">
        <is>
          <t>Đồng bộ khi người sửa</t>
        </is>
      </c>
      <c r="C124" s="2" t="inlineStr">
        <is>
          <t>Đồng bộ: EIDE.md §Người vừa sửa; &lt;human_edits&gt;; Fact NGƯỜI</t>
        </is>
      </c>
      <c r="D124" s="2" t="inlineStr">
        <is>
          <t>A14.2.1, A14.2.2</t>
        </is>
      </c>
      <c r="E124" s="2" t="n">
        <v>2</v>
      </c>
      <c r="F124" s="2">
        <f>SUMPRODUCT(('Anh xa'!$D$2:$D$725=A124)*1)</f>
        <v/>
      </c>
      <c r="G124" s="2">
        <f>IF(AND(F124&gt;0,F124=E124),"✓","THIẾU")</f>
        <v/>
      </c>
    </row>
    <row r="125">
      <c r="A125" s="2" t="inlineStr">
        <is>
          <t>ED6</t>
        </is>
      </c>
      <c r="B125" s="2" t="inlineStr">
        <is>
          <t>Đồng bộ khi người sửa</t>
        </is>
      </c>
      <c r="C125" s="2" t="inlineStr">
        <is>
          <t>Tác tử phản hồi: nhắc, hệ quả, đề nghị; không ghi đè</t>
        </is>
      </c>
      <c r="D125" s="2" t="inlineStr">
        <is>
          <t>A11.4.1, A14.2.2</t>
        </is>
      </c>
      <c r="E125" s="2" t="n">
        <v>2</v>
      </c>
      <c r="F125" s="2">
        <f>SUMPRODUCT(('Anh xa'!$D$2:$D$725=A125)*1)</f>
        <v/>
      </c>
      <c r="G125" s="2">
        <f>IF(AND(F125&gt;0,F125=E125),"✓","THIẾU")</f>
        <v/>
      </c>
    </row>
    <row r="126">
      <c r="A126" s="2" t="inlineStr">
        <is>
          <t>EDK-content</t>
        </is>
      </c>
      <c r="B126" s="2" t="inlineStr">
        <is>
          <t>Loại sửa của người</t>
        </is>
      </c>
      <c r="C126" s="2" t="inlineStr">
        <is>
          <t>Sửa nội dung → STALE + đề nghị</t>
        </is>
      </c>
      <c r="D126" s="2" t="inlineStr">
        <is>
          <t>A2.1.3, A2.1.4, A2.3.4, A5.1.2, A7.1.2</t>
        </is>
      </c>
      <c r="E126" s="2" t="n">
        <v>5</v>
      </c>
      <c r="F126" s="2">
        <f>SUMPRODUCT(('Anh xa'!$D$2:$D$725=A126)*1)</f>
        <v/>
      </c>
      <c r="G126" s="2">
        <f>IF(AND(F126&gt;0,F126=E126),"✓","THIẾU")</f>
        <v/>
      </c>
    </row>
    <row r="127">
      <c r="A127" s="2" t="inlineStr">
        <is>
          <t>EDK-decision</t>
        </is>
      </c>
      <c r="B127" s="2" t="inlineStr">
        <is>
          <t>Loại sửa của người</t>
        </is>
      </c>
      <c r="C127" s="2" t="inlineStr">
        <is>
          <t>Sửa quyết định → ADR mới, hỏi nhánh</t>
        </is>
      </c>
      <c r="D127" s="2" t="inlineStr">
        <is>
          <t>A2.3.3, A2.4.2</t>
        </is>
      </c>
      <c r="E127" s="2" t="n">
        <v>2</v>
      </c>
      <c r="F127" s="2">
        <f>SUMPRODUCT(('Anh xa'!$D$2:$D$725=A127)*1)</f>
        <v/>
      </c>
      <c r="G127" s="2">
        <f>IF(AND(F127&gt;0,F127=E127),"✓","THIẾU")</f>
        <v/>
      </c>
    </row>
    <row r="128">
      <c r="A128" s="2" t="inlineStr">
        <is>
          <t>EDK-presentation</t>
        </is>
      </c>
      <c r="B128" s="2" t="inlineStr">
        <is>
          <t>Loại sửa của người</t>
        </is>
      </c>
      <c r="C128" s="2" t="inlineStr">
        <is>
          <t>Sửa trình bày → không STALE</t>
        </is>
      </c>
      <c r="D128" s="2" t="inlineStr">
        <is>
          <t>A5.1.2</t>
        </is>
      </c>
      <c r="E128" s="2" t="n">
        <v>1</v>
      </c>
      <c r="F128" s="2">
        <f>SUMPRODUCT(('Anh xa'!$D$2:$D$725=A128)*1)</f>
        <v/>
      </c>
      <c r="G128" s="2">
        <f>IF(AND(F128&gt;0,F128=E128),"✓","THIẾU")</f>
        <v/>
      </c>
    </row>
    <row r="129">
      <c r="A129" s="2" t="inlineStr">
        <is>
          <t>EDK-reject</t>
        </is>
      </c>
      <c r="B129" s="2" t="inlineStr">
        <is>
          <t>Loại sửa của người</t>
        </is>
      </c>
      <c r="C129" s="2" t="inlineStr">
        <is>
          <t>Bác bỏ → EIDE.md §Đừng</t>
        </is>
      </c>
      <c r="D129" s="2" t="inlineStr">
        <is>
          <t>A2.1.5, A2.2.2, A5.5.3</t>
        </is>
      </c>
      <c r="E129" s="2" t="n">
        <v>3</v>
      </c>
      <c r="F129" s="2">
        <f>SUMPRODUCT(('Anh xa'!$D$2:$D$725=A129)*1)</f>
        <v/>
      </c>
      <c r="G129" s="2">
        <f>IF(AND(F129&gt;0,F129=E129),"✓","THIẾU")</f>
        <v/>
      </c>
    </row>
    <row r="130">
      <c r="A130" s="2" t="inlineStr">
        <is>
          <t>EDK-lockbroken</t>
        </is>
      </c>
      <c r="B130" s="2" t="inlineStr">
        <is>
          <t>Loại sửa của người</t>
        </is>
      </c>
      <c r="C130" s="2" t="inlineStr">
        <is>
          <t>Sửa tệp đang khoá → merge, không ghi đè</t>
        </is>
      </c>
      <c r="D130" s="2" t="inlineStr">
        <is>
          <t>A7.1.3</t>
        </is>
      </c>
      <c r="E130" s="2" t="n">
        <v>1</v>
      </c>
      <c r="F130" s="2">
        <f>SUMPRODUCT(('Anh xa'!$D$2:$D$725=A130)*1)</f>
        <v/>
      </c>
      <c r="G130" s="2">
        <f>IF(AND(F130&gt;0,F130=E130),"✓","THIẾU")</f>
        <v/>
      </c>
    </row>
    <row r="131">
      <c r="A131" s="2" t="inlineStr">
        <is>
          <t>CS-unit</t>
        </is>
      </c>
      <c r="B131" s="2" t="inlineStr">
        <is>
          <t>Changeset &amp; rollback</t>
        </is>
      </c>
      <c r="C131" s="2" t="inlineStr">
        <is>
          <t>Changeset: tác giả, inverse ops, reversible</t>
        </is>
      </c>
      <c r="D131" s="2" t="inlineStr">
        <is>
          <t>A11.1, A11.1.1</t>
        </is>
      </c>
      <c r="E131" s="2" t="n">
        <v>2</v>
      </c>
      <c r="F131" s="2">
        <f>SUMPRODUCT(('Anh xa'!$D$2:$D$725=A131)*1)</f>
        <v/>
      </c>
      <c r="G131" s="2">
        <f>IF(AND(F131&gt;0,F131=E131),"✓","THIẾU")</f>
        <v/>
      </c>
    </row>
    <row r="132">
      <c r="A132" s="2" t="inlineStr">
        <is>
          <t>CS-undo1</t>
        </is>
      </c>
      <c r="B132" s="2" t="inlineStr">
        <is>
          <t>Changeset &amp; rollback</t>
        </is>
      </c>
      <c r="C132" s="2" t="inlineStr">
        <is>
          <t>Hoàn tác một changeset</t>
        </is>
      </c>
      <c r="D132" s="2" t="inlineStr">
        <is>
          <t>A11.1.3, A7.2.2</t>
        </is>
      </c>
      <c r="E132" s="2" t="n">
        <v>2</v>
      </c>
      <c r="F132" s="2">
        <f>SUMPRODUCT(('Anh xa'!$D$2:$D$725=A132)*1)</f>
        <v/>
      </c>
      <c r="G132" s="2">
        <f>IF(AND(F132&gt;0,F132=E132),"✓","THIẾU")</f>
        <v/>
      </c>
    </row>
    <row r="133">
      <c r="A133" s="2" t="inlineStr">
        <is>
          <t>CS-undo2</t>
        </is>
      </c>
      <c r="B133" s="2" t="inlineStr">
        <is>
          <t>Changeset &amp; rollback</t>
        </is>
      </c>
      <c r="C133" s="2" t="inlineStr">
        <is>
          <t>Hoàn tác cả lượt (G-HIST)</t>
        </is>
      </c>
      <c r="D133" s="2" t="inlineStr">
        <is>
          <t>A11.1.4</t>
        </is>
      </c>
      <c r="E133" s="2" t="n">
        <v>1</v>
      </c>
      <c r="F133" s="2">
        <f>SUMPRODUCT(('Anh xa'!$D$2:$D$725=A133)*1)</f>
        <v/>
      </c>
      <c r="G133" s="2">
        <f>IF(AND(F133&gt;0,F133=E133),"✓","THIẾU")</f>
        <v/>
      </c>
    </row>
    <row r="134">
      <c r="A134" s="2" t="inlineStr">
        <is>
          <t>CS-undo3</t>
        </is>
      </c>
      <c r="B134" s="2" t="inlineStr">
        <is>
          <t>Changeset &amp; rollback</t>
        </is>
      </c>
      <c r="C134" s="2" t="inlineStr">
        <is>
          <t>Về snapshot (G-HIST)</t>
        </is>
      </c>
      <c r="D134" s="2" t="inlineStr">
        <is>
          <t>A11.2.3</t>
        </is>
      </c>
      <c r="E134" s="2" t="n">
        <v>1</v>
      </c>
      <c r="F134" s="2">
        <f>SUMPRODUCT(('Anh xa'!$D$2:$D$725=A134)*1)</f>
        <v/>
      </c>
      <c r="G134" s="2">
        <f>IF(AND(F134&gt;0,F134=E134),"✓","THIẾU")</f>
        <v/>
      </c>
    </row>
    <row r="135">
      <c r="A135" s="2" t="inlineStr">
        <is>
          <t>CS-irreversible</t>
        </is>
      </c>
      <c r="B135" s="2" t="inlineStr">
        <is>
          <t>Changeset &amp; rollback</t>
        </is>
      </c>
      <c r="C135" s="2" t="inlineStr">
        <is>
          <t>Hành động không hoàn tác được — cảnh báo, đề nghị snapshot</t>
        </is>
      </c>
      <c r="D135" s="2" t="inlineStr">
        <is>
          <t>A11.1.1, A9.2.3, A9.2.4</t>
        </is>
      </c>
      <c r="E135" s="2" t="n">
        <v>3</v>
      </c>
      <c r="F135" s="2">
        <f>SUMPRODUCT(('Anh xa'!$D$2:$D$725=A135)*1)</f>
        <v/>
      </c>
      <c r="G135" s="2">
        <f>IF(AND(F135&gt;0,F135=E135),"✓","THIẾU")</f>
        <v/>
      </c>
    </row>
    <row r="136">
      <c r="A136" s="2" t="inlineStr">
        <is>
          <t>CS-stale</t>
        </is>
      </c>
      <c r="B136" s="2" t="inlineStr">
        <is>
          <t>Changeset &amp; rollback</t>
        </is>
      </c>
      <c r="C136" s="2" t="inlineStr">
        <is>
          <t>Đồ thị phụ thuộc + STALE + chấp nhận STALE</t>
        </is>
      </c>
      <c r="D136" s="2" t="inlineStr">
        <is>
          <t>A0.1.6, A11.4, A11.4.1, A14.5.1, A2.1.7, A5.9.6</t>
        </is>
      </c>
      <c r="E136" s="2" t="n">
        <v>6</v>
      </c>
      <c r="F136" s="2">
        <f>SUMPRODUCT(('Anh xa'!$D$2:$D$725=A136)*1)</f>
        <v/>
      </c>
      <c r="G136" s="2">
        <f>IF(AND(F136&gt;0,F136=E136),"✓","THIẾU")</f>
        <v/>
      </c>
    </row>
    <row r="137">
      <c r="A137" s="2" t="inlineStr">
        <is>
          <t>CS-branch</t>
        </is>
      </c>
      <c r="B137" s="2" t="inlineStr">
        <is>
          <t>Changeset &amp; rollback</t>
        </is>
      </c>
      <c r="C137" s="2" t="inlineStr">
        <is>
          <t>Rẽ nhánh phương án; so sánh; gộp</t>
        </is>
      </c>
      <c r="D137" s="2" t="inlineStr">
        <is>
          <t>A0.1.1, A11.3, A11.3.1, A11.3.2, A2.3.5</t>
        </is>
      </c>
      <c r="E137" s="2" t="n">
        <v>5</v>
      </c>
      <c r="F137" s="2">
        <f>SUMPRODUCT(('Anh xa'!$D$2:$D$725=A137)*1)</f>
        <v/>
      </c>
      <c r="G137" s="2">
        <f>IF(AND(F137&gt;0,F137=E137),"✓","THIẾU")</f>
        <v/>
      </c>
    </row>
    <row r="138">
      <c r="A138" s="2" t="inlineStr">
        <is>
          <t>CS-undo30s</t>
        </is>
      </c>
      <c r="B138" s="2" t="inlineStr">
        <is>
          <t>Changeset &amp; rollback</t>
        </is>
      </c>
      <c r="C138" s="2" t="inlineStr">
        <is>
          <t>Hoàn tác lượt vừa xong trong 30 s không cần thẻ</t>
        </is>
      </c>
      <c r="D138" s="2" t="inlineStr">
        <is>
          <t>A1.3.5, A1.4.4</t>
        </is>
      </c>
      <c r="E138" s="2" t="n">
        <v>2</v>
      </c>
      <c r="F138" s="2">
        <f>SUMPRODUCT(('Anh xa'!$D$2:$D$725=A138)*1)</f>
        <v/>
      </c>
      <c r="G138" s="2">
        <f>IF(AND(F138&gt;0,F138=E138),"✓","THIẾU")</f>
        <v/>
      </c>
    </row>
    <row r="139">
      <c r="A139" s="2" t="inlineStr">
        <is>
          <t>SN-human</t>
        </is>
      </c>
      <c r="B139" s="2" t="inlineStr">
        <is>
          <t>Snapshot</t>
        </is>
      </c>
      <c r="C139" s="2" t="inlineStr">
        <is>
          <t>Người ghi bản ưng ý bất cứ lúc nào</t>
        </is>
      </c>
      <c r="D139" s="2" t="inlineStr">
        <is>
          <t>A1.4.5, A11.1.5, A11.2, A11.2.2, A5.8.9</t>
        </is>
      </c>
      <c r="E139" s="2" t="n">
        <v>5</v>
      </c>
      <c r="F139" s="2">
        <f>SUMPRODUCT(('Anh xa'!$D$2:$D$725=A139)*1)</f>
        <v/>
      </c>
      <c r="G139" s="2">
        <f>IF(AND(F139&gt;0,F139=E139),"✓","THIẾU")</f>
        <v/>
      </c>
    </row>
    <row r="140">
      <c r="A140" s="2" t="inlineStr">
        <is>
          <t>SN-propose</t>
        </is>
      </c>
      <c r="B140" s="2" t="inlineStr">
        <is>
          <t>Snapshot</t>
        </is>
      </c>
      <c r="C140" s="2" t="inlineStr">
        <is>
          <t>Tác tử đề xuất sau mốc (G-SNAP)</t>
        </is>
      </c>
      <c r="D140" s="2" t="inlineStr">
        <is>
          <t>A11.2, A8.2.8, A9.2.3</t>
        </is>
      </c>
      <c r="E140" s="2" t="n">
        <v>3</v>
      </c>
      <c r="F140" s="2">
        <f>SUMPRODUCT(('Anh xa'!$D$2:$D$725=A140)*1)</f>
        <v/>
      </c>
      <c r="G140" s="2">
        <f>IF(AND(F140&gt;0,F140=E140),"✓","THIẾU")</f>
        <v/>
      </c>
    </row>
    <row r="141">
      <c r="A141" s="2" t="inlineStr">
        <is>
          <t>SN-checkpoint</t>
        </is>
      </c>
      <c r="B141" s="2" t="inlineStr">
        <is>
          <t>Snapshot</t>
        </is>
      </c>
      <c r="C141" s="2" t="inlineStr">
        <is>
          <t>Checkpoint ngầm trước run/hoàn tác</t>
        </is>
      </c>
      <c r="D141" s="2" t="inlineStr">
        <is>
          <t>A11.2.6</t>
        </is>
      </c>
      <c r="E141" s="2" t="n">
        <v>1</v>
      </c>
      <c r="F141" s="2">
        <f>SUMPRODUCT(('Anh xa'!$D$2:$D$725=A141)*1)</f>
        <v/>
      </c>
      <c r="G141" s="2">
        <f>IF(AND(F141&gt;0,F141=E141),"✓","THIẾU")</f>
        <v/>
      </c>
    </row>
    <row r="142">
      <c r="A142" s="2" t="inlineStr">
        <is>
          <t>SN-release</t>
        </is>
      </c>
      <c r="B142" s="2" t="inlineStr">
        <is>
          <t>Snapshot</t>
        </is>
      </c>
      <c r="C142" s="2" t="inlineStr">
        <is>
          <t>Snapshot release — điều kiện cho RDP/eFuse</t>
        </is>
      </c>
      <c r="D142" s="2" t="inlineStr">
        <is>
          <t>A11.2.1, A11.2.5, A9.5.2</t>
        </is>
      </c>
      <c r="E142" s="2" t="n">
        <v>3</v>
      </c>
      <c r="F142" s="2">
        <f>SUMPRODUCT(('Anh xa'!$D$2:$D$725=A142)*1)</f>
        <v/>
      </c>
      <c r="G142" s="2">
        <f>IF(AND(F142&gt;0,F142=E142),"✓","THIẾU")</f>
        <v/>
      </c>
    </row>
    <row r="143">
      <c r="A143" s="2" t="inlineStr">
        <is>
          <t>SN-restore</t>
        </is>
      </c>
      <c r="B143" s="2" t="inlineStr">
        <is>
          <t>Snapshot</t>
        </is>
      </c>
      <c r="C143" s="2" t="inlineStr">
        <is>
          <t>Khôi phục: liệt kê sẽ mất gì, vào nhánh mới</t>
        </is>
      </c>
      <c r="D143" s="2" t="inlineStr">
        <is>
          <t>A11.2.3</t>
        </is>
      </c>
      <c r="E143" s="2" t="n">
        <v>1</v>
      </c>
      <c r="F143" s="2">
        <f>SUMPRODUCT(('Anh xa'!$D$2:$D$725=A143)*1)</f>
        <v/>
      </c>
      <c r="G143" s="2">
        <f>IF(AND(F143&gt;0,F143=E143),"✓","THIẾU")</f>
        <v/>
      </c>
    </row>
    <row r="144">
      <c r="A144" s="2" t="inlineStr">
        <is>
          <t>SN-compare</t>
        </is>
      </c>
      <c r="B144" s="2" t="inlineStr">
        <is>
          <t>Snapshot</t>
        </is>
      </c>
      <c r="C144" s="2" t="inlineStr">
        <is>
          <t>So sánh hai snapshot</t>
        </is>
      </c>
      <c r="D144" s="2" t="inlineStr">
        <is>
          <t>A11.2.4</t>
        </is>
      </c>
      <c r="E144" s="2" t="n">
        <v>1</v>
      </c>
      <c r="F144" s="2">
        <f>SUMPRODUCT(('Anh xa'!$D$2:$D$725=A144)*1)</f>
        <v/>
      </c>
      <c r="G144" s="2">
        <f>IF(AND(F144&gt;0,F144=E144),"✓","THIẾU")</f>
        <v/>
      </c>
    </row>
    <row r="145">
      <c r="A145" s="2" t="inlineStr">
        <is>
          <t>SN-resume-info</t>
        </is>
      </c>
      <c r="B145" s="2" t="inlineStr">
        <is>
          <t>Snapshot</t>
        </is>
      </c>
      <c r="C145" s="2" t="inlineStr">
        <is>
          <t>Mở lại dự án nêu snapshot gần nhất + khoảng cách</t>
        </is>
      </c>
      <c r="D145" s="2" t="inlineStr">
        <is>
          <t>A0.1.5, A14.1.2, A14.6.13</t>
        </is>
      </c>
      <c r="E145" s="2" t="n">
        <v>3</v>
      </c>
      <c r="F145" s="2">
        <f>SUMPRODUCT(('Anh xa'!$D$2:$D$725=A145)*1)</f>
        <v/>
      </c>
      <c r="G145" s="2">
        <f>IF(AND(F145&gt;0,F145=E145),"✓","THIẾU")</f>
        <v/>
      </c>
    </row>
    <row r="146">
      <c r="A146" s="2" t="inlineStr">
        <is>
          <t>SN-export</t>
        </is>
      </c>
      <c r="B146" s="2" t="inlineStr">
        <is>
          <t>Snapshot</t>
        </is>
      </c>
      <c r="C146" s="2" t="inlineStr">
        <is>
          <t>Xuất gói release</t>
        </is>
      </c>
      <c r="D146" s="2" t="inlineStr">
        <is>
          <t>A11.2.5, A14.1.3</t>
        </is>
      </c>
      <c r="E146" s="2" t="n">
        <v>2</v>
      </c>
      <c r="F146" s="2">
        <f>SUMPRODUCT(('Anh xa'!$D$2:$D$725=A146)*1)</f>
        <v/>
      </c>
      <c r="G146" s="2">
        <f>IF(AND(F146&gt;0,F146=E146),"✓","THIẾU")</f>
        <v/>
      </c>
    </row>
    <row r="147">
      <c r="A147" s="2" t="inlineStr">
        <is>
          <t>T-VANG</t>
        </is>
      </c>
      <c r="B147" s="2" t="inlineStr">
        <is>
          <t>Tầng dữ liệu</t>
        </is>
      </c>
      <c r="C147" s="2" t="inlineStr">
        <is>
          <t>Tầng VÀNG — nền vàng, khoá, mở trang nguồn</t>
        </is>
      </c>
      <c r="D147" s="2" t="inlineStr">
        <is>
          <t>A0.1.3, A4.2.1</t>
        </is>
      </c>
      <c r="E147" s="2" t="n">
        <v>2</v>
      </c>
      <c r="F147" s="2">
        <f>SUMPRODUCT(('Anh xa'!$D$2:$D$725=A147)*1)</f>
        <v/>
      </c>
      <c r="G147" s="2">
        <f>IF(AND(F147&gt;0,F147=E147),"✓","THIẾU")</f>
        <v/>
      </c>
    </row>
    <row r="148">
      <c r="A148" s="2" t="inlineStr">
        <is>
          <t>T-BAC</t>
        </is>
      </c>
      <c r="B148" s="2" t="inlineStr">
        <is>
          <t>Tầng dữ liệu</t>
        </is>
      </c>
      <c r="C148" s="2" t="inlineStr">
        <is>
          <t>Tầng BẠC — nền xám, nút Xác nhận</t>
        </is>
      </c>
      <c r="D148" s="2" t="inlineStr">
        <is>
          <t>A0.1.3, A4.2.1, A4.2.2</t>
        </is>
      </c>
      <c r="E148" s="2" t="n">
        <v>3</v>
      </c>
      <c r="F148" s="2">
        <f>SUMPRODUCT(('Anh xa'!$D$2:$D$725=A148)*1)</f>
        <v/>
      </c>
      <c r="G148" s="2">
        <f>IF(AND(F148&gt;0,F148=E148),"✓","THIẾU")</f>
        <v/>
      </c>
    </row>
    <row r="149">
      <c r="A149" s="2" t="inlineStr">
        <is>
          <t>T-NGUOI</t>
        </is>
      </c>
      <c r="B149" s="2" t="inlineStr">
        <is>
          <t>Tầng dữ liệu</t>
        </is>
      </c>
      <c r="C149" s="2" t="inlineStr">
        <is>
          <t>Tầng NGƯỜI — 'anh cho, chưa có tài liệu', nút Tìm tài liệu</t>
        </is>
      </c>
      <c r="D149" s="2" t="inlineStr">
        <is>
          <t>A0.1.3, A3.6.14, A4.2.1, A4.2.3, A4.2.4, A9.4.4</t>
        </is>
      </c>
      <c r="E149" s="2" t="n">
        <v>6</v>
      </c>
      <c r="F149" s="2">
        <f>SUMPRODUCT(('Anh xa'!$D$2:$D$725=A149)*1)</f>
        <v/>
      </c>
      <c r="G149" s="2">
        <f>IF(AND(F149&gt;0,F149=E149),"✓","THIẾU")</f>
        <v/>
      </c>
    </row>
    <row r="150">
      <c r="A150" s="2" t="inlineStr">
        <is>
          <t>T-DONG</t>
        </is>
      </c>
      <c r="B150" s="2" t="inlineStr">
        <is>
          <t>Tầng dữ liệu</t>
        </is>
      </c>
      <c r="C150" s="2" t="inlineStr">
        <is>
          <t>Tầng ĐỒNG — nghiêng, 'chưa kiểm chứng'</t>
        </is>
      </c>
      <c r="D150" s="2" t="inlineStr">
        <is>
          <t>A0.1.3, A2.3.2, A3.5.1, A3.6.6, A4.2.1, A4.4.1</t>
        </is>
      </c>
      <c r="E150" s="2" t="n">
        <v>6</v>
      </c>
      <c r="F150" s="2">
        <f>SUMPRODUCT(('Anh xa'!$D$2:$D$725=A150)*1)</f>
        <v/>
      </c>
      <c r="G150" s="2">
        <f>IF(AND(F150&gt;0,F150=E150),"✓","THIẾU")</f>
        <v/>
      </c>
    </row>
    <row r="151">
      <c r="A151" s="2" t="inlineStr">
        <is>
          <t>DS1</t>
        </is>
      </c>
      <c r="B151" s="2" t="inlineStr">
        <is>
          <t>Luồng datasheet</t>
        </is>
      </c>
      <c r="C151" s="2" t="inlineStr">
        <is>
          <t>Kích hoạt: nạp tệp hoặc thẻ đề nghị 3 lựa chọn</t>
        </is>
      </c>
      <c r="D151" s="2" t="inlineStr">
        <is>
          <t>A1.2.2, A1.3.2, A3.1, A3.1.1, A4.1.3, A5.8.8</t>
        </is>
      </c>
      <c r="E151" s="2" t="n">
        <v>6</v>
      </c>
      <c r="F151" s="2">
        <f>SUMPRODUCT(('Anh xa'!$D$2:$D$725=A151)*1)</f>
        <v/>
      </c>
      <c r="G151" s="2">
        <f>IF(AND(F151&gt;0,F151=E151),"✓","THIẾU")</f>
        <v/>
      </c>
    </row>
    <row r="152">
      <c r="A152" s="2" t="inlineStr">
        <is>
          <t>DS2</t>
        </is>
      </c>
      <c r="B152" s="2" t="inlineStr">
        <is>
          <t>Luồng datasheet</t>
        </is>
      </c>
      <c r="C152" s="2" t="inlineStr">
        <is>
          <t>Tìm: ứng viên có nguồn/phiên bản/hash</t>
        </is>
      </c>
      <c r="D152" s="2" t="inlineStr">
        <is>
          <t>A3.2, A3.2.1, A4.2.4</t>
        </is>
      </c>
      <c r="E152" s="2" t="n">
        <v>3</v>
      </c>
      <c r="F152" s="2">
        <f>SUMPRODUCT(('Anh xa'!$D$2:$D$725=A152)*1)</f>
        <v/>
      </c>
      <c r="G152" s="2">
        <f>IF(AND(F152&gt;0,F152=E152),"✓","THIẾU")</f>
        <v/>
      </c>
    </row>
    <row r="153">
      <c r="A153" s="2" t="inlineStr">
        <is>
          <t>DS3</t>
        </is>
      </c>
      <c r="B153" s="2" t="inlineStr">
        <is>
          <t>Luồng datasheet</t>
        </is>
      </c>
      <c r="C153" s="2" t="inlineStr">
        <is>
          <t>Duyệt nguồn (G-DATA)</t>
        </is>
      </c>
      <c r="D153" s="2" t="inlineStr">
        <is>
          <t>A3.1.2, A3.2.2</t>
        </is>
      </c>
      <c r="E153" s="2" t="n">
        <v>2</v>
      </c>
      <c r="F153" s="2">
        <f>SUMPRODUCT(('Anh xa'!$D$2:$D$725=A153)*1)</f>
        <v/>
      </c>
      <c r="G153" s="2">
        <f>IF(AND(F153&gt;0,F153=E153),"✓","THIẾU")</f>
        <v/>
      </c>
    </row>
    <row r="154">
      <c r="A154" s="2" t="inlineStr">
        <is>
          <t>DS4</t>
        </is>
      </c>
      <c r="B154" s="2" t="inlineStr">
        <is>
          <t>Luồng datasheet</t>
        </is>
      </c>
      <c r="C154" s="2" t="inlineStr">
        <is>
          <t>Trích xuất: tiến trình, Fact ứng viên</t>
        </is>
      </c>
      <c r="D154" s="2" t="inlineStr">
        <is>
          <t>A3.3, A3.3.1</t>
        </is>
      </c>
      <c r="E154" s="2" t="n">
        <v>2</v>
      </c>
      <c r="F154" s="2">
        <f>SUMPRODUCT(('Anh xa'!$D$2:$D$725=A154)*1)</f>
        <v/>
      </c>
      <c r="G154" s="2">
        <f>IF(AND(F154&gt;0,F154=E154),"✓","THIẾU")</f>
        <v/>
      </c>
    </row>
    <row r="155">
      <c r="A155" s="2" t="inlineStr">
        <is>
          <t>DS5</t>
        </is>
      </c>
      <c r="B155" s="2" t="inlineStr">
        <is>
          <t>Luồng datasheet</t>
        </is>
      </c>
      <c r="C155" s="2" t="inlineStr">
        <is>
          <t>Rà soát Fact: xác nhận hàng loạt/từng dòng</t>
        </is>
      </c>
      <c r="D155" s="2" t="inlineStr">
        <is>
          <t>A3.6.4, A4.2.2, A4.2.5</t>
        </is>
      </c>
      <c r="E155" s="2" t="n">
        <v>3</v>
      </c>
      <c r="F155" s="2">
        <f>SUMPRODUCT(('Anh xa'!$D$2:$D$725=A155)*1)</f>
        <v/>
      </c>
      <c r="G155" s="2">
        <f>IF(AND(F155&gt;0,F155=E155),"✓","THIẾU")</f>
        <v/>
      </c>
    </row>
    <row r="156">
      <c r="A156" s="2" t="inlineStr">
        <is>
          <t>DS6</t>
        </is>
      </c>
      <c r="B156" s="2" t="inlineStr">
        <is>
          <t>Luồng datasheet</t>
        </is>
      </c>
      <c r="C156" s="2" t="inlineStr">
        <is>
          <t>Ghim hộ chiếu; đối chiếu ISA</t>
        </is>
      </c>
      <c r="D156" s="2" t="inlineStr">
        <is>
          <t>A0.1.2, A4.1</t>
        </is>
      </c>
      <c r="E156" s="2" t="n">
        <v>2</v>
      </c>
      <c r="F156" s="2">
        <f>SUMPRODUCT(('Anh xa'!$D$2:$D$725=A156)*1)</f>
        <v/>
      </c>
      <c r="G156" s="2">
        <f>IF(AND(F156&gt;0,F156=E156),"✓","THIẾU")</f>
        <v/>
      </c>
    </row>
    <row r="157">
      <c r="A157" s="2" t="inlineStr">
        <is>
          <t>DS7</t>
        </is>
      </c>
      <c r="B157" s="2" t="inlineStr">
        <is>
          <t>Luồng datasheet</t>
        </is>
      </c>
      <c r="C157" s="2" t="inlineStr">
        <is>
          <t>Phòng thủ: cảnh báo P-INJ; không tìm thấy nói thẳng</t>
        </is>
      </c>
      <c r="D157" s="2" t="inlineStr">
        <is>
          <t>A3.2.3, A3.3.2, A3.6.12</t>
        </is>
      </c>
      <c r="E157" s="2" t="n">
        <v>3</v>
      </c>
      <c r="F157" s="2">
        <f>SUMPRODUCT(('Anh xa'!$D$2:$D$725=A157)*1)</f>
        <v/>
      </c>
      <c r="G157" s="2">
        <f>IF(AND(F157&gt;0,F157=E157),"✓","THIẾU")</f>
        <v/>
      </c>
    </row>
    <row r="158">
      <c r="A158" s="2" t="inlineStr">
        <is>
          <t>LY-console3</t>
        </is>
      </c>
      <c r="B158" s="2" t="inlineStr">
        <is>
          <t>Bố cục</t>
        </is>
      </c>
      <c r="C158" s="2" t="inlineStr">
        <is>
          <t>Console 3 cỡ</t>
        </is>
      </c>
      <c r="D158" s="2" t="inlineStr">
        <is>
          <t>A1.5, A1.5.1</t>
        </is>
      </c>
      <c r="E158" s="2" t="n">
        <v>2</v>
      </c>
      <c r="F158" s="2">
        <f>SUMPRODUCT(('Anh xa'!$D$2:$D$725=A158)*1)</f>
        <v/>
      </c>
      <c r="G158" s="2">
        <f>IF(AND(F158&gt;0,F158=E158),"✓","THIẾU")</f>
        <v/>
      </c>
    </row>
    <row r="159">
      <c r="A159" s="2" t="inlineStr">
        <is>
          <t>LY-tabs</t>
        </is>
      </c>
      <c r="B159" s="2" t="inlineStr">
        <is>
          <t>Bố cục</t>
        </is>
      </c>
      <c r="C159" s="2" t="inlineStr">
        <is>
          <t>Tab 1–9 với summary + Vì sao + băng STALE + thanh tác giả</t>
        </is>
      </c>
      <c r="D159" s="2" t="inlineStr">
        <is>
          <t>A2.1.8</t>
        </is>
      </c>
      <c r="E159" s="2" t="n">
        <v>1</v>
      </c>
      <c r="F159" s="2">
        <f>SUMPRODUCT(('Anh xa'!$D$2:$D$725=A159)*1)</f>
        <v/>
      </c>
      <c r="G159" s="2">
        <f>IF(AND(F159&gt;0,F159=E159),"✓","THIẾU")</f>
        <v/>
      </c>
    </row>
    <row r="160">
      <c r="A160" s="2" t="inlineStr">
        <is>
          <t>LY-history</t>
        </is>
      </c>
      <c r="B160" s="2" t="inlineStr">
        <is>
          <t>Bố cục</t>
        </is>
      </c>
      <c r="C160" s="2" t="inlineStr">
        <is>
          <t>Tab 10 Lịch sử</t>
        </is>
      </c>
      <c r="D160" s="2" t="inlineStr">
        <is>
          <t>A11.1</t>
        </is>
      </c>
      <c r="E160" s="2" t="n">
        <v>1</v>
      </c>
      <c r="F160" s="2">
        <f>SUMPRODUCT(('Anh xa'!$D$2:$D$725=A160)*1)</f>
        <v/>
      </c>
      <c r="G160" s="2">
        <f>IF(AND(F160&gt;0,F160=E160),"✓","THIẾU")</f>
        <v/>
      </c>
    </row>
    <row r="161">
      <c r="A161" s="2" t="inlineStr">
        <is>
          <t>LY-statusbar</t>
        </is>
      </c>
      <c r="B161" s="2" t="inlineStr">
        <is>
          <t>Bố cục</t>
        </is>
      </c>
      <c r="C161" s="2" t="inlineStr">
        <is>
          <t>Thanh trạng thái: dự án, nhánh, chip, Fact theo tầng, chặng, snapshot + khoảng cách, STALE</t>
        </is>
      </c>
      <c r="D161" s="2" t="inlineStr">
        <is>
          <t>A0.1, A0.1.1, A0.1.5</t>
        </is>
      </c>
      <c r="E161" s="2" t="n">
        <v>3</v>
      </c>
      <c r="F161" s="2">
        <f>SUMPRODUCT(('Anh xa'!$D$2:$D$725=A161)*1)</f>
        <v/>
      </c>
      <c r="G161" s="2">
        <f>IF(AND(F161&gt;0,F161=E161),"✓","THIẾU")</f>
        <v/>
      </c>
    </row>
    <row r="162">
      <c r="A162" s="2" t="inlineStr">
        <is>
          <t>LY-gatecards</t>
        </is>
      </c>
      <c r="B162" s="2" t="inlineStr">
        <is>
          <t>Bố cục</t>
        </is>
      </c>
      <c r="C162" s="2" t="inlineStr">
        <is>
          <t>Thẻ cổng 11 loại</t>
        </is>
      </c>
      <c r="D162" s="2" t="inlineStr">
        <is>
          <t>A12.1</t>
        </is>
      </c>
      <c r="E162" s="2" t="n">
        <v>1</v>
      </c>
      <c r="F162" s="2">
        <f>SUMPRODUCT(('Anh xa'!$D$2:$D$725=A162)*1)</f>
        <v/>
      </c>
      <c r="G162" s="2">
        <f>IF(AND(F162&gt;0,F162=E162),"✓","THIẾU")</f>
        <v/>
      </c>
    </row>
    <row r="163">
      <c r="A163" s="2" t="inlineStr">
        <is>
          <t>LY-runcard</t>
        </is>
      </c>
      <c r="B163" s="2" t="inlineStr">
        <is>
          <t>Bố cục</t>
        </is>
      </c>
      <c r="C163" s="2" t="inlineStr">
        <is>
          <t>Thẻ Run: tiến trình, Hoàn tác 30 s, Ghi bản ưng ý</t>
        </is>
      </c>
      <c r="D163" s="2" t="inlineStr">
        <is>
          <t>A1.4</t>
        </is>
      </c>
      <c r="E163" s="2" t="n">
        <v>1</v>
      </c>
      <c r="F163" s="2">
        <f>SUMPRODUCT(('Anh xa'!$D$2:$D$725=A163)*1)</f>
        <v/>
      </c>
      <c r="G163" s="2">
        <f>IF(AND(F163&gt;0,F163=E163),"✓","THIẾU")</f>
        <v/>
      </c>
    </row>
    <row r="164">
      <c r="A164" s="2" t="inlineStr">
        <is>
          <t>CX-eide-md</t>
        </is>
      </c>
      <c r="B164" s="2" t="inlineStr">
        <is>
          <t>Ngữ cảnh tác tử</t>
        </is>
      </c>
      <c r="C164" s="2" t="inlineStr">
        <is>
          <t>EIDE.md xem/sửa được (người &amp; tác tử)</t>
        </is>
      </c>
      <c r="D164" s="2" t="inlineStr">
        <is>
          <t>A14.2, A14.2.1, A14.6.9</t>
        </is>
      </c>
      <c r="E164" s="2" t="n">
        <v>3</v>
      </c>
      <c r="F164" s="2">
        <f>SUMPRODUCT(('Anh xa'!$D$2:$D$725=A164)*1)</f>
        <v/>
      </c>
      <c r="G164" s="2">
        <f>IF(AND(F164&gt;0,F164=E164),"✓","THIẾU")</f>
        <v/>
      </c>
    </row>
    <row r="165">
      <c r="A165" s="2" t="inlineStr">
        <is>
          <t>CX-inventory</t>
        </is>
      </c>
      <c r="B165" s="2" t="inlineStr">
        <is>
          <t>Ngữ cảnh tác tử</t>
        </is>
      </c>
      <c r="C165" s="2" t="inlineStr">
        <is>
          <t>&lt;inventory&gt; hiển thị cho người</t>
        </is>
      </c>
      <c r="D165" s="2" t="inlineStr">
        <is>
          <t>A0.1.4, A1.2.4, A14.3, A14.3.1</t>
        </is>
      </c>
      <c r="E165" s="2" t="n">
        <v>4</v>
      </c>
      <c r="F165" s="2">
        <f>SUMPRODUCT(('Anh xa'!$D$2:$D$725=A165)*1)</f>
        <v/>
      </c>
      <c r="G165" s="2">
        <f>IF(AND(F165&gt;0,F165=E165),"✓","THIẾU")</f>
        <v/>
      </c>
    </row>
    <row r="166">
      <c r="A166" s="2" t="inlineStr">
        <is>
          <t>CX-skills</t>
        </is>
      </c>
      <c r="B166" s="2" t="inlineStr">
        <is>
          <t>Ngữ cảnh tác tử</t>
        </is>
      </c>
      <c r="C166" s="2" t="inlineStr">
        <is>
          <t>Skill đang nạp / gợi ý</t>
        </is>
      </c>
      <c r="D166" s="2" t="inlineStr">
        <is>
          <t>A14.6.16, A6.3, A6.3.1</t>
        </is>
      </c>
      <c r="E166" s="2" t="n">
        <v>3</v>
      </c>
      <c r="F166" s="2">
        <f>SUMPRODUCT(('Anh xa'!$D$2:$D$725=A166)*1)</f>
        <v/>
      </c>
      <c r="G166" s="2">
        <f>IF(AND(F166&gt;0,F166=E166),"✓","THIẾU")</f>
        <v/>
      </c>
    </row>
    <row r="167">
      <c r="A167" s="2" t="inlineStr">
        <is>
          <t>CX-plan</t>
        </is>
      </c>
      <c r="B167" s="2" t="inlineStr">
        <is>
          <t>Ngữ cảnh tác tử</t>
        </is>
      </c>
      <c r="C167" s="2" t="inlineStr">
        <is>
          <t>Plan mode: kế hoạch có checkbox, duyệt</t>
        </is>
      </c>
      <c r="D167" s="2" t="inlineStr">
        <is>
          <t>A1.3.3, A11.4.1, A14.4, A14.4.1, A14.4.2</t>
        </is>
      </c>
      <c r="E167" s="2" t="n">
        <v>5</v>
      </c>
      <c r="F167" s="2">
        <f>SUMPRODUCT(('Anh xa'!$D$2:$D$725=A167)*1)</f>
        <v/>
      </c>
      <c r="G167" s="2">
        <f>IF(AND(F167&gt;0,F167=E167),"✓","THIẾU")</f>
        <v/>
      </c>
    </row>
    <row r="168">
      <c r="A168" s="2" t="inlineStr">
        <is>
          <t>CX-subagent</t>
        </is>
      </c>
      <c r="B168" s="2" t="inlineStr">
        <is>
          <t>Ngữ cảnh tác tử</t>
        </is>
      </c>
      <c r="C168" s="2" t="inlineStr">
        <is>
          <t>Subagent đang chạy hiển thị trong Run</t>
        </is>
      </c>
      <c r="D168" s="2" t="inlineStr">
        <is>
          <t>A1.4.2, A14.6.14, A6.3, A6.3.2</t>
        </is>
      </c>
      <c r="E168" s="2" t="n">
        <v>4</v>
      </c>
      <c r="F168" s="2">
        <f>SUMPRODUCT(('Anh xa'!$D$2:$D$725=A168)*1)</f>
        <v/>
      </c>
      <c r="G168" s="2">
        <f>IF(AND(F168&gt;0,F168=E168),"✓","THIẾU")</f>
        <v/>
      </c>
    </row>
    <row r="169">
      <c r="A169" s="2" t="inlineStr">
        <is>
          <t>CX-budget</t>
        </is>
      </c>
      <c r="B169" s="2" t="inlineStr">
        <is>
          <t>Ngữ cảnh tác tử</t>
        </is>
      </c>
      <c r="C169" s="2" t="inlineStr">
        <is>
          <t>Ngân sách: tool/lượt, thời gian, ngữ cảnh</t>
        </is>
      </c>
      <c r="D169" s="2" t="inlineStr">
        <is>
          <t>A0.1.8, A1.1.4, A1.4.7, A13.4, A13.4.1, A14.6.1, A14.6.12</t>
        </is>
      </c>
      <c r="E169" s="2" t="n">
        <v>7</v>
      </c>
      <c r="F169" s="2">
        <f>SUMPRODUCT(('Anh xa'!$D$2:$D$725=A169)*1)</f>
        <v/>
      </c>
      <c r="G169" s="2">
        <f>IF(AND(F169&gt;0,F169=E169),"✓","THIẾU")</f>
        <v/>
      </c>
    </row>
    <row r="170">
      <c r="A170" s="2" t="inlineStr">
        <is>
          <t>CX-assumptions</t>
        </is>
      </c>
      <c r="B170" s="2" t="inlineStr">
        <is>
          <t>Ngữ cảnh tác tử</t>
        </is>
      </c>
      <c r="C170" s="2" t="inlineStr">
        <is>
          <t>Giả định đang dùng: xác nhận/bác bỏ</t>
        </is>
      </c>
      <c r="D170" s="2" t="inlineStr">
        <is>
          <t>A1.4.6, A14.3, A14.3.2</t>
        </is>
      </c>
      <c r="E170" s="2" t="n">
        <v>3</v>
      </c>
      <c r="F170" s="2">
        <f>SUMPRODUCT(('Anh xa'!$D$2:$D$725=A170)*1)</f>
        <v/>
      </c>
      <c r="G170" s="2">
        <f>IF(AND(F170&gt;0,F170=E170),"✓","THIẾU")</f>
        <v/>
      </c>
    </row>
    <row r="171">
      <c r="A171" s="2" t="inlineStr">
        <is>
          <t>MM-autonomy</t>
        </is>
      </c>
      <c r="B171" s="2" t="inlineStr">
        <is>
          <t>Bộ nhớ người dùng</t>
        </is>
      </c>
      <c r="C171" s="2" t="inlineStr">
        <is>
          <t>Mức tự chủ A0–A4</t>
        </is>
      </c>
      <c r="D171" s="2" t="inlineStr">
        <is>
          <t>A0.1.7, A13.1, A13.1.1</t>
        </is>
      </c>
      <c r="E171" s="2" t="n">
        <v>3</v>
      </c>
      <c r="F171" s="2">
        <f>SUMPRODUCT(('Anh xa'!$D$2:$D$725=A171)*1)</f>
        <v/>
      </c>
      <c r="G171" s="2">
        <f>IF(AND(F171&gt;0,F171=E171),"✓","THIẾU")</f>
        <v/>
      </c>
    </row>
    <row r="172">
      <c r="A172" s="2" t="inlineStr">
        <is>
          <t>MM-trusted</t>
        </is>
      </c>
      <c r="B172" s="2" t="inlineStr">
        <is>
          <t>Bộ nhớ người dùng</t>
        </is>
      </c>
      <c r="C172" s="2" t="inlineStr">
        <is>
          <t>Danh sách nguồn tin cậy</t>
        </is>
      </c>
      <c r="D172" s="2" t="inlineStr">
        <is>
          <t>A13.1.3, A3.2.1</t>
        </is>
      </c>
      <c r="E172" s="2" t="n">
        <v>2</v>
      </c>
      <c r="F172" s="2">
        <f>SUMPRODUCT(('Anh xa'!$D$2:$D$725=A172)*1)</f>
        <v/>
      </c>
      <c r="G172" s="2">
        <f>IF(AND(F172&gt;0,F172=E172),"✓","THIẾU")</f>
        <v/>
      </c>
    </row>
    <row r="173">
      <c r="A173" s="2" t="inlineStr">
        <is>
          <t>MM-habit</t>
        </is>
      </c>
      <c r="B173" s="2" t="inlineStr">
        <is>
          <t>Bộ nhớ người dùng</t>
        </is>
      </c>
      <c r="C173" s="2" t="inlineStr">
        <is>
          <t>Thói quen trình bày</t>
        </is>
      </c>
      <c r="D173" s="2" t="inlineStr">
        <is>
          <t>A13.3, A13.3.1, A14.6.6</t>
        </is>
      </c>
      <c r="E173" s="2" t="n">
        <v>3</v>
      </c>
      <c r="F173" s="2">
        <f>SUMPRODUCT(('Anh xa'!$D$2:$D$725=A173)*1)</f>
        <v/>
      </c>
      <c r="G173" s="2">
        <f>IF(AND(F173&gt;0,F173=E173),"✓","THIẾU")</f>
        <v/>
      </c>
    </row>
    <row r="174">
      <c r="A174" s="2" t="inlineStr">
        <is>
          <t>MM-model</t>
        </is>
      </c>
      <c r="B174" s="2" t="inlineStr">
        <is>
          <t>Bộ nhớ người dùng</t>
        </is>
      </c>
      <c r="C174" s="2" t="inlineStr">
        <is>
          <t>Chọn mô hình theo vai trò</t>
        </is>
      </c>
      <c r="D174" s="2" t="inlineStr">
        <is>
          <t>A0.1.7, A13.2, A13.2.1</t>
        </is>
      </c>
      <c r="E174" s="2" t="n">
        <v>3</v>
      </c>
      <c r="F174" s="2">
        <f>SUMPRODUCT(('Anh xa'!$D$2:$D$725=A174)*1)</f>
        <v/>
      </c>
      <c r="G174" s="2">
        <f>IF(AND(F174&gt;0,F174=E174),"✓","THIẾU")</f>
        <v/>
      </c>
    </row>
    <row r="175">
      <c r="A175" s="2" t="inlineStr">
        <is>
          <t>MM-remember</t>
        </is>
      </c>
      <c r="B175" s="2" t="inlineStr">
        <is>
          <t>Bộ nhớ người dùng</t>
        </is>
      </c>
      <c r="C175" s="2" t="inlineStr">
        <is>
          <t>'Tin' theo tool (R0–R2)</t>
        </is>
      </c>
      <c r="D175" s="2" t="inlineStr">
        <is>
          <t>A12.1.3, A13.1.2, A14.6.6, A6.2.2</t>
        </is>
      </c>
      <c r="E175" s="2" t="n">
        <v>4</v>
      </c>
      <c r="F175" s="2">
        <f>SUMPRODUCT(('Anh xa'!$D$2:$D$725=A175)*1)</f>
        <v/>
      </c>
      <c r="G175" s="2">
        <f>IF(AND(F175&gt;0,F175=E175),"✓","THIẾU")</f>
        <v/>
      </c>
    </row>
    <row r="176">
      <c r="A176" s="2" t="inlineStr">
        <is>
          <t>IN-network</t>
        </is>
      </c>
      <c r="B176" s="2" t="inlineStr">
        <is>
          <t>Sự cố (UC19)</t>
        </is>
      </c>
      <c r="C176" s="2" t="inlineStr">
        <is>
          <t>Mất mạng: báo đúng lỗi mạng, lưu trạng thái</t>
        </is>
      </c>
      <c r="D176" s="2" t="inlineStr">
        <is>
          <t>A0.1.9, A1.1.3, A10.2.1</t>
        </is>
      </c>
      <c r="E176" s="2" t="n">
        <v>3</v>
      </c>
      <c r="F176" s="2">
        <f>SUMPRODUCT(('Anh xa'!$D$2:$D$725=A176)*1)</f>
        <v/>
      </c>
      <c r="G176" s="2">
        <f>IF(AND(F176&gt;0,F176=E176),"✓","THIẾU")</f>
        <v/>
      </c>
    </row>
    <row r="177">
      <c r="A177" s="2" t="inlineStr">
        <is>
          <t>IN-timeout</t>
        </is>
      </c>
      <c r="B177" s="2" t="inlineStr">
        <is>
          <t>Sự cố (UC19)</t>
        </is>
      </c>
      <c r="C177" s="2" t="inlineStr">
        <is>
          <t>Quá 300 s: thả người, nói thật</t>
        </is>
      </c>
      <c r="D177" s="2" t="inlineStr">
        <is>
          <t>A0.1.8, A1.1.3, A10.2.1</t>
        </is>
      </c>
      <c r="E177" s="2" t="n">
        <v>3</v>
      </c>
      <c r="F177" s="2">
        <f>SUMPRODUCT(('Anh xa'!$D$2:$D$725=A177)*1)</f>
        <v/>
      </c>
      <c r="G177" s="2">
        <f>IF(AND(F177&gt;0,F177=E177),"✓","THIẾU")</f>
        <v/>
      </c>
    </row>
    <row r="178">
      <c r="A178" s="2" t="inlineStr">
        <is>
          <t>IN-llm</t>
        </is>
      </c>
      <c r="B178" s="2" t="inlineStr">
        <is>
          <t>Sự cố (UC19)</t>
        </is>
      </c>
      <c r="C178" s="2" t="inlineStr">
        <is>
          <t>LLM lỗi/quá tải: retry rồi báo</t>
        </is>
      </c>
      <c r="D178" s="2" t="inlineStr">
        <is>
          <t>A1.1.3, A10.2.1</t>
        </is>
      </c>
      <c r="E178" s="2" t="n">
        <v>2</v>
      </c>
      <c r="F178" s="2">
        <f>SUMPRODUCT(('Anh xa'!$D$2:$D$725=A178)*1)</f>
        <v/>
      </c>
      <c r="G178" s="2">
        <f>IF(AND(F178&gt;0,F178=E178),"✓","THIẾU")</f>
        <v/>
      </c>
    </row>
    <row r="179">
      <c r="A179" s="2" t="inlineStr">
        <is>
          <t>IN-resume</t>
        </is>
      </c>
      <c r="B179" s="2" t="inlineStr">
        <is>
          <t>Sự cố (UC19)</t>
        </is>
      </c>
      <c r="C179" s="2" t="inlineStr">
        <is>
          <t>Tiếp tục sau sự cố</t>
        </is>
      </c>
      <c r="D179" s="2" t="inlineStr">
        <is>
          <t>A1.4.8, A10.2.1</t>
        </is>
      </c>
      <c r="E179" s="2" t="n">
        <v>2</v>
      </c>
      <c r="F179" s="2">
        <f>SUMPRODUCT(('Anh xa'!$D$2:$D$725=A179)*1)</f>
        <v/>
      </c>
      <c r="G179" s="2">
        <f>IF(AND(F179&gt;0,F179=E179),"✓","THIẾU")</f>
        <v/>
      </c>
    </row>
    <row r="180">
      <c r="A180" s="2" t="inlineStr">
        <is>
          <t>TL-inventory</t>
        </is>
      </c>
      <c r="B180" s="2" t="inlineStr">
        <is>
          <t>Năng lực chuyên môn</t>
        </is>
      </c>
      <c r="C180" s="2" t="inlineStr">
        <is>
          <t>Kiểm kê toolchain/ISA/simulator/probe</t>
        </is>
      </c>
      <c r="D180" s="2" t="inlineStr">
        <is>
          <t>A4.1.1, A6.1, A6.1.1</t>
        </is>
      </c>
      <c r="E180" s="2" t="n">
        <v>3</v>
      </c>
      <c r="F180" s="2">
        <f>SUMPRODUCT(('Anh xa'!$D$2:$D$725=A180)*1)</f>
        <v/>
      </c>
      <c r="G180" s="2">
        <f>IF(AND(F180&gt;0,F180=E180),"✓","THIẾU")</f>
        <v/>
      </c>
    </row>
    <row r="181">
      <c r="A181" s="2" t="inlineStr">
        <is>
          <t>TL-install</t>
        </is>
      </c>
      <c r="B181" s="2" t="inlineStr">
        <is>
          <t>Năng lực chuyên môn</t>
        </is>
      </c>
      <c r="C181" s="2" t="inlineStr">
        <is>
          <t>Đề nghị cài (lệnh cụ thể) → G-TOOL</t>
        </is>
      </c>
      <c r="D181" s="2" t="inlineStr">
        <is>
          <t>A6.2, A6.2.1</t>
        </is>
      </c>
      <c r="E181" s="2" t="n">
        <v>2</v>
      </c>
      <c r="F181" s="2">
        <f>SUMPRODUCT(('Anh xa'!$D$2:$D$725=A181)*1)</f>
        <v/>
      </c>
      <c r="G181" s="2">
        <f>IF(AND(F181&gt;0,F181=E181),"✓","THIẾU")</f>
        <v/>
      </c>
    </row>
    <row r="182">
      <c r="A182" s="2" t="inlineStr">
        <is>
          <t>TL-build</t>
        </is>
      </c>
      <c r="B182" s="2" t="inlineStr">
        <is>
          <t>Năng lực chuyên môn</t>
        </is>
      </c>
      <c r="C182" s="2" t="inlineStr">
        <is>
          <t>Biên dịch; warning giải thích; Flash/RAM vs Fact</t>
        </is>
      </c>
      <c r="D182" s="2" t="inlineStr">
        <is>
          <t>A7.3, A7.3.1</t>
        </is>
      </c>
      <c r="E182" s="2" t="n">
        <v>2</v>
      </c>
      <c r="F182" s="2">
        <f>SUMPRODUCT(('Anh xa'!$D$2:$D$725=A182)*1)</f>
        <v/>
      </c>
      <c r="G182" s="2">
        <f>IF(AND(F182&gt;0,F182=E182),"✓","THIẾU")</f>
        <v/>
      </c>
    </row>
    <row r="183">
      <c r="A183" s="2" t="inlineStr">
        <is>
          <t>TL-criteria</t>
        </is>
      </c>
      <c r="B183" s="2" t="inlineStr">
        <is>
          <t>Năng lực chuyên môn</t>
        </is>
      </c>
      <c r="C183" s="2" t="inlineStr">
        <is>
          <t>Tiêu chí mô phỏng nêu trước</t>
        </is>
      </c>
      <c r="D183" s="2" t="inlineStr">
        <is>
          <t>A1.3.4, A8.1, A8.1.2</t>
        </is>
      </c>
      <c r="E183" s="2" t="n">
        <v>3</v>
      </c>
      <c r="F183" s="2">
        <f>SUMPRODUCT(('Anh xa'!$D$2:$D$725=A183)*1)</f>
        <v/>
      </c>
      <c r="G183" s="2">
        <f>IF(AND(F183&gt;0,F183=E183),"✓","THIẾU")</f>
        <v/>
      </c>
    </row>
    <row r="184">
      <c r="A184" s="2" t="inlineStr">
        <is>
          <t>TL-simrun</t>
        </is>
      </c>
      <c r="B184" s="2" t="inlineStr">
        <is>
          <t>Năng lực chuyên môn</t>
        </is>
      </c>
      <c r="C184" s="2" t="inlineStr">
        <is>
          <t>Chạy mô phỏng: log/VCD/verdict/không mô phỏng được</t>
        </is>
      </c>
      <c r="D184" s="2" t="inlineStr">
        <is>
          <t>A8.2</t>
        </is>
      </c>
      <c r="E184" s="2" t="n">
        <v>1</v>
      </c>
      <c r="F184" s="2">
        <f>SUMPRODUCT(('Anh xa'!$D$2:$D$725=A184)*1)</f>
        <v/>
      </c>
      <c r="G184" s="2">
        <f>IF(AND(F184&gt;0,F184=E184),"✓","THIẾU")</f>
        <v/>
      </c>
    </row>
    <row r="185">
      <c r="A185" s="2" t="inlineStr">
        <is>
          <t>TL-test</t>
        </is>
      </c>
      <c r="B185" s="2" t="inlineStr">
        <is>
          <t>Năng lực chuyên môn</t>
        </is>
      </c>
      <c r="C185" s="2" t="inlineStr">
        <is>
          <t>Unit test/HIL: đạt/không, độ phủ</t>
        </is>
      </c>
      <c r="D185" s="2" t="inlineStr">
        <is>
          <t>A7.5, A7.5.1</t>
        </is>
      </c>
      <c r="E185" s="2" t="n">
        <v>2</v>
      </c>
      <c r="F185" s="2">
        <f>SUMPRODUCT(('Anh xa'!$D$2:$D$725=A185)*1)</f>
        <v/>
      </c>
      <c r="G185" s="2">
        <f>IF(AND(F185&gt;0,F185=E185),"✓","THIẾU")</f>
        <v/>
      </c>
    </row>
    <row r="186">
      <c r="A186" s="2" t="inlineStr">
        <is>
          <t>TL-detect</t>
        </is>
      </c>
      <c r="B186" s="2" t="inlineStr">
        <is>
          <t>Năng lực chuyên môn</t>
        </is>
      </c>
      <c r="C186" s="2" t="inlineStr">
        <is>
          <t>Dò board: cổng, probe, ID chip ↔ hộ chiếu; checklist khi không thấy</t>
        </is>
      </c>
      <c r="D186" s="2" t="inlineStr">
        <is>
          <t>A9.1, A9.1.1, A9.1.2</t>
        </is>
      </c>
      <c r="E186" s="2" t="n">
        <v>3</v>
      </c>
      <c r="F186" s="2">
        <f>SUMPRODUCT(('Anh xa'!$D$2:$D$725=A186)*1)</f>
        <v/>
      </c>
      <c r="G186" s="2">
        <f>IF(AND(F186&gt;0,F186=E186),"✓","THIẾU")</f>
        <v/>
      </c>
    </row>
    <row r="187">
      <c r="A187" s="2" t="inlineStr">
        <is>
          <t>TL-flash</t>
        </is>
      </c>
      <c r="B187" s="2" t="inlineStr">
        <is>
          <t>Năng lực chuyên môn</t>
        </is>
      </c>
      <c r="C187" s="2" t="inlineStr">
        <is>
          <t>Nạp: tóm tắt gì→đâu, hash → G-FLASH</t>
        </is>
      </c>
      <c r="D187" s="2" t="inlineStr">
        <is>
          <t>A9.2, A9.2.1</t>
        </is>
      </c>
      <c r="E187" s="2" t="n">
        <v>2</v>
      </c>
      <c r="F187" s="2">
        <f>SUMPRODUCT(('Anh xa'!$D$2:$D$725=A187)*1)</f>
        <v/>
      </c>
      <c r="G187" s="2">
        <f>IF(AND(F187&gt;0,F187=E187),"✓","THIẾU")</f>
        <v/>
      </c>
    </row>
    <row r="188">
      <c r="A188" s="2" t="inlineStr">
        <is>
          <t>TL-verify</t>
        </is>
      </c>
      <c r="B188" s="2" t="inlineStr">
        <is>
          <t>Năng lực chuyên môn</t>
        </is>
      </c>
      <c r="C188" s="2" t="inlineStr">
        <is>
          <t>Verify; rút cáp giữa chừng → hướng khôi phục</t>
        </is>
      </c>
      <c r="D188" s="2" t="inlineStr">
        <is>
          <t>A9.2, A9.2.2</t>
        </is>
      </c>
      <c r="E188" s="2" t="n">
        <v>2</v>
      </c>
      <c r="F188" s="2">
        <f>SUMPRODUCT(('Anh xa'!$D$2:$D$725=A188)*1)</f>
        <v/>
      </c>
      <c r="G188" s="2">
        <f>IF(AND(F188&gt;0,F188=E188),"✓","THIẾU")</f>
        <v/>
      </c>
    </row>
    <row r="189">
      <c r="A189" s="2" t="inlineStr">
        <is>
          <t>TL-log</t>
        </is>
      </c>
      <c r="B189" s="2" t="inlineStr">
        <is>
          <t>Năng lực chuyên môn</t>
        </is>
      </c>
      <c r="C189" s="2" t="inlineStr">
        <is>
          <t>Log UART/RTT có dấu thời gian</t>
        </is>
      </c>
      <c r="D189" s="2" t="inlineStr">
        <is>
          <t>A9.3, A9.3.1</t>
        </is>
      </c>
      <c r="E189" s="2" t="n">
        <v>2</v>
      </c>
      <c r="F189" s="2">
        <f>SUMPRODUCT(('Anh xa'!$D$2:$D$725=A189)*1)</f>
        <v/>
      </c>
      <c r="G189" s="2">
        <f>IF(AND(F189&gt;0,F189=E189),"✓","THIẾU")</f>
        <v/>
      </c>
    </row>
    <row r="190">
      <c r="A190" s="2" t="inlineStr">
        <is>
          <t>TL-debug</t>
        </is>
      </c>
      <c r="B190" s="2" t="inlineStr">
        <is>
          <t>Năng lực chuyên môn</t>
        </is>
      </c>
      <c r="C190" s="2" t="inlineStr">
        <is>
          <t>Breakpoint, thanh ghi, backtrace</t>
        </is>
      </c>
      <c r="D190" s="2" t="inlineStr">
        <is>
          <t>A9.3, A9.3.2</t>
        </is>
      </c>
      <c r="E190" s="2" t="n">
        <v>2</v>
      </c>
      <c r="F190" s="2">
        <f>SUMPRODUCT(('Anh xa'!$D$2:$D$725=A190)*1)</f>
        <v/>
      </c>
      <c r="G190" s="2">
        <f>IF(AND(F190&gt;0,F190=E190),"✓","THIẾU")</f>
        <v/>
      </c>
    </row>
    <row r="191">
      <c r="A191" s="2" t="inlineStr">
        <is>
          <t>TL-dangerous</t>
        </is>
      </c>
      <c r="B191" s="2" t="inlineStr">
        <is>
          <t>Năng lực chuyên môn</t>
        </is>
      </c>
      <c r="C191" s="2" t="inlineStr">
        <is>
          <t>Erase/option bytes/RDP/eFuse → G-OPS</t>
        </is>
      </c>
      <c r="D191" s="2" t="inlineStr">
        <is>
          <t>A9.5</t>
        </is>
      </c>
      <c r="E191" s="2" t="n">
        <v>1</v>
      </c>
      <c r="F191" s="2">
        <f>SUMPRODUCT(('Anh xa'!$D$2:$D$725=A191)*1)</f>
        <v/>
      </c>
      <c r="G191" s="2">
        <f>IF(AND(F191&gt;0,F191=E191),"✓","THIẾU")</f>
        <v/>
      </c>
    </row>
    <row r="192">
      <c r="A192" s="2" t="inlineStr">
        <is>
          <t>TL-capture</t>
        </is>
      </c>
      <c r="B192" s="2" t="inlineStr">
        <is>
          <t>Năng lực chuyên môn</t>
        </is>
      </c>
      <c r="C192" s="2" t="inlineStr">
        <is>
          <t>Giải mã capture I2C/SPI/UART/CAN</t>
        </is>
      </c>
      <c r="D192" s="2" t="inlineStr">
        <is>
          <t>A9.4.1</t>
        </is>
      </c>
      <c r="E192" s="2" t="n">
        <v>1</v>
      </c>
      <c r="F192" s="2">
        <f>SUMPRODUCT(('Anh xa'!$D$2:$D$725=A192)*1)</f>
        <v/>
      </c>
      <c r="G192" s="2">
        <f>IF(AND(F192&gt;0,F192=E192),"✓","THIẾU")</f>
        <v/>
      </c>
    </row>
    <row r="193">
      <c r="A193" s="2" t="inlineStr">
        <is>
          <t>TL-hardfault</t>
        </is>
      </c>
      <c r="B193" s="2" t="inlineStr">
        <is>
          <t>Năng lực chuyên môn</t>
        </is>
      </c>
      <c r="C193" s="2" t="inlineStr">
        <is>
          <t>Phân tích HardFault CFSR/PC → hàm</t>
        </is>
      </c>
      <c r="D193" s="2" t="inlineStr">
        <is>
          <t>A9.4.2</t>
        </is>
      </c>
      <c r="E193" s="2" t="n">
        <v>1</v>
      </c>
      <c r="F193" s="2">
        <f>SUMPRODUCT(('Anh xa'!$D$2:$D$725=A193)*1)</f>
        <v/>
      </c>
      <c r="G193" s="2">
        <f>IF(AND(F193&gt;0,F193=E193),"✓","THIẾU")</f>
        <v/>
      </c>
    </row>
    <row r="194">
      <c r="A194" s="2" t="inlineStr">
        <is>
          <t>TL-calc</t>
        </is>
      </c>
      <c r="B194" s="2" t="inlineStr">
        <is>
          <t>Năng lực chuyên môn</t>
        </is>
      </c>
      <c r="C194" s="2" t="inlineStr">
        <is>
          <t>Tính toán bằng mã, tham số có nguồn</t>
        </is>
      </c>
      <c r="D194" s="2" t="inlineStr">
        <is>
          <t>A9.7, A9.7.1</t>
        </is>
      </c>
      <c r="E194" s="2" t="n">
        <v>2</v>
      </c>
      <c r="F194" s="2">
        <f>SUMPRODUCT(('Anh xa'!$D$2:$D$725=A194)*1)</f>
        <v/>
      </c>
      <c r="G194" s="2">
        <f>IF(AND(F194&gt;0,F194=E194),"✓","THIẾU")</f>
        <v/>
      </c>
    </row>
    <row r="195">
      <c r="A195" s="2" t="inlineStr">
        <is>
          <t>TL-port</t>
        </is>
      </c>
      <c r="B195" s="2" t="inlineStr">
        <is>
          <t>Năng lực chuyên môn</t>
        </is>
      </c>
      <c r="C195" s="2" t="inlineStr">
        <is>
          <t>Bảng ánh xạ ngoại vi khi porting</t>
        </is>
      </c>
      <c r="D195" s="2" t="inlineStr">
        <is>
          <t>A7.4.1</t>
        </is>
      </c>
      <c r="E195" s="2" t="n">
        <v>1</v>
      </c>
      <c r="F195" s="2">
        <f>SUMPRODUCT(('Anh xa'!$D$2:$D$725=A195)*1)</f>
        <v/>
      </c>
      <c r="G195" s="2">
        <f>IF(AND(F195&gt;0,F195=E195),"✓","THIẾU")</f>
        <v/>
      </c>
    </row>
    <row r="196">
      <c r="A196" s="2" t="inlineStr">
        <is>
          <t>TL-opt</t>
        </is>
      </c>
      <c r="B196" s="2" t="inlineStr">
        <is>
          <t>Năng lực chuyên môn</t>
        </is>
      </c>
      <c r="C196" s="2" t="inlineStr">
        <is>
          <t>Tối ưu: số đo trước/sau</t>
        </is>
      </c>
      <c r="D196" s="2" t="inlineStr">
        <is>
          <t>A7.4.2</t>
        </is>
      </c>
      <c r="E196" s="2" t="n">
        <v>1</v>
      </c>
      <c r="F196" s="2">
        <f>SUMPRODUCT(('Anh xa'!$D$2:$D$725=A196)*1)</f>
        <v/>
      </c>
      <c r="G196" s="2">
        <f>IF(AND(F196&gt;0,F196=E196),"✓","THIẾU")</f>
        <v/>
      </c>
    </row>
    <row r="197">
      <c r="A197" s="2" t="inlineStr">
        <is>
          <t>TL-ota</t>
        </is>
      </c>
      <c r="B197" s="2" t="inlineStr">
        <is>
          <t>Năng lực chuyên môn</t>
        </is>
      </c>
      <c r="C197" s="2" t="inlineStr">
        <is>
          <t>OTA A/B, chữ ký, rollback</t>
        </is>
      </c>
      <c r="D197" s="2" t="inlineStr">
        <is>
          <t>A5.6, A5.6.1</t>
        </is>
      </c>
      <c r="E197" s="2" t="n">
        <v>2</v>
      </c>
      <c r="F197" s="2">
        <f>SUMPRODUCT(('Anh xa'!$D$2:$D$725=A197)*1)</f>
        <v/>
      </c>
      <c r="G197" s="2">
        <f>IF(AND(F197&gt;0,F197=E197),"✓","THIẾU")</f>
        <v/>
      </c>
    </row>
    <row r="198">
      <c r="A198" s="2" t="inlineStr">
        <is>
          <t>TL-replace</t>
        </is>
      </c>
      <c r="B198" s="2" t="inlineStr">
        <is>
          <t>Năng lực chuyên môn</t>
        </is>
      </c>
      <c r="C198" s="2" t="inlineStr">
        <is>
          <t>Thay thế linh kiện có phân tích ảnh hưởng</t>
        </is>
      </c>
      <c r="D198" s="2" t="inlineStr">
        <is>
          <t>A4.5, A4.5.1, A5.4.2</t>
        </is>
      </c>
      <c r="E198" s="2" t="n">
        <v>3</v>
      </c>
      <c r="F198" s="2">
        <f>SUMPRODUCT(('Anh xa'!$D$2:$D$725=A198)*1)</f>
        <v/>
      </c>
      <c r="G198" s="2">
        <f>IF(AND(F198&gt;0,F198=E198),"✓","THIẾU")</f>
        <v/>
      </c>
    </row>
    <row r="199">
      <c r="A199" s="2" t="inlineStr">
        <is>
          <t>TL-trace</t>
        </is>
      </c>
      <c r="B199" s="2" t="inlineStr">
        <is>
          <t>Năng lực chuyên môn</t>
        </is>
      </c>
      <c r="C199" s="2" t="inlineStr">
        <is>
          <t>Ma trận truy vết yêu cầu↔thiết kế↔mã↔test</t>
        </is>
      </c>
      <c r="D199" s="2" t="inlineStr">
        <is>
          <t>A14.5.1, A2.6, A2.6.1</t>
        </is>
      </c>
      <c r="E199" s="2" t="n">
        <v>3</v>
      </c>
      <c r="F199" s="2">
        <f>SUMPRODUCT(('Anh xa'!$D$2:$D$725=A199)*1)</f>
        <v/>
      </c>
      <c r="G199" s="2">
        <f>IF(AND(F199&gt;0,F199=E199),"✓","THIẾU")</f>
        <v/>
      </c>
    </row>
    <row r="200">
      <c r="A200" s="2" t="inlineStr">
        <is>
          <t>MEM-01</t>
        </is>
      </c>
      <c r="B200" s="2" t="inlineStr">
        <is>
          <t>Bộ nhớ &amp; nén (MEM-42)</t>
        </is>
      </c>
      <c r="C200" s="2" t="inlineStr">
        <is>
          <t>Ngân sách ngữ cảnh cố định theo 10 khối; dự trữ 20 %</t>
        </is>
      </c>
      <c r="D200" s="2" t="inlineStr">
        <is>
          <t>A14.6.1</t>
        </is>
      </c>
      <c r="E200" s="2" t="n">
        <v>1</v>
      </c>
      <c r="F200" s="2">
        <f>SUMPRODUCT(('Anh xa'!$D$2:$D$725=A200)*1)</f>
        <v/>
      </c>
      <c r="G200" s="2">
        <f>IF(AND(F200&gt;0,F200=E200),"✓","THIẾU")</f>
        <v/>
      </c>
    </row>
    <row r="201">
      <c r="A201" s="2" t="inlineStr">
        <is>
          <t>MEM-02</t>
        </is>
      </c>
      <c r="B201" s="2" t="inlineStr">
        <is>
          <t>Bộ nhớ &amp; nén (MEM-42)</t>
        </is>
      </c>
      <c r="C201" s="2" t="inlineStr">
        <is>
          <t>Đồng hồ token theo khối hiển thị cho người; 4 ngưỡng 60/70/85/95 %</t>
        </is>
      </c>
      <c r="D201" s="2" t="inlineStr">
        <is>
          <t>A14.6, A14.6.1</t>
        </is>
      </c>
      <c r="E201" s="2" t="n">
        <v>2</v>
      </c>
      <c r="F201" s="2">
        <f>SUMPRODUCT(('Anh xa'!$D$2:$D$725=A201)*1)</f>
        <v/>
      </c>
      <c r="G201" s="2">
        <f>IF(AND(F201&gt;0,F201=E201),"✓","THIẾU")</f>
        <v/>
      </c>
    </row>
    <row r="202">
      <c r="A202" s="2" t="inlineStr">
        <is>
          <t>MEM-03</t>
        </is>
      </c>
      <c r="B202" s="2" t="inlineStr">
        <is>
          <t>Bộ nhớ &amp; nén (MEM-42)</t>
        </is>
      </c>
      <c r="C202" s="2" t="inlineStr">
        <is>
          <t>Mọi ghi M2/M3 qua tool memory.note/store.* có changeset + provenance; fs.write EIDE.md bị deny</t>
        </is>
      </c>
      <c r="D202" s="2" t="inlineStr">
        <is>
          <t>A14.6.9</t>
        </is>
      </c>
      <c r="E202" s="2" t="n">
        <v>1</v>
      </c>
      <c r="F202" s="2">
        <f>SUMPRODUCT(('Anh xa'!$D$2:$D$725=A202)*1)</f>
        <v/>
      </c>
      <c r="G202" s="2">
        <f>IF(AND(F202&gt;0,F202=E202),"✓","THIẾU")</f>
        <v/>
      </c>
    </row>
    <row r="203">
      <c r="A203" s="2" t="inlineStr">
        <is>
          <t>MEM-04</t>
        </is>
      </c>
      <c r="B203" s="2" t="inlineStr">
        <is>
          <t>Bộ nhớ &amp; nén (MEM-42)</t>
        </is>
      </c>
      <c r="C203" s="2" t="inlineStr">
        <is>
          <t>C0: cắt theo chính sách tool, blob content-addressed, tham chiếu artefact id+version</t>
        </is>
      </c>
      <c r="D203" s="2" t="inlineStr">
        <is>
          <t>A14.6.10</t>
        </is>
      </c>
      <c r="E203" s="2" t="n">
        <v>1</v>
      </c>
      <c r="F203" s="2">
        <f>SUMPRODUCT(('Anh xa'!$D$2:$D$725=A203)*1)</f>
        <v/>
      </c>
      <c r="G203" s="2">
        <f>IF(AND(F203&gt;0,F203=E203),"✓","THIẾU")</f>
        <v/>
      </c>
    </row>
    <row r="204">
      <c r="A204" s="2" t="inlineStr">
        <is>
          <t>MEM-05</t>
        </is>
      </c>
      <c r="B204" s="2" t="inlineStr">
        <is>
          <t>Bộ nhớ &amp; nén (MEM-42)</t>
        </is>
      </c>
      <c r="C204" s="2" t="inlineStr">
        <is>
          <t>C1: stub/dedup/supersede/hết hạn 8 lượt; 0 token</t>
        </is>
      </c>
      <c r="D204" s="2" t="inlineStr">
        <is>
          <t>A14.6.4</t>
        </is>
      </c>
      <c r="E204" s="2" t="n">
        <v>1</v>
      </c>
      <c r="F204" s="2">
        <f>SUMPRODUCT(('Anh xa'!$D$2:$D$725=A204)*1)</f>
        <v/>
      </c>
      <c r="G204" s="2">
        <f>IF(AND(F204&gt;0,F204=E204),"✓","THIẾU")</f>
        <v/>
      </c>
    </row>
    <row r="205">
      <c r="A205" s="2" t="inlineStr">
        <is>
          <t>MEM-06</t>
        </is>
      </c>
      <c r="B205" s="2" t="inlineStr">
        <is>
          <t>Bộ nhớ &amp; nén (MEM-42)</t>
        </is>
      </c>
      <c r="C205" s="2" t="inlineStr">
        <is>
          <t>C2: PreCompact rút cấu trúc vào M2; tóm tắt 10 mục có trần; giữ K lượt + ghim; atomic swap</t>
        </is>
      </c>
      <c r="D205" s="2" t="inlineStr">
        <is>
          <t>A14.6.2</t>
        </is>
      </c>
      <c r="E205" s="2" t="n">
        <v>1</v>
      </c>
      <c r="F205" s="2">
        <f>SUMPRODUCT(('Anh xa'!$D$2:$D$725=A205)*1)</f>
        <v/>
      </c>
      <c r="G205" s="2">
        <f>IF(AND(F205&gt;0,F205=E205),"✓","THIẾU")</f>
        <v/>
      </c>
    </row>
    <row r="206">
      <c r="A206" s="2" t="inlineStr">
        <is>
          <t>MEM-07</t>
        </is>
      </c>
      <c r="B206" s="2" t="inlineStr">
        <is>
          <t>Bộ nhớ &amp; nén (MEM-42)</t>
        </is>
      </c>
      <c r="C206" s="2" t="inlineStr">
        <is>
          <t>Ghim tự động (decide/confirm/edit/snapshot/set, trả lời thẻ, kế hoạch duyệt, không đảo ngược); ghim thủ công</t>
        </is>
      </c>
      <c r="D206" s="2" t="inlineStr">
        <is>
          <t>A14.6.3</t>
        </is>
      </c>
      <c r="E206" s="2" t="n">
        <v>1</v>
      </c>
      <c r="F206" s="2">
        <f>SUMPRODUCT(('Anh xa'!$D$2:$D$725=A206)*1)</f>
        <v/>
      </c>
      <c r="G206" s="2">
        <f>IF(AND(F206&gt;0,F206=E206),"✓","THIẾU")</f>
        <v/>
      </c>
    </row>
    <row r="207">
      <c r="A207" s="2" t="inlineStr">
        <is>
          <t>MEM-08</t>
        </is>
      </c>
      <c r="B207" s="2" t="inlineStr">
        <is>
          <t>Bộ nhớ &amp; nén (MEM-42)</t>
        </is>
      </c>
      <c r="C207" s="2" t="inlineStr">
        <is>
          <t>PostCompact: 3 câu hỏi ngược từ ledger; sai → huỷ, K += 4, tối đa 2 lần</t>
        </is>
      </c>
      <c r="D207" s="2" t="inlineStr">
        <is>
          <t>A14.6.5</t>
        </is>
      </c>
      <c r="E207" s="2" t="n">
        <v>1</v>
      </c>
      <c r="F207" s="2">
        <f>SUMPRODUCT(('Anh xa'!$D$2:$D$725=A207)*1)</f>
        <v/>
      </c>
      <c r="G207" s="2">
        <f>IF(AND(F207&gt;0,F207=E207),"✓","THIẾU")</f>
        <v/>
      </c>
    </row>
    <row r="208">
      <c r="A208" s="2" t="inlineStr">
        <is>
          <t>MEM-09</t>
        </is>
      </c>
      <c r="B208" s="2" t="inlineStr">
        <is>
          <t>Bộ nhớ &amp; nén (MEM-42)</t>
        </is>
      </c>
      <c r="C208" s="2" t="inlineStr">
        <is>
          <t>C3 bậc thang có chuỗi hash; C4 khẩn cấp; thông báo [Hệ thống] sau nén; huỷ nén trong 24 h</t>
        </is>
      </c>
      <c r="D208" s="2" t="inlineStr">
        <is>
          <t>A14.6.10, A14.6.4, A14.6.5</t>
        </is>
      </c>
      <c r="E208" s="2" t="n">
        <v>3</v>
      </c>
      <c r="F208" s="2">
        <f>SUMPRODUCT(('Anh xa'!$D$2:$D$725=A208)*1)</f>
        <v/>
      </c>
      <c r="G208" s="2">
        <f>IF(AND(F208&gt;0,F208=E208),"✓","THIẾU")</f>
        <v/>
      </c>
    </row>
    <row r="209">
      <c r="A209" s="2" t="inlineStr">
        <is>
          <t>MEM-10</t>
        </is>
      </c>
      <c r="B209" s="2" t="inlineStr">
        <is>
          <t>Bộ nhớ &amp; nén (MEM-42)</t>
        </is>
      </c>
      <c r="C209" s="2" t="inlineStr">
        <is>
          <t>EIDE.md: trần 3 k, cấu trúc cố định, nguồn gốc dòng, quyền ghi theo mục, memory.prune</t>
        </is>
      </c>
      <c r="D209" s="2" t="inlineStr">
        <is>
          <t>A14.6.9</t>
        </is>
      </c>
      <c r="E209" s="2" t="n">
        <v>1</v>
      </c>
      <c r="F209" s="2">
        <f>SUMPRODUCT(('Anh xa'!$D$2:$D$725=A209)*1)</f>
        <v/>
      </c>
      <c r="G209" s="2">
        <f>IF(AND(F209&gt;0,F209=E209),"✓","THIẾU")</f>
        <v/>
      </c>
    </row>
    <row r="210">
      <c r="A210" s="2" t="inlineStr">
        <is>
          <t>MEM-11</t>
        </is>
      </c>
      <c r="B210" s="2" t="inlineStr">
        <is>
          <t>Bộ nhớ &amp; nén (MEM-42)</t>
        </is>
      </c>
      <c r="C210" s="2" t="inlineStr">
        <is>
          <t>Bản tóm tắt phiên xem/sửa được trên UI</t>
        </is>
      </c>
      <c r="D210" s="2" t="inlineStr">
        <is>
          <t>A14.6.2</t>
        </is>
      </c>
      <c r="E210" s="2" t="n">
        <v>1</v>
      </c>
      <c r="F210" s="2">
        <f>SUMPRODUCT(('Anh xa'!$D$2:$D$725=A210)*1)</f>
        <v/>
      </c>
      <c r="G210" s="2">
        <f>IF(AND(F210&gt;0,F210=E210),"✓","THIẾU")</f>
        <v/>
      </c>
    </row>
    <row r="211">
      <c r="A211" s="2" t="inlineStr">
        <is>
          <t>MEM-12</t>
        </is>
      </c>
      <c r="B211" s="2" t="inlineStr">
        <is>
          <t>Bộ nhớ &amp; nén (MEM-42)</t>
        </is>
      </c>
      <c r="C211" s="2" t="inlineStr">
        <is>
          <t>Người thấy cửa sổ ngữ cảnh hiện tại (khối, token, ghim)</t>
        </is>
      </c>
      <c r="D211" s="2" t="inlineStr">
        <is>
          <t>A14.6</t>
        </is>
      </c>
      <c r="E211" s="2" t="n">
        <v>1</v>
      </c>
      <c r="F211" s="2">
        <f>SUMPRODUCT(('Anh xa'!$D$2:$D$725=A211)*1)</f>
        <v/>
      </c>
      <c r="G211" s="2">
        <f>IF(AND(F211&gt;0,F211=E211),"✓","THIẾU")</f>
        <v/>
      </c>
    </row>
    <row r="212">
      <c r="A212" s="2" t="inlineStr">
        <is>
          <t>MEM-13</t>
        </is>
      </c>
      <c r="B212" s="2" t="inlineStr">
        <is>
          <t>Bộ nhớ &amp; nén (MEM-42)</t>
        </is>
      </c>
      <c r="C212" s="2" t="inlineStr">
        <is>
          <t>Quên có chủ đích: memory.forget → tombstone; không hồi sinh</t>
        </is>
      </c>
      <c r="D212" s="2" t="inlineStr">
        <is>
          <t>A14.6.6</t>
        </is>
      </c>
      <c r="E212" s="2" t="n">
        <v>1</v>
      </c>
      <c r="F212" s="2">
        <f>SUMPRODUCT(('Anh xa'!$D$2:$D$725=A212)*1)</f>
        <v/>
      </c>
      <c r="G212" s="2">
        <f>IF(AND(F212&gt;0,F212=E212),"✓","THIẾU")</f>
        <v/>
      </c>
    </row>
    <row r="213">
      <c r="A213" s="2" t="inlineStr">
        <is>
          <t>MEM-14</t>
        </is>
      </c>
      <c r="B213" s="2" t="inlineStr">
        <is>
          <t>Bộ nhớ &amp; nén (MEM-42)</t>
        </is>
      </c>
      <c r="C213" s="2" t="inlineStr">
        <is>
          <t>M3: danh sách trắng category; đề xuất ghi nhớ phải người đồng ý; không nhớ bí mật/suy đoán</t>
        </is>
      </c>
      <c r="D213" s="2" t="inlineStr">
        <is>
          <t>A14.6.6, A14.6.7</t>
        </is>
      </c>
      <c r="E213" s="2" t="n">
        <v>2</v>
      </c>
      <c r="F213" s="2">
        <f>SUMPRODUCT(('Anh xa'!$D$2:$D$725=A213)*1)</f>
        <v/>
      </c>
      <c r="G213" s="2">
        <f>IF(AND(F213&gt;0,F213=E213),"✓","THIẾU")</f>
        <v/>
      </c>
    </row>
    <row r="214">
      <c r="A214" s="2" t="inlineStr">
        <is>
          <t>MEM-15</t>
        </is>
      </c>
      <c r="B214" s="2" t="inlineStr">
        <is>
          <t>Bộ nhớ &amp; nén (MEM-42)</t>
        </is>
      </c>
      <c r="C214" s="2" t="inlineStr">
        <is>
          <t>Subagent ngữ cảnh sạch, báo cáo ≤ 800 token; không C2</t>
        </is>
      </c>
      <c r="D214" s="2" t="inlineStr">
        <is>
          <t>A14.6.14</t>
        </is>
      </c>
      <c r="E214" s="2" t="n">
        <v>1</v>
      </c>
      <c r="F214" s="2">
        <f>SUMPRODUCT(('Anh xa'!$D$2:$D$725=A214)*1)</f>
        <v/>
      </c>
      <c r="G214" s="2">
        <f>IF(AND(F214&gt;0,F214=E214),"✓","THIẾU")</f>
        <v/>
      </c>
    </row>
    <row r="215">
      <c r="A215" s="2" t="inlineStr">
        <is>
          <t>MEM-16</t>
        </is>
      </c>
      <c r="B215" s="2" t="inlineStr">
        <is>
          <t>Bộ nhớ &amp; nén (MEM-42)</t>
        </is>
      </c>
      <c r="C215" s="2" t="inlineStr">
        <is>
          <t>ledger.query cho câu hỏi về quá khứ; tra trước khi trả lời</t>
        </is>
      </c>
      <c r="D215" s="2" t="inlineStr">
        <is>
          <t>A14.6.8</t>
        </is>
      </c>
      <c r="E215" s="2" t="n">
        <v>1</v>
      </c>
      <c r="F215" s="2">
        <f>SUMPRODUCT(('Anh xa'!$D$2:$D$725=A215)*1)</f>
        <v/>
      </c>
      <c r="G215" s="2">
        <f>IF(AND(F215&gt;0,F215=E215),"✓","THIẾU")</f>
        <v/>
      </c>
    </row>
    <row r="216">
      <c r="A216" s="2" t="inlineStr">
        <is>
          <t>MEM-17</t>
        </is>
      </c>
      <c r="B216" s="2" t="inlineStr">
        <is>
          <t>Bộ nhớ &amp; nén (MEM-42)</t>
        </is>
      </c>
      <c r="C216" s="2" t="inlineStr">
        <is>
          <t>Resume 5 bước; mô hình tự thuật; không summary null</t>
        </is>
      </c>
      <c r="D216" s="2" t="inlineStr">
        <is>
          <t>A14.6.13</t>
        </is>
      </c>
      <c r="E216" s="2" t="n">
        <v>1</v>
      </c>
      <c r="F216" s="2">
        <f>SUMPRODUCT(('Anh xa'!$D$2:$D$725=A216)*1)</f>
        <v/>
      </c>
      <c r="G216" s="2">
        <f>IF(AND(F216&gt;0,F216=E216),"✓","THIẾU")</f>
        <v/>
      </c>
    </row>
    <row r="217">
      <c r="A217" s="2" t="inlineStr">
        <is>
          <t>MEM-18</t>
        </is>
      </c>
      <c r="B217" s="2" t="inlineStr">
        <is>
          <t>Bộ nhớ &amp; nén (MEM-42)</t>
        </is>
      </c>
      <c r="C217" s="2" t="inlineStr">
        <is>
          <t>Write-ahead transcript; nén là giao dịch; hash chuỗi ledger/changeset</t>
        </is>
      </c>
      <c r="D217" s="2" t="inlineStr">
        <is>
          <t>A14.6.5</t>
        </is>
      </c>
      <c r="E217" s="2" t="n">
        <v>1</v>
      </c>
      <c r="F217" s="2">
        <f>SUMPRODUCT(('Anh xa'!$D$2:$D$725=A217)*1)</f>
        <v/>
      </c>
      <c r="G217" s="2">
        <f>IF(AND(F217&gt;0,F217=E217),"✓","THIẾU")</f>
        <v/>
      </c>
    </row>
    <row r="218">
      <c r="A218" s="2" t="inlineStr">
        <is>
          <t>MEM-19</t>
        </is>
      </c>
      <c r="B218" s="2" t="inlineStr">
        <is>
          <t>Bộ nhớ &amp; nén (MEM-42)</t>
        </is>
      </c>
      <c r="C218" s="2" t="inlineStr">
        <is>
          <t>Retention và gc blob theo tham chiếu</t>
        </is>
      </c>
      <c r="D218" s="2" t="inlineStr">
        <is>
          <t>A14.6.15</t>
        </is>
      </c>
      <c r="E218" s="2" t="n">
        <v>1</v>
      </c>
      <c r="F218" s="2">
        <f>SUMPRODUCT(('Anh xa'!$D$2:$D$725=A218)*1)</f>
        <v/>
      </c>
      <c r="G218" s="2">
        <f>IF(AND(F218&gt;0,F218=E218),"✓","THIẾU")</f>
        <v/>
      </c>
    </row>
    <row r="219">
      <c r="A219" s="2" t="inlineStr">
        <is>
          <t>MEM-20</t>
        </is>
      </c>
      <c r="B219" s="2" t="inlineStr">
        <is>
          <t>Bộ nhớ &amp; nén (MEM-42)</t>
        </is>
      </c>
      <c r="C219" s="2" t="inlineStr">
        <is>
          <t>Cache tài liệu M4 theo hash; Fact không đi theo cache; 'dùng lại Fact' tạo BẠC</t>
        </is>
      </c>
      <c r="D219" s="2" t="inlineStr">
        <is>
          <t>A14.6.15</t>
        </is>
      </c>
      <c r="E219" s="2" t="n">
        <v>1</v>
      </c>
      <c r="F219" s="2">
        <f>SUMPRODUCT(('Anh xa'!$D$2:$D$725=A219)*1)</f>
        <v/>
      </c>
      <c r="G219" s="2">
        <f>IF(AND(F219&gt;0,F219=E219),"✓","THIẾU")</f>
        <v/>
      </c>
    </row>
    <row r="220">
      <c r="A220" s="2" t="inlineStr">
        <is>
          <t>MEM-21</t>
        </is>
      </c>
      <c r="B220" s="2" t="inlineStr">
        <is>
          <t>Bộ nhớ &amp; nén (MEM-42)</t>
        </is>
      </c>
      <c r="C220" s="2" t="inlineStr">
        <is>
          <t>&lt;facts&gt; chọn theo thực thể 3 lượt gần, ưu tiên tầng và độ gần</t>
        </is>
      </c>
      <c r="D220" s="2" t="inlineStr">
        <is>
          <t>A14.6.16</t>
        </is>
      </c>
      <c r="E220" s="2" t="n">
        <v>1</v>
      </c>
      <c r="F220" s="2">
        <f>SUMPRODUCT(('Anh xa'!$D$2:$D$725=A220)*1)</f>
        <v/>
      </c>
      <c r="G220" s="2">
        <f>IF(AND(F220&gt;0,F220=E220),"✓","THIẾU")</f>
        <v/>
      </c>
    </row>
    <row r="221">
      <c r="A221" s="2" t="inlineStr">
        <is>
          <t>MEM-22</t>
        </is>
      </c>
      <c r="B221" s="2" t="inlineStr">
        <is>
          <t>Bộ nhớ &amp; nén (MEM-42)</t>
        </is>
      </c>
      <c r="C221" s="2" t="inlineStr">
        <is>
          <t>Skill không dùng 5 lượt bị bỏ khỏi ngữ cảnh</t>
        </is>
      </c>
      <c r="D221" s="2" t="inlineStr">
        <is>
          <t>A14.6.16</t>
        </is>
      </c>
      <c r="E221" s="2" t="n">
        <v>1</v>
      </c>
      <c r="F221" s="2">
        <f>SUMPRODUCT(('Anh xa'!$D$2:$D$725=A221)*1)</f>
        <v/>
      </c>
      <c r="G221" s="2">
        <f>IF(AND(F221&gt;0,F221=E221),"✓","THIẾU")</f>
        <v/>
      </c>
    </row>
    <row r="222">
      <c r="A222" s="2" t="inlineStr">
        <is>
          <t>MEM-23</t>
        </is>
      </c>
      <c r="B222" s="2" t="inlineStr">
        <is>
          <t>Bộ nhớ &amp; nén (MEM-42)</t>
        </is>
      </c>
      <c r="C222" s="2" t="inlineStr">
        <is>
          <t>Nhiều phiên cùng dự án: khoá tệp, phiên sau chỉ đọc</t>
        </is>
      </c>
      <c r="D222" s="2" t="inlineStr">
        <is>
          <t>A14.6.11</t>
        </is>
      </c>
      <c r="E222" s="2" t="n">
        <v>1</v>
      </c>
      <c r="F222" s="2">
        <f>SUMPRODUCT(('Anh xa'!$D$2:$D$725=A222)*1)</f>
        <v/>
      </c>
      <c r="G222" s="2">
        <f>IF(AND(F222&gt;0,F222=E222),"✓","THIẾU")</f>
        <v/>
      </c>
    </row>
    <row r="223">
      <c r="A223" s="2" t="inlineStr">
        <is>
          <t>MEM-24</t>
        </is>
      </c>
      <c r="B223" s="2" t="inlineStr">
        <is>
          <t>Bộ nhớ &amp; nén (MEM-42)</t>
        </is>
      </c>
      <c r="C223" s="2" t="inlineStr">
        <is>
          <t>Đo lường bộ nhớ ghi ledger và hiển thị trong Thiết lập</t>
        </is>
      </c>
      <c r="D223" s="2" t="inlineStr">
        <is>
          <t>A14.6.12</t>
        </is>
      </c>
      <c r="E223" s="2" t="n">
        <v>1</v>
      </c>
      <c r="F223" s="2">
        <f>SUMPRODUCT(('Anh xa'!$D$2:$D$725=A223)*1)</f>
        <v/>
      </c>
      <c r="G223" s="2">
        <f>IF(AND(F223&gt;0,F223=E223),"✓","THIẾU")</f>
        <v/>
      </c>
    </row>
    <row r="224">
      <c r="A224" s="2" t="inlineStr">
        <is>
          <t>ING-01</t>
        </is>
      </c>
      <c r="B224" s="2" t="inlineStr">
        <is>
          <t>Nạp &amp; trích xuất (ING-43)</t>
        </is>
      </c>
      <c r="C224" s="2" t="inlineStr">
        <is>
          <t>Phân loại theo nội dung; thứ tự Office → archive → text; lý do + độ tin cậy</t>
        </is>
      </c>
      <c r="D224" s="2" t="inlineStr">
        <is>
          <t>A3.6, A3.6.1</t>
        </is>
      </c>
      <c r="E224" s="2" t="n">
        <v>2</v>
      </c>
      <c r="F224" s="2">
        <f>SUMPRODUCT(('Anh xa'!$D$2:$D$725=A224)*1)</f>
        <v/>
      </c>
      <c r="G224" s="2">
        <f>IF(AND(F224&gt;0,F224=E224),"✓","THIẾU")</f>
        <v/>
      </c>
    </row>
    <row r="225">
      <c r="A225" s="2" t="inlineStr">
        <is>
          <t>ING-02</t>
        </is>
      </c>
      <c r="B225" s="2" t="inlineStr">
        <is>
          <t>Nạp &amp; trích xuất (ING-43)</t>
        </is>
      </c>
      <c r="C225" s="2" t="inlineStr">
        <is>
          <t>Ba mức hỗ trợ ĐẦY ĐỦ/MỘT PHẦN/KHÔNG hiển thị, kèm gợi ý thay thế</t>
        </is>
      </c>
      <c r="D225" s="2" t="inlineStr">
        <is>
          <t>A3.6, A3.6.1</t>
        </is>
      </c>
      <c r="E225" s="2" t="n">
        <v>2</v>
      </c>
      <c r="F225" s="2">
        <f>SUMPRODUCT(('Anh xa'!$D$2:$D$725=A225)*1)</f>
        <v/>
      </c>
      <c r="G225" s="2">
        <f>IF(AND(F225&gt;0,F225=E225),"✓","THIẾU")</f>
        <v/>
      </c>
    </row>
    <row r="226">
      <c r="A226" s="2" t="inlineStr">
        <is>
          <t>ING-03</t>
        </is>
      </c>
      <c r="B226" s="2" t="inlineStr">
        <is>
          <t>Nạp &amp; trích xuất (ING-43)</t>
        </is>
      </c>
      <c r="C226" s="2" t="inlineStr">
        <is>
          <t>Không bao giờ đưa tệp không phải archive vào archive.list</t>
        </is>
      </c>
      <c r="D226" s="2" t="inlineStr">
        <is>
          <t>A3.6.1</t>
        </is>
      </c>
      <c r="E226" s="2" t="n">
        <v>1</v>
      </c>
      <c r="F226" s="2">
        <f>SUMPRODUCT(('Anh xa'!$D$2:$D$725=A226)*1)</f>
        <v/>
      </c>
      <c r="G226" s="2">
        <f>IF(AND(F226&gt;0,F226=E226),"✓","THIẾU")</f>
        <v/>
      </c>
    </row>
    <row r="227">
      <c r="A227" s="2" t="inlineStr">
        <is>
          <t>ING-04</t>
        </is>
      </c>
      <c r="B227" s="2" t="inlineStr">
        <is>
          <t>Nạp &amp; trích xuất (ING-43)</t>
        </is>
      </c>
      <c r="C227" s="2" t="inlineStr">
        <is>
          <t>Archive: bóc đệ quy có giới hạn; chọn tệp khi &gt; 20; chống zip bomb</t>
        </is>
      </c>
      <c r="D227" s="2" t="inlineStr">
        <is>
          <t>A3.6.2</t>
        </is>
      </c>
      <c r="E227" s="2" t="n">
        <v>1</v>
      </c>
      <c r="F227" s="2">
        <f>SUMPRODUCT(('Anh xa'!$D$2:$D$725=A227)*1)</f>
        <v/>
      </c>
      <c r="G227" s="2">
        <f>IF(AND(F227&gt;0,F227=E227),"✓","THIẾU")</f>
        <v/>
      </c>
    </row>
    <row r="228">
      <c r="A228" s="2" t="inlineStr">
        <is>
          <t>ING-05</t>
        </is>
      </c>
      <c r="B228" s="2" t="inlineStr">
        <is>
          <t>Nạp &amp; trích xuất (ING-43)</t>
        </is>
      </c>
      <c r="C228" s="2" t="inlineStr">
        <is>
          <t>Office .docx/.xlsx/.pptx đọc cấu trúc; ảnh nhúng OCR; định dạng cũ chuyển đổi</t>
        </is>
      </c>
      <c r="D228" s="2" t="inlineStr">
        <is>
          <t>A3.6.3</t>
        </is>
      </c>
      <c r="E228" s="2" t="n">
        <v>1</v>
      </c>
      <c r="F228" s="2">
        <f>SUMPRODUCT(('Anh xa'!$D$2:$D$725=A228)*1)</f>
        <v/>
      </c>
      <c r="G228" s="2">
        <f>IF(AND(F228&gt;0,F228=E228),"✓","THIẾU")</f>
        <v/>
      </c>
    </row>
    <row r="229">
      <c r="A229" s="2" t="inlineStr">
        <is>
          <t>ING-06</t>
        </is>
      </c>
      <c r="B229" s="2" t="inlineStr">
        <is>
          <t>Nạp &amp; trích xuất (ING-43)</t>
        </is>
      </c>
      <c r="C229" s="2" t="inlineStr">
        <is>
          <t>Trích dẫn theo loại (page/bbox; heading/table/row; sheet!ô; slide); docx → PDF phái sinh</t>
        </is>
      </c>
      <c r="D229" s="2" t="inlineStr">
        <is>
          <t>A3.6.13, A3.6.3</t>
        </is>
      </c>
      <c r="E229" s="2" t="n">
        <v>2</v>
      </c>
      <c r="F229" s="2">
        <f>SUMPRODUCT(('Anh xa'!$D$2:$D$725=A229)*1)</f>
        <v/>
      </c>
      <c r="G229" s="2">
        <f>IF(AND(F229&gt;0,F229=E229),"✓","THIẾU")</f>
        <v/>
      </c>
    </row>
    <row r="230">
      <c r="A230" s="2" t="inlineStr">
        <is>
          <t>ING-07</t>
        </is>
      </c>
      <c r="B230" s="2" t="inlineStr">
        <is>
          <t>Nạp &amp; trích xuất (ING-43)</t>
        </is>
      </c>
      <c r="C230" s="2" t="inlineStr">
        <is>
          <t>Bảng (PDF/Office/MD/HTML) → Fact ứng viên; giá trị đọc bằng mã</t>
        </is>
      </c>
      <c r="D230" s="2" t="inlineStr">
        <is>
          <t>A3.6.4</t>
        </is>
      </c>
      <c r="E230" s="2" t="n">
        <v>1</v>
      </c>
      <c r="F230" s="2">
        <f>SUMPRODUCT(('Anh xa'!$D$2:$D$725=A230)*1)</f>
        <v/>
      </c>
      <c r="G230" s="2">
        <f>IF(AND(F230&gt;0,F230=E230),"✓","THIẾU")</f>
        <v/>
      </c>
    </row>
    <row r="231">
      <c r="A231" s="2" t="inlineStr">
        <is>
          <t>ING-08</t>
        </is>
      </c>
      <c r="B231" s="2" t="inlineStr">
        <is>
          <t>Nạp &amp; trích xuất (ING-43)</t>
        </is>
      </c>
      <c r="C231" s="2" t="inlineStr">
        <is>
          <t>Ô gộp, bảng xoay, min/typ/max chung ô, Note → condition</t>
        </is>
      </c>
      <c r="D231" s="2" t="inlineStr">
        <is>
          <t>A3.6.4</t>
        </is>
      </c>
      <c r="E231" s="2" t="n">
        <v>1</v>
      </c>
      <c r="F231" s="2">
        <f>SUMPRODUCT(('Anh xa'!$D$2:$D$725=A231)*1)</f>
        <v/>
      </c>
      <c r="G231" s="2">
        <f>IF(AND(F231&gt;0,F231=E231),"✓","THIẾU")</f>
        <v/>
      </c>
    </row>
    <row r="232">
      <c r="A232" s="2" t="inlineStr">
        <is>
          <t>ING-09</t>
        </is>
      </c>
      <c r="B232" s="2" t="inlineStr">
        <is>
          <t>Nạp &amp; trích xuất (ING-43)</t>
        </is>
      </c>
      <c r="C232" s="2" t="inlineStr">
        <is>
          <t>EDA: KiCad .net/.kicad_sch; Eagle/EasyEDA chuyển đổi; Altium từ chối đúng lý do; BOM đối chiếu netlist</t>
        </is>
      </c>
      <c r="D232" s="2" t="inlineStr">
        <is>
          <t>A3.6.7</t>
        </is>
      </c>
      <c r="E232" s="2" t="n">
        <v>1</v>
      </c>
      <c r="F232" s="2">
        <f>SUMPRODUCT(('Anh xa'!$D$2:$D$725=A232)*1)</f>
        <v/>
      </c>
      <c r="G232" s="2">
        <f>IF(AND(F232&gt;0,F232=E232),"✓","THIẾU")</f>
        <v/>
      </c>
    </row>
    <row r="233">
      <c r="A233" s="2" t="inlineStr">
        <is>
          <t>ING-10</t>
        </is>
      </c>
      <c r="B233" s="2" t="inlineStr">
        <is>
          <t>Nạp &amp; trích xuất (ING-43)</t>
        </is>
      </c>
      <c r="C233" s="2" t="inlineStr">
        <is>
          <t>Cấu hình vendor (.ioc/sdkconfig/.dts/.ld/map) → Fact tầng CẤU HÌNH</t>
        </is>
      </c>
      <c r="D233" s="2" t="inlineStr">
        <is>
          <t>A3.6.5</t>
        </is>
      </c>
      <c r="E233" s="2" t="n">
        <v>1</v>
      </c>
      <c r="F233" s="2">
        <f>SUMPRODUCT(('Anh xa'!$D$2:$D$725=A233)*1)</f>
        <v/>
      </c>
      <c r="G233" s="2">
        <f>IF(AND(F233&gt;0,F233=E233),"✓","THIẾU")</f>
        <v/>
      </c>
    </row>
    <row r="234">
      <c r="A234" s="2" t="inlineStr">
        <is>
          <t>ING-11</t>
        </is>
      </c>
      <c r="B234" s="2" t="inlineStr">
        <is>
          <t>Nạp &amp; trích xuất (ING-43)</t>
        </is>
      </c>
      <c r="C234" s="2" t="inlineStr">
        <is>
          <t>CẤU HÌNH không là vế giới hạn vật lý; mâu thuẫn với datasheet → phát hiện</t>
        </is>
      </c>
      <c r="D234" s="2" t="inlineStr">
        <is>
          <t>A3.6.5</t>
        </is>
      </c>
      <c r="E234" s="2" t="n">
        <v>1</v>
      </c>
      <c r="F234" s="2">
        <f>SUMPRODUCT(('Anh xa'!$D$2:$D$725=A234)*1)</f>
        <v/>
      </c>
      <c r="G234" s="2">
        <f>IF(AND(F234&gt;0,F234=E234),"✓","THIẾU")</f>
        <v/>
      </c>
    </row>
    <row r="235">
      <c r="A235" s="2" t="inlineStr">
        <is>
          <t>ING-12</t>
        </is>
      </c>
      <c r="B235" s="2" t="inlineStr">
        <is>
          <t>Nạp &amp; trích xuất (ING-43)</t>
        </is>
      </c>
      <c r="C235" s="2" t="inlineStr">
        <is>
          <t>Hình → đoạn RAG figure; đọc hình bằng vision là ĐỒNG</t>
        </is>
      </c>
      <c r="D235" s="2" t="inlineStr">
        <is>
          <t>A3.6.6</t>
        </is>
      </c>
      <c r="E235" s="2" t="n">
        <v>1</v>
      </c>
      <c r="F235" s="2">
        <f>SUMPRODUCT(('Anh xa'!$D$2:$D$725=A235)*1)</f>
        <v/>
      </c>
      <c r="G235" s="2">
        <f>IF(AND(F235&gt;0,F235=E235),"✓","THIẾU")</f>
        <v/>
      </c>
    </row>
    <row r="236">
      <c r="A236" s="2" t="inlineStr">
        <is>
          <t>ING-13</t>
        </is>
      </c>
      <c r="B236" s="2" t="inlineStr">
        <is>
          <t>Nạp &amp; trích xuất (ING-43)</t>
        </is>
      </c>
      <c r="C236" s="2" t="inlineStr">
        <is>
          <t>Đối chiếu chéo nguồn cùng key; quy tắc ưu tiên</t>
        </is>
      </c>
      <c r="D236" s="2" t="inlineStr">
        <is>
          <t>A3.6.7</t>
        </is>
      </c>
      <c r="E236" s="2" t="n">
        <v>1</v>
      </c>
      <c r="F236" s="2">
        <f>SUMPRODUCT(('Anh xa'!$D$2:$D$725=A236)*1)</f>
        <v/>
      </c>
      <c r="G236" s="2">
        <f>IF(AND(F236&gt;0,F236=E236),"✓","THIẾU")</f>
        <v/>
      </c>
    </row>
    <row r="237">
      <c r="A237" s="2" t="inlineStr">
        <is>
          <t>ING-14</t>
        </is>
      </c>
      <c r="B237" s="2" t="inlineStr">
        <is>
          <t>Nạp &amp; trích xuất (ING-43)</t>
        </is>
      </c>
      <c r="C237" s="2" t="inlineStr">
        <is>
          <t>Chuẩn hoá đơn vị/ký hiệu bằng mã; giữ raw; condition có cấu trúc</t>
        </is>
      </c>
      <c r="D237" s="2" t="inlineStr">
        <is>
          <t>A3.6.8</t>
        </is>
      </c>
      <c r="E237" s="2" t="n">
        <v>1</v>
      </c>
      <c r="F237" s="2">
        <f>SUMPRODUCT(('Anh xa'!$D$2:$D$725=A237)*1)</f>
        <v/>
      </c>
      <c r="G237" s="2">
        <f>IF(AND(F237&gt;0,F237=E237),"✓","THIẾU")</f>
        <v/>
      </c>
    </row>
    <row r="238">
      <c r="A238" s="2" t="inlineStr">
        <is>
          <t>ING-15</t>
        </is>
      </c>
      <c r="B238" s="2" t="inlineStr">
        <is>
          <t>Nạp &amp; trích xuất (ING-43)</t>
        </is>
      </c>
      <c r="C238" s="2" t="inlineStr">
        <is>
          <t>Đa ngôn ngữ: nhận diện, OCR đúng gói, key bí danh, embedding đa ngữ</t>
        </is>
      </c>
      <c r="D238" s="2" t="inlineStr">
        <is>
          <t>A3.6.9</t>
        </is>
      </c>
      <c r="E238" s="2" t="n">
        <v>1</v>
      </c>
      <c r="F238" s="2">
        <f>SUMPRODUCT(('Anh xa'!$D$2:$D$725=A238)*1)</f>
        <v/>
      </c>
      <c r="G238" s="2">
        <f>IF(AND(F238&gt;0,F238=E238),"✓","THIẾU")</f>
        <v/>
      </c>
    </row>
    <row r="239">
      <c r="A239" s="2" t="inlineStr">
        <is>
          <t>ING-16</t>
        </is>
      </c>
      <c r="B239" s="2" t="inlineStr">
        <is>
          <t>Nạp &amp; trích xuất (ING-43)</t>
        </is>
      </c>
      <c r="C239" s="2" t="inlineStr">
        <is>
          <t>Mã lỗi E1001–E1008 có message_vi + hint + alternatives</t>
        </is>
      </c>
      <c r="D239" s="2" t="inlineStr">
        <is>
          <t>A3.6.10</t>
        </is>
      </c>
      <c r="E239" s="2" t="n">
        <v>1</v>
      </c>
      <c r="F239" s="2">
        <f>SUMPRODUCT(('Anh xa'!$D$2:$D$725=A239)*1)</f>
        <v/>
      </c>
      <c r="G239" s="2">
        <f>IF(AND(F239&gt;0,F239=E239),"✓","THIẾU")</f>
        <v/>
      </c>
    </row>
    <row r="240">
      <c r="A240" s="2" t="inlineStr">
        <is>
          <t>ING-17</t>
        </is>
      </c>
      <c r="B240" s="2" t="inlineStr">
        <is>
          <t>Nạp &amp; trích xuất (ING-43)</t>
        </is>
      </c>
      <c r="C240" s="2" t="inlineStr">
        <is>
          <t>Giới hạn kích thước/trang; OCR nền có tiến trình</t>
        </is>
      </c>
      <c r="D240" s="2" t="inlineStr">
        <is>
          <t>A3.6.11</t>
        </is>
      </c>
      <c r="E240" s="2" t="n">
        <v>1</v>
      </c>
      <c r="F240" s="2">
        <f>SUMPRODUCT(('Anh xa'!$D$2:$D$725=A240)*1)</f>
        <v/>
      </c>
      <c r="G240" s="2">
        <f>IF(AND(F240&gt;0,F240=E240),"✓","THIẾU")</f>
        <v/>
      </c>
    </row>
    <row r="241">
      <c r="A241" s="2" t="inlineStr">
        <is>
          <t>ING-18</t>
        </is>
      </c>
      <c r="B241" s="2" t="inlineStr">
        <is>
          <t>Nạp &amp; trích xuất (ING-43)</t>
        </is>
      </c>
      <c r="C241" s="2" t="inlineStr">
        <is>
          <t>Nội dung tài liệu là dữ liệu: untrusted, quét P-INJ, không chạy macro</t>
        </is>
      </c>
      <c r="D241" s="2" t="inlineStr">
        <is>
          <t>A3.6.12</t>
        </is>
      </c>
      <c r="E241" s="2" t="n">
        <v>1</v>
      </c>
      <c r="F241" s="2">
        <f>SUMPRODUCT(('Anh xa'!$D$2:$D$725=A241)*1)</f>
        <v/>
      </c>
      <c r="G241" s="2">
        <f>IF(AND(F241&gt;0,F241=E241),"✓","THIẾU")</f>
        <v/>
      </c>
    </row>
    <row r="242">
      <c r="A242" s="2" t="inlineStr">
        <is>
          <t>ING-19</t>
        </is>
      </c>
      <c r="B242" s="2" t="inlineStr">
        <is>
          <t>Nạp &amp; trích xuất (ING-43)</t>
        </is>
      </c>
      <c r="C242" s="2" t="inlineStr">
        <is>
          <t>Gán tầng theo nguồn; Office tự viết → NGƯỜI (chờ chốt)</t>
        </is>
      </c>
      <c r="D242" s="2" t="inlineStr">
        <is>
          <t>A3.6.14</t>
        </is>
      </c>
      <c r="E242" s="2" t="n">
        <v>1</v>
      </c>
      <c r="F242" s="2">
        <f>SUMPRODUCT(('Anh xa'!$D$2:$D$725=A242)*1)</f>
        <v/>
      </c>
      <c r="G242" s="2">
        <f>IF(AND(F242&gt;0,F242=E242),"✓","THIẾU")</f>
        <v/>
      </c>
    </row>
    <row r="243">
      <c r="A243" s="2" t="inlineStr">
        <is>
          <t>ING-20</t>
        </is>
      </c>
      <c r="B243" s="2" t="inlineStr">
        <is>
          <t>Nạp &amp; trích xuất (ING-43)</t>
        </is>
      </c>
      <c r="C243" s="2" t="inlineStr">
        <is>
          <t>Hằng số trong mã → ĐỒNG-mã, chỉ để so sánh</t>
        </is>
      </c>
      <c r="D243" s="2" t="inlineStr">
        <is>
          <t>A3.6.14</t>
        </is>
      </c>
      <c r="E243" s="2" t="n">
        <v>1</v>
      </c>
      <c r="F243" s="2">
        <f>SUMPRODUCT(('Anh xa'!$D$2:$D$725=A243)*1)</f>
        <v/>
      </c>
      <c r="G243" s="2">
        <f>IF(AND(F243&gt;0,F243=E243),"✓","THIẾU")</f>
        <v/>
      </c>
    </row>
    <row r="244">
      <c r="A244" s="2" t="inlineStr">
        <is>
          <t>SCH-01</t>
        </is>
      </c>
      <c r="B244" s="2" t="inlineStr">
        <is>
          <t>Sơ đồ KiCad (SCH-44)</t>
        </is>
      </c>
      <c r="C244" s="2" t="inlineStr">
        <is>
          <t>Sinh sơ đồ từ CKM qua SKiDL; mô hình viết SKiDL, mã kiểm</t>
        </is>
      </c>
      <c r="D244" s="2" t="inlineStr">
        <is>
          <t>A5.8.1</t>
        </is>
      </c>
      <c r="E244" s="2" t="n">
        <v>1</v>
      </c>
      <c r="F244" s="2">
        <f>SUMPRODUCT(('Anh xa'!$D$2:$D$725=A244)*1)</f>
        <v/>
      </c>
      <c r="G244" s="2">
        <f>IF(AND(F244&gt;0,F244=E244),"✓","THIẾU")</f>
        <v/>
      </c>
    </row>
    <row r="245">
      <c r="A245" s="2" t="inlineStr">
        <is>
          <t>SCH-02</t>
        </is>
      </c>
      <c r="B245" s="2" t="inlineStr">
        <is>
          <t>Sơ đồ KiCad (SCH-44)</t>
        </is>
      </c>
      <c r="C245" s="2" t="inlineStr">
        <is>
          <t>Netlist sinh ra đẳng cấu với CKM; lệch → E7001, dừng</t>
        </is>
      </c>
      <c r="D245" s="2" t="inlineStr">
        <is>
          <t>A5.8.8</t>
        </is>
      </c>
      <c r="E245" s="2" t="n">
        <v>1</v>
      </c>
      <c r="F245" s="2">
        <f>SUMPRODUCT(('Anh xa'!$D$2:$D$725=A245)*1)</f>
        <v/>
      </c>
      <c r="G245" s="2">
        <f>IF(AND(F245&gt;0,F245=E245),"✓","THIẾU")</f>
        <v/>
      </c>
    </row>
    <row r="246">
      <c r="A246" s="2" t="inlineStr">
        <is>
          <t>SCH-03</t>
        </is>
      </c>
      <c r="B246" s="2" t="inlineStr">
        <is>
          <t>Sơ đồ KiCad (SCH-44)</t>
        </is>
      </c>
      <c r="C246" s="2" t="inlineStr">
        <is>
          <t>Không bịa chân: pinout phải ≥ NGƯỜI; thiếu → E7002</t>
        </is>
      </c>
      <c r="D246" s="2" t="inlineStr">
        <is>
          <t>A5.8.8</t>
        </is>
      </c>
      <c r="E246" s="2" t="n">
        <v>1</v>
      </c>
      <c r="F246" s="2">
        <f>SUMPRODUCT(('Anh xa'!$D$2:$D$725=A246)*1)</f>
        <v/>
      </c>
      <c r="G246" s="2">
        <f>IF(AND(F246&gt;0,F246=E246),"✓","THIẾU")</f>
        <v/>
      </c>
    </row>
    <row r="247">
      <c r="A247" s="2" t="inlineStr">
        <is>
          <t>SCH-04</t>
        </is>
      </c>
      <c r="B247" s="2" t="inlineStr">
        <is>
          <t>Sơ đồ KiCad (SCH-44)</t>
        </is>
      </c>
      <c r="C247" s="2" t="inlineStr">
        <is>
          <t>Style flat/hierarchical; chọn module</t>
        </is>
      </c>
      <c r="D247" s="2" t="inlineStr">
        <is>
          <t>A5.8.1</t>
        </is>
      </c>
      <c r="E247" s="2" t="n">
        <v>1</v>
      </c>
      <c r="F247" s="2">
        <f>SUMPRODUCT(('Anh xa'!$D$2:$D$725=A247)*1)</f>
        <v/>
      </c>
      <c r="G247" s="2">
        <f>IF(AND(F247&gt;0,F247=E247),"✓","THIẾU")</f>
        <v/>
      </c>
    </row>
    <row r="248">
      <c r="A248" s="2" t="inlineStr">
        <is>
          <t>SCH-05</t>
        </is>
      </c>
      <c r="B248" s="2" t="inlineStr">
        <is>
          <t>Sơ đồ KiCad (SCH-44)</t>
        </is>
      </c>
      <c r="C248" s="2" t="inlineStr">
        <is>
          <t>Bố cục theo module với tiêu chí số; xác định, lặp lại được</t>
        </is>
      </c>
      <c r="D248" s="2" t="inlineStr">
        <is>
          <t>A5.8.3</t>
        </is>
      </c>
      <c r="E248" s="2" t="n">
        <v>1</v>
      </c>
      <c r="F248" s="2">
        <f>SUMPRODUCT(('Anh xa'!$D$2:$D$725=A248)*1)</f>
        <v/>
      </c>
      <c r="G248" s="2">
        <f>IF(AND(F248&gt;0,F248=E248),"✓","THIẾU")</f>
        <v/>
      </c>
    </row>
    <row r="249">
      <c r="A249" s="2" t="inlineStr">
        <is>
          <t>SCH-06</t>
        </is>
      </c>
      <c r="B249" s="2" t="inlineStr">
        <is>
          <t>Sơ đồ KiCad (SCH-44)</t>
        </is>
      </c>
      <c r="C249" s="2" t="inlineStr">
        <is>
          <t>Render SVG có id theo ref/net</t>
        </is>
      </c>
      <c r="D249" s="2" t="inlineStr">
        <is>
          <t>A5.8.2</t>
        </is>
      </c>
      <c r="E249" s="2" t="n">
        <v>1</v>
      </c>
      <c r="F249" s="2">
        <f>SUMPRODUCT(('Anh xa'!$D$2:$D$725=A249)*1)</f>
        <v/>
      </c>
      <c r="G249" s="2">
        <f>IF(AND(F249&gt;0,F249=E249),"✓","THIẾU")</f>
        <v/>
      </c>
    </row>
    <row r="250">
      <c r="A250" s="2" t="inlineStr">
        <is>
          <t>SCH-07</t>
        </is>
      </c>
      <c r="B250" s="2" t="inlineStr">
        <is>
          <t>Sơ đồ KiCad (SCH-44)</t>
        </is>
      </c>
      <c r="C250" s="2" t="inlineStr">
        <is>
          <t>Tương tác: ký hiệu → Fact/nguồn; net → tô sáng + ERC</t>
        </is>
      </c>
      <c r="D250" s="2" t="inlineStr">
        <is>
          <t>A5.8.2</t>
        </is>
      </c>
      <c r="E250" s="2" t="n">
        <v>1</v>
      </c>
      <c r="F250" s="2">
        <f>SUMPRODUCT(('Anh xa'!$D$2:$D$725=A250)*1)</f>
        <v/>
      </c>
      <c r="G250" s="2">
        <f>IF(AND(F250&gt;0,F250=E250),"✓","THIẾU")</f>
        <v/>
      </c>
    </row>
    <row r="251">
      <c r="A251" s="2" t="inlineStr">
        <is>
          <t>SCH-08</t>
        </is>
      </c>
      <c r="B251" s="2" t="inlineStr">
        <is>
          <t>Sơ đồ KiCad (SCH-44)</t>
        </is>
      </c>
      <c r="C251" s="2" t="inlineStr">
        <is>
          <t>Renderer nội bộ là đường chính; suy giảm về sơ đồ khối</t>
        </is>
      </c>
      <c r="D251" s="2" t="inlineStr">
        <is>
          <t>A5.8.2, A5.8.4</t>
        </is>
      </c>
      <c r="E251" s="2" t="n">
        <v>2</v>
      </c>
      <c r="F251" s="2">
        <f>SUMPRODUCT(('Anh xa'!$D$2:$D$725=A251)*1)</f>
        <v/>
      </c>
      <c r="G251" s="2">
        <f>IF(AND(F251&gt;0,F251=E251),"✓","THIẾU")</f>
        <v/>
      </c>
    </row>
    <row r="252">
      <c r="A252" s="2" t="inlineStr">
        <is>
          <t>SCH-09</t>
        </is>
      </c>
      <c r="B252" s="2" t="inlineStr">
        <is>
          <t>Sơ đồ KiCad (SCH-44)</t>
        </is>
      </c>
      <c r="C252" s="2" t="inlineStr">
        <is>
          <t>Không cài/không gọi/không đề nghị cài KiCad trên máy; thư viện ký hiệu chỉ là dữ liệu qua G-DATA</t>
        </is>
      </c>
      <c r="D252" s="2" t="inlineStr">
        <is>
          <t>A5.8.4</t>
        </is>
      </c>
      <c r="E252" s="2" t="n">
        <v>1</v>
      </c>
      <c r="F252" s="2">
        <f>SUMPRODUCT(('Anh xa'!$D$2:$D$725=A252)*1)</f>
        <v/>
      </c>
      <c r="G252" s="2">
        <f>IF(AND(F252&gt;0,F252=E252),"✓","THIẾU")</f>
        <v/>
      </c>
    </row>
    <row r="253">
      <c r="A253" s="2" t="inlineStr">
        <is>
          <t>SCH-10</t>
        </is>
      </c>
      <c r="B253" s="2" t="inlineStr">
        <is>
          <t>Sơ đồ KiCad (SCH-44)</t>
        </is>
      </c>
      <c r="C253" s="2" t="inlineStr">
        <is>
          <t>Diff sơ đồ bằng lời (E3)</t>
        </is>
      </c>
      <c r="D253" s="2" t="inlineStr">
        <is>
          <t>A5.8.5</t>
        </is>
      </c>
      <c r="E253" s="2" t="n">
        <v>1</v>
      </c>
      <c r="F253" s="2">
        <f>SUMPRODUCT(('Anh xa'!$D$2:$D$725=A253)*1)</f>
        <v/>
      </c>
      <c r="G253" s="2">
        <f>IF(AND(F253&gt;0,F253=E253),"✓","THIẾU")</f>
        <v/>
      </c>
    </row>
    <row r="254">
      <c r="A254" s="2" t="inlineStr">
        <is>
          <t>SCH-11</t>
        </is>
      </c>
      <c r="B254" s="2" t="inlineStr">
        <is>
          <t>Sơ đồ KiCad (SCH-44)</t>
        </is>
      </c>
      <c r="C254" s="2" t="inlineStr">
        <is>
          <t>Xuất gói để mở ở máy khác; theo dõi mtime; Nạp lại</t>
        </is>
      </c>
      <c r="D254" s="2" t="inlineStr">
        <is>
          <t>A5.8.6</t>
        </is>
      </c>
      <c r="E254" s="2" t="n">
        <v>1</v>
      </c>
      <c r="F254" s="2">
        <f>SUMPRODUCT(('Anh xa'!$D$2:$D$725=A254)*1)</f>
        <v/>
      </c>
      <c r="G254" s="2">
        <f>IF(AND(F254&gt;0,F254=E254),"✓","THIẾU")</f>
        <v/>
      </c>
    </row>
    <row r="255">
      <c r="A255" s="2" t="inlineStr">
        <is>
          <t>SCH-12</t>
        </is>
      </c>
      <c r="B255" s="2" t="inlineStr">
        <is>
          <t>Sơ đồ KiCad (SCH-44)</t>
        </is>
      </c>
      <c r="C255" s="2" t="inlineStr">
        <is>
          <t>Round-trip phân loại thay đổi: bố cục / giá trị / cấu trúc</t>
        </is>
      </c>
      <c r="D255" s="2" t="inlineStr">
        <is>
          <t>A5.8.6</t>
        </is>
      </c>
      <c r="E255" s="2" t="n">
        <v>1</v>
      </c>
      <c r="F255" s="2">
        <f>SUMPRODUCT(('Anh xa'!$D$2:$D$725=A255)*1)</f>
        <v/>
      </c>
      <c r="G255" s="2">
        <f>IF(AND(F255&gt;0,F255=E255),"✓","THIẾU")</f>
        <v/>
      </c>
    </row>
    <row r="256">
      <c r="A256" s="2" t="inlineStr">
        <is>
          <t>SCH-13</t>
        </is>
      </c>
      <c r="B256" s="2" t="inlineStr">
        <is>
          <t>Sơ đồ KiCad (SCH-44)</t>
        </is>
      </c>
      <c r="C256" s="2" t="inlineStr">
        <is>
          <t>Thay đổi cấu trúc từ KiCad → thẻ hỏi, không ghi đè CKM im lặng</t>
        </is>
      </c>
      <c r="D256" s="2" t="inlineStr">
        <is>
          <t>A5.8.6, A5.9.11</t>
        </is>
      </c>
      <c r="E256" s="2" t="n">
        <v>2</v>
      </c>
      <c r="F256" s="2">
        <f>SUMPRODUCT(('Anh xa'!$D$2:$D$725=A256)*1)</f>
        <v/>
      </c>
      <c r="G256" s="2">
        <f>IF(AND(F256&gt;0,F256=E256),"✓","THIẾU")</f>
        <v/>
      </c>
    </row>
    <row r="257">
      <c r="A257" s="2" t="inlineStr">
        <is>
          <t>SCH-14</t>
        </is>
      </c>
      <c r="B257" s="2" t="inlineStr">
        <is>
          <t>Sơ đồ KiCad (SCH-44)</t>
        </is>
      </c>
      <c r="C257" s="2" t="inlineStr">
        <is>
          <t>Symbol lib chính thức đối chiếu Fact ≥ 95 %</t>
        </is>
      </c>
      <c r="D257" s="2" t="inlineStr">
        <is>
          <t>A5.8.7</t>
        </is>
      </c>
      <c r="E257" s="2" t="n">
        <v>1</v>
      </c>
      <c r="F257" s="2">
        <f>SUMPRODUCT(('Anh xa'!$D$2:$D$725=A257)*1)</f>
        <v/>
      </c>
      <c r="G257" s="2">
        <f>IF(AND(F257&gt;0,F257=E257),"✓","THIẾU")</f>
        <v/>
      </c>
    </row>
    <row r="258">
      <c r="A258" s="2" t="inlineStr">
        <is>
          <t>SCH-15</t>
        </is>
      </c>
      <c r="B258" s="2" t="inlineStr">
        <is>
          <t>Sơ đồ KiCad (SCH-44)</t>
        </is>
      </c>
      <c r="C258" s="2" t="inlineStr">
        <is>
          <t>Symbol sinh từ Fact có ghi nguồn</t>
        </is>
      </c>
      <c r="D258" s="2" t="inlineStr">
        <is>
          <t>A5.8.7</t>
        </is>
      </c>
      <c r="E258" s="2" t="n">
        <v>1</v>
      </c>
      <c r="F258" s="2">
        <f>SUMPRODUCT(('Anh xa'!$D$2:$D$725=A258)*1)</f>
        <v/>
      </c>
      <c r="G258" s="2">
        <f>IF(AND(F258&gt;0,F258=E258),"✓","THIẾU")</f>
        <v/>
      </c>
    </row>
    <row r="259">
      <c r="A259" s="2" t="inlineStr">
        <is>
          <t>SCH-16</t>
        </is>
      </c>
      <c r="B259" s="2" t="inlineStr">
        <is>
          <t>Sơ đồ KiCad (SCH-44)</t>
        </is>
      </c>
      <c r="C259" s="2" t="inlineStr">
        <is>
          <t>Gói sch vào snapshot/release</t>
        </is>
      </c>
      <c r="D259" s="2" t="inlineStr">
        <is>
          <t>A5.8.9</t>
        </is>
      </c>
      <c r="E259" s="2" t="n">
        <v>1</v>
      </c>
      <c r="F259" s="2">
        <f>SUMPRODUCT(('Anh xa'!$D$2:$D$725=A259)*1)</f>
        <v/>
      </c>
      <c r="G259" s="2">
        <f>IF(AND(F259&gt;0,F259=E259),"✓","THIẾU")</f>
        <v/>
      </c>
    </row>
    <row r="260">
      <c r="A260" s="2" t="inlineStr">
        <is>
          <t>SCH-17</t>
        </is>
      </c>
      <c r="B260" s="2" t="inlineStr">
        <is>
          <t>Sơ đồ KiCad (SCH-44)</t>
        </is>
      </c>
      <c r="C260" s="2" t="inlineStr">
        <is>
          <t>Cờ features.schematic mặc định tắt; tắt = không có nhánh mã sch nào chạy</t>
        </is>
      </c>
      <c r="D260" s="2" t="inlineStr">
        <is>
          <t>A13.4.2, A5.8, A5.8.11</t>
        </is>
      </c>
      <c r="E260" s="2" t="n">
        <v>3</v>
      </c>
      <c r="F260" s="2">
        <f>SUMPRODUCT(('Anh xa'!$D$2:$D$725=A260)*1)</f>
        <v/>
      </c>
      <c r="G260" s="2">
        <f>IF(AND(F260&gt;0,F260=E260),"✓","THIẾU")</f>
        <v/>
      </c>
    </row>
    <row r="261">
      <c r="A261" s="2" t="inlineStr">
        <is>
          <t>SCH-18</t>
        </is>
      </c>
      <c r="B261" s="2" t="inlineStr">
        <is>
          <t>Sơ đồ KiCad (SCH-44)</t>
        </is>
      </c>
      <c r="C261" s="2" t="inlineStr">
        <is>
          <t>Không đổi hợp đồng tool cũ; lược đồ chỉ cộng thêm; migration có down()</t>
        </is>
      </c>
      <c r="D261" s="2" t="inlineStr">
        <is>
          <t>A5.8</t>
        </is>
      </c>
      <c r="E261" s="2" t="n">
        <v>1</v>
      </c>
      <c r="F261" s="2">
        <f>SUMPRODUCT(('Anh xa'!$D$2:$D$725=A261)*1)</f>
        <v/>
      </c>
      <c r="G261" s="2">
        <f>IF(AND(F261&gt;0,F261=E261),"✓","THIẾU")</f>
        <v/>
      </c>
    </row>
    <row r="262">
      <c r="A262" s="2" t="inlineStr">
        <is>
          <t>SCH-19</t>
        </is>
      </c>
      <c r="B262" s="2" t="inlineStr">
        <is>
          <t>Sơ đồ KiCad (SCH-44)</t>
        </is>
      </c>
      <c r="C262" s="2" t="inlineStr">
        <is>
          <t>Hồi quy hai chế độ giống 100 % trước khi merge</t>
        </is>
      </c>
      <c r="D262" s="2" t="inlineStr">
        <is>
          <t>A5.8.11</t>
        </is>
      </c>
      <c r="E262" s="2" t="n">
        <v>1</v>
      </c>
      <c r="F262" s="2">
        <f>SUMPRODUCT(('Anh xa'!$D$2:$D$725=A262)*1)</f>
        <v/>
      </c>
      <c r="G262" s="2">
        <f>IF(AND(F262&gt;0,F262=E262),"✓","THIẾU")</f>
        <v/>
      </c>
    </row>
    <row r="263">
      <c r="A263" s="2" t="inlineStr">
        <is>
          <t>SCH-20</t>
        </is>
      </c>
      <c r="B263" s="2" t="inlineStr">
        <is>
          <t>Sơ đồ KiCad (SCH-44)</t>
        </is>
      </c>
      <c r="C263" s="2" t="inlineStr">
        <is>
          <t>uuid ổn định theo ref; giữ bố cục người đã sửa khi sinh lại</t>
        </is>
      </c>
      <c r="D263" s="2" t="inlineStr">
        <is>
          <t>A5.8.10</t>
        </is>
      </c>
      <c r="E263" s="2" t="n">
        <v>1</v>
      </c>
      <c r="F263" s="2">
        <f>SUMPRODUCT(('Anh xa'!$D$2:$D$725=A263)*1)</f>
        <v/>
      </c>
      <c r="G263" s="2">
        <f>IF(AND(F263&gt;0,F263=E263),"✓","THIẾU")</f>
        <v/>
      </c>
    </row>
    <row r="264">
      <c r="A264" s="2" t="inlineStr">
        <is>
          <t>SCH-21</t>
        </is>
      </c>
      <c r="B264" s="2" t="inlineStr">
        <is>
          <t>Sơ đồ KiCad (SCH-44)</t>
        </is>
      </c>
      <c r="C264" s="2" t="inlineStr">
        <is>
          <t>Mọi tệp sch là changeset hoàn tác được; G-FILE khi ghi đè tệp người sửa</t>
        </is>
      </c>
      <c r="D264" s="2" t="inlineStr">
        <is>
          <t>A5.8.10</t>
        </is>
      </c>
      <c r="E264" s="2" t="n">
        <v>1</v>
      </c>
      <c r="F264" s="2">
        <f>SUMPRODUCT(('Anh xa'!$D$2:$D$725=A264)*1)</f>
        <v/>
      </c>
      <c r="G264" s="2">
        <f>IF(AND(F264&gt;0,F264=E264),"✓","THIẾU")</f>
        <v/>
      </c>
    </row>
    <row r="265">
      <c r="A265" s="2" t="inlineStr">
        <is>
          <t>SCH-22</t>
        </is>
      </c>
      <c r="B265" s="2" t="inlineStr">
        <is>
          <t>Sơ đồ KiCad (SCH-44)</t>
        </is>
      </c>
      <c r="C265" s="2" t="inlineStr">
        <is>
          <t>PCB/Gerber vẫn ngoài phạm vi</t>
        </is>
      </c>
      <c r="D265" s="2" t="inlineStr">
        <is>
          <t>A5.8</t>
        </is>
      </c>
      <c r="E265" s="2" t="n">
        <v>1</v>
      </c>
      <c r="F265" s="2">
        <f>SUMPRODUCT(('Anh xa'!$D$2:$D$725=A265)*1)</f>
        <v/>
      </c>
      <c r="G265" s="2">
        <f>IF(AND(F265&gt;0,F265=E265),"✓","THIẾU")</f>
        <v/>
      </c>
    </row>
    <row r="266">
      <c r="A266" s="2" t="inlineStr">
        <is>
          <t>HIER-01</t>
        </is>
      </c>
      <c r="B266" s="2" t="inlineStr">
        <is>
          <t>Cây khối phân cấp (HIER-45)</t>
        </is>
      </c>
      <c r="C266" s="2" t="inlineStr">
        <is>
          <t>Module là nút cây có parent/kind/path; linh kiện là lá; độ sâu đệ quy; &gt; 4 cảnh báo</t>
        </is>
      </c>
      <c r="D266" s="2" t="inlineStr">
        <is>
          <t>A5.9, A5.9.1</t>
        </is>
      </c>
      <c r="E266" s="2" t="n">
        <v>2</v>
      </c>
      <c r="F266" s="2">
        <f>SUMPRODUCT(('Anh xa'!$D$2:$D$725=A266)*1)</f>
        <v/>
      </c>
      <c r="G266" s="2">
        <f>IF(AND(F266&gt;0,F266=E266),"✓","THIẾU")</f>
        <v/>
      </c>
    </row>
    <row r="267">
      <c r="A267" s="2" t="inlineStr">
        <is>
          <t>HIER-02</t>
        </is>
      </c>
      <c r="B267" s="2" t="inlineStr">
        <is>
          <t>Cây khối phân cấp (HIER-45)</t>
        </is>
      </c>
      <c r="C267" s="2" t="inlineStr">
        <is>
          <t>Port ở biên khối: tên, hướng, kiểu, ràng buộc; lá có Port = pin từ Fact</t>
        </is>
      </c>
      <c r="D267" s="2" t="inlineStr">
        <is>
          <t>A5.9.2, A5.9.3</t>
        </is>
      </c>
      <c r="E267" s="2" t="n">
        <v>2</v>
      </c>
      <c r="F267" s="2">
        <f>SUMPRODUCT(('Anh xa'!$D$2:$D$725=A267)*1)</f>
        <v/>
      </c>
      <c r="G267" s="2">
        <f>IF(AND(F267&gt;0,F267=E267),"✓","THIẾU")</f>
        <v/>
      </c>
    </row>
    <row r="268">
      <c r="A268" s="2" t="inlineStr">
        <is>
          <t>HIER-03</t>
        </is>
      </c>
      <c r="B268" s="2" t="inlineStr">
        <is>
          <t>Cây khối phân cấp (HIER-45)</t>
        </is>
      </c>
      <c r="C268" s="2" t="inlineStr">
        <is>
          <t>Net theo phạm vi khối; nối chỉ Port của con trực tiếp hoặc Port lên cha</t>
        </is>
      </c>
      <c r="D268" s="2" t="inlineStr">
        <is>
          <t>A5.9.2, A5.9.5</t>
        </is>
      </c>
      <c r="E268" s="2" t="n">
        <v>2</v>
      </c>
      <c r="F268" s="2">
        <f>SUMPRODUCT(('Anh xa'!$D$2:$D$725=A268)*1)</f>
        <v/>
      </c>
      <c r="G268" s="2">
        <f>IF(AND(F268&gt;0,F268=E268),"✓","THIẾU")</f>
        <v/>
      </c>
    </row>
    <row r="269">
      <c r="A269" s="2" t="inlineStr">
        <is>
          <t>HIER-04</t>
        </is>
      </c>
      <c r="B269" s="2" t="inlineStr">
        <is>
          <t>Cây khối phân cấp (HIER-45)</t>
        </is>
      </c>
      <c r="C269" s="2" t="inlineStr">
        <is>
          <t>flatten(cây) bằng mã là nguồn cho mọi tool phẳng; tool cũ không đổi</t>
        </is>
      </c>
      <c r="D269" s="2" t="inlineStr">
        <is>
          <t>A5.9.10</t>
        </is>
      </c>
      <c r="E269" s="2" t="n">
        <v>1</v>
      </c>
      <c r="F269" s="2">
        <f>SUMPRODUCT(('Anh xa'!$D$2:$D$725=A269)*1)</f>
        <v/>
      </c>
      <c r="G269" s="2">
        <f>IF(AND(F269&gt;0,F269=E269),"✓","THIẾU")</f>
        <v/>
      </c>
    </row>
    <row r="270">
      <c r="A270" s="2" t="inlineStr">
        <is>
          <t>HIER-05</t>
        </is>
      </c>
      <c r="B270" s="2" t="inlineStr">
        <is>
          <t>Cây khối phân cấp (HIER-45)</t>
        </is>
      </c>
      <c r="C270" s="2" t="inlineStr">
        <is>
          <t>Bất biến E8001–E8006 kiểm sau mỗi thay đổi</t>
        </is>
      </c>
      <c r="D270" s="2" t="inlineStr">
        <is>
          <t>A5.9.4, A5.9.5</t>
        </is>
      </c>
      <c r="E270" s="2" t="n">
        <v>2</v>
      </c>
      <c r="F270" s="2">
        <f>SUMPRODUCT(('Anh xa'!$D$2:$D$725=A270)*1)</f>
        <v/>
      </c>
      <c r="G270" s="2">
        <f>IF(AND(F270&gt;0,F270=E270),"✓","THIẾU")</f>
        <v/>
      </c>
    </row>
    <row r="271">
      <c r="A271" s="2" t="inlineStr">
        <is>
          <t>HIER-06</t>
        </is>
      </c>
      <c r="B271" s="2" t="inlineStr">
        <is>
          <t>Cây khối phân cấp (HIER-45)</t>
        </is>
      </c>
      <c r="C271" s="2" t="inlineStr">
        <is>
          <t>Fact/REQ gắn được ở mọi cấp; ràng buộc theo cây kiểm bằng mã</t>
        </is>
      </c>
      <c r="D271" s="2" t="inlineStr">
        <is>
          <t>A5.9.7</t>
        </is>
      </c>
      <c r="E271" s="2" t="n">
        <v>1</v>
      </c>
      <c r="F271" s="2">
        <f>SUMPRODUCT(('Anh xa'!$D$2:$D$725=A271)*1)</f>
        <v/>
      </c>
      <c r="G271" s="2">
        <f>IF(AND(F271&gt;0,F271=E271),"✓","THIẾU")</f>
        <v/>
      </c>
    </row>
    <row r="272">
      <c r="A272" s="2" t="inlineStr">
        <is>
          <t>HIER-07</t>
        </is>
      </c>
      <c r="B272" s="2" t="inlineStr">
        <is>
          <t>Cây khối phân cấp (HIER-45)</t>
        </is>
      </c>
      <c r="C272" s="2" t="inlineStr">
        <is>
          <t>STALE theo cây: nội bộ không lan; Port lan tới cha và anh em nối</t>
        </is>
      </c>
      <c r="D272" s="2" t="inlineStr">
        <is>
          <t>A5.9.6</t>
        </is>
      </c>
      <c r="E272" s="2" t="n">
        <v>1</v>
      </c>
      <c r="F272" s="2">
        <f>SUMPRODUCT(('Anh xa'!$D$2:$D$725=A272)*1)</f>
        <v/>
      </c>
      <c r="G272" s="2">
        <f>IF(AND(F272&gt;0,F272=E272),"✓","THIẾU")</f>
        <v/>
      </c>
    </row>
    <row r="273">
      <c r="A273" s="2" t="inlineStr">
        <is>
          <t>HIER-08</t>
        </is>
      </c>
      <c r="B273" s="2" t="inlineStr">
        <is>
          <t>Cây khối phân cấp (HIER-45)</t>
        </is>
      </c>
      <c r="C273" s="2" t="inlineStr">
        <is>
          <t>Thư viện khối block@semver: manifest, params, instantiate có nguồn, 3 tầng lưu</t>
        </is>
      </c>
      <c r="D273" s="2" t="inlineStr">
        <is>
          <t>A5.9.8</t>
        </is>
      </c>
      <c r="E273" s="2" t="n">
        <v>1</v>
      </c>
      <c r="F273" s="2">
        <f>SUMPRODUCT(('Anh xa'!$D$2:$D$725=A273)*1)</f>
        <v/>
      </c>
      <c r="G273" s="2">
        <f>IF(AND(F273&gt;0,F273=E273),"✓","THIẾU")</f>
        <v/>
      </c>
    </row>
    <row r="274">
      <c r="A274" s="2" t="inlineStr">
        <is>
          <t>HIER-09</t>
        </is>
      </c>
      <c r="B274" s="2" t="inlineStr">
        <is>
          <t>Cây khối phân cấp (HIER-45)</t>
        </is>
      </c>
      <c r="C274" s="2" t="inlineStr">
        <is>
          <t>Trích khối từ mạch thành thư viện có kiểm khép kín</t>
        </is>
      </c>
      <c r="D274" s="2" t="inlineStr">
        <is>
          <t>A5.9.8</t>
        </is>
      </c>
      <c r="E274" s="2" t="n">
        <v>1</v>
      </c>
      <c r="F274" s="2">
        <f>SUMPRODUCT(('Anh xa'!$D$2:$D$725=A274)*1)</f>
        <v/>
      </c>
      <c r="G274" s="2">
        <f>IF(AND(F274&gt;0,F274=E274),"✓","THIẾU")</f>
        <v/>
      </c>
    </row>
    <row r="275">
      <c r="A275" s="2" t="inlineStr">
        <is>
          <t>HIER-10</t>
        </is>
      </c>
      <c r="B275" s="2" t="inlineStr">
        <is>
          <t>Cây khối phân cấp (HIER-45)</t>
        </is>
      </c>
      <c r="C275" s="2" t="inlineStr">
        <is>
          <t>SKiDL 1-1 với cây; netlist SKiDL = flatten</t>
        </is>
      </c>
      <c r="D275" s="2" t="inlineStr">
        <is>
          <t>A5.9.10</t>
        </is>
      </c>
      <c r="E275" s="2" t="n">
        <v>1</v>
      </c>
      <c r="F275" s="2">
        <f>SUMPRODUCT(('Anh xa'!$D$2:$D$725=A275)*1)</f>
        <v/>
      </c>
      <c r="G275" s="2">
        <f>IF(AND(F275&gt;0,F275=E275),"✓","THIẾU")</f>
        <v/>
      </c>
    </row>
    <row r="276">
      <c r="A276" s="2" t="inlineStr">
        <is>
          <t>HIER-11</t>
        </is>
      </c>
      <c r="B276" s="2" t="inlineStr">
        <is>
          <t>Cây khối phân cấp (HIER-45)</t>
        </is>
      </c>
      <c r="C276" s="2" t="inlineStr">
        <is>
          <t>KiCad hierarchical: sheet = khối, sheet pin = Port; flat = vùng + global label</t>
        </is>
      </c>
      <c r="D276" s="2" t="inlineStr">
        <is>
          <t>A5.9.10</t>
        </is>
      </c>
      <c r="E276" s="2" t="n">
        <v>1</v>
      </c>
      <c r="F276" s="2">
        <f>SUMPRODUCT(('Anh xa'!$D$2:$D$725=A276)*1)</f>
        <v/>
      </c>
      <c r="G276" s="2">
        <f>IF(AND(F276&gt;0,F276=E276),"✓","THIẾU")</f>
        <v/>
      </c>
    </row>
    <row r="277">
      <c r="A277" s="2" t="inlineStr">
        <is>
          <t>HIER-12</t>
        </is>
      </c>
      <c r="B277" s="2" t="inlineStr">
        <is>
          <t>Cây khối phân cấp (HIER-45)</t>
        </is>
      </c>
      <c r="C277" s="2" t="inlineStr">
        <is>
          <t>Round-trip .kicad_sch phân cấp → cây</t>
        </is>
      </c>
      <c r="D277" s="2" t="inlineStr">
        <is>
          <t>A5.9.11</t>
        </is>
      </c>
      <c r="E277" s="2" t="n">
        <v>1</v>
      </c>
      <c r="F277" s="2">
        <f>SUMPRODUCT(('Anh xa'!$D$2:$D$725=A277)*1)</f>
        <v/>
      </c>
      <c r="G277" s="2">
        <f>IF(AND(F277&gt;0,F277=E277),"✓","THIẾU")</f>
        <v/>
      </c>
    </row>
    <row r="278">
      <c r="A278" s="2" t="inlineStr">
        <is>
          <t>HIER-13</t>
        </is>
      </c>
      <c r="B278" s="2" t="inlineStr">
        <is>
          <t>Cây khối phân cấp (HIER-45)</t>
        </is>
      </c>
      <c r="C278" s="2" t="inlineStr">
        <is>
          <t>UI cây gập/mở, breadcrumb, sơ đồ khối con, bảng Port, ERC theo khối, kéo thả = changeset</t>
        </is>
      </c>
      <c r="D278" s="2" t="inlineStr">
        <is>
          <t>A5.9, A5.9.1, A5.9.4</t>
        </is>
      </c>
      <c r="E278" s="2" t="n">
        <v>3</v>
      </c>
      <c r="F278" s="2">
        <f>SUMPRODUCT(('Anh xa'!$D$2:$D$725=A278)*1)</f>
        <v/>
      </c>
      <c r="G278" s="2">
        <f>IF(AND(F278&gt;0,F278=E278),"✓","THIẾU")</f>
        <v/>
      </c>
    </row>
    <row r="279">
      <c r="A279" s="2" t="inlineStr">
        <is>
          <t>HIER-14</t>
        </is>
      </c>
      <c r="B279" s="2" t="inlineStr">
        <is>
          <t>Cây khối phân cấp (HIER-45)</t>
        </is>
      </c>
      <c r="C279" s="2" t="inlineStr">
        <is>
          <t>Lớp giải thích cho khối (7 câu)</t>
        </is>
      </c>
      <c r="D279" s="2" t="inlineStr">
        <is>
          <t>A5.9.9</t>
        </is>
      </c>
      <c r="E279" s="2" t="n">
        <v>1</v>
      </c>
      <c r="F279" s="2">
        <f>SUMPRODUCT(('Anh xa'!$D$2:$D$725=A279)*1)</f>
        <v/>
      </c>
      <c r="G279" s="2">
        <f>IF(AND(F279&gt;0,F279=E279),"✓","THIẾU")</f>
        <v/>
      </c>
    </row>
    <row r="280">
      <c r="A280" s="2" t="inlineStr">
        <is>
          <t>HIER-15</t>
        </is>
      </c>
      <c r="B280" s="2" t="inlineStr">
        <is>
          <t>Cây khối phân cấp (HIER-45)</t>
        </is>
      </c>
      <c r="C280" s="2" t="inlineStr">
        <is>
          <t>Migration cộng thêm có down(); dự án cũ chạy như trước</t>
        </is>
      </c>
      <c r="D280" s="2" t="inlineStr">
        <is>
          <t>A5.9.12</t>
        </is>
      </c>
      <c r="E280" s="2" t="n">
        <v>1</v>
      </c>
      <c r="F280" s="2">
        <f>SUMPRODUCT(('Anh xa'!$D$2:$D$725=A280)*1)</f>
        <v/>
      </c>
      <c r="G280" s="2">
        <f>IF(AND(F280&gt;0,F280=E280),"✓","THIẾU")</f>
        <v/>
      </c>
    </row>
    <row r="281">
      <c r="A281" s="2" t="inlineStr">
        <is>
          <t>HIER-16</t>
        </is>
      </c>
      <c r="B281" s="2" t="inlineStr">
        <is>
          <t>Cây khối phân cấp (HIER-45)</t>
        </is>
      </c>
      <c r="C281" s="2" t="inlineStr">
        <is>
          <t>Snapshot/hộ chiếu ghi block@semver đã dùng</t>
        </is>
      </c>
      <c r="D281" s="2" t="inlineStr">
        <is>
          <t>A5.9.12</t>
        </is>
      </c>
      <c r="E281" s="2" t="n">
        <v>1</v>
      </c>
      <c r="F281" s="2">
        <f>SUMPRODUCT(('Anh xa'!$D$2:$D$725=A281)*1)</f>
        <v/>
      </c>
      <c r="G281" s="2">
        <f>IF(AND(F281&gt;0,F281=E281),"✓","THIẾU")</f>
        <v/>
      </c>
    </row>
    <row r="282">
      <c r="A282" s="2" t="inlineStr">
        <is>
          <t>HIER-17</t>
        </is>
      </c>
      <c r="B282" s="2" t="inlineStr">
        <is>
          <t>Cây khối phân cấp (HIER-45)</t>
        </is>
      </c>
      <c r="C282" s="2" t="inlineStr">
        <is>
          <t>ERC/BOM/truy vết báo theo path khối</t>
        </is>
      </c>
      <c r="D282" s="2" t="inlineStr">
        <is>
          <t>A5.9.2</t>
        </is>
      </c>
      <c r="E282" s="2" t="n">
        <v>1</v>
      </c>
      <c r="F282" s="2">
        <f>SUMPRODUCT(('Anh xa'!$D$2:$D$725=A282)*1)</f>
        <v/>
      </c>
      <c r="G282" s="2">
        <f>IF(AND(F282&gt;0,F282=E282),"✓","THIẾU")</f>
        <v/>
      </c>
    </row>
    <row r="283">
      <c r="A283" s="2" t="inlineStr">
        <is>
          <t>HIER-18</t>
        </is>
      </c>
      <c r="B283" s="2" t="inlineStr">
        <is>
          <t>Cây khối phân cấp (HIER-45)</t>
        </is>
      </c>
      <c r="C283" s="2" t="inlineStr">
        <is>
          <t>Hồi quy toàn bộ giống 100 % sau migration</t>
        </is>
      </c>
      <c r="D283" s="2" t="inlineStr">
        <is>
          <t>A5.9.12</t>
        </is>
      </c>
      <c r="E283" s="2" t="n">
        <v>1</v>
      </c>
      <c r="F283" s="2">
        <f>SUMPRODUCT(('Anh xa'!$D$2:$D$725=A283)*1)</f>
        <v/>
      </c>
      <c r="G283" s="2">
        <f>IF(AND(F283&gt;0,F283=E283),"✓","THIẾU")</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3"/>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60" customWidth="1" min="3" max="3"/>
    <col width="60" customWidth="1" min="4" max="4"/>
    <col width="10" customWidth="1" min="5" max="5"/>
    <col width="12" customWidth="1" min="6" max="6"/>
    <col width="8" customWidth="1" min="7" max="7"/>
  </cols>
  <sheetData>
    <row r="1" ht="30" customHeight="1">
      <c r="A1" s="1" t="inlineStr">
        <is>
          <t>Mã UI</t>
        </is>
      </c>
      <c r="B1" s="1" t="inlineStr">
        <is>
          <t>Cấp</t>
        </is>
      </c>
      <c r="C1" s="1" t="inlineStr">
        <is>
          <t>Tên UI</t>
        </is>
      </c>
      <c r="D1" s="1" t="inlineStr">
        <is>
          <t>Danh sách mã yêu cầu (ghép)</t>
        </is>
      </c>
      <c r="E1" s="1" t="inlineStr">
        <is>
          <t>Số yêu cầu (ghép)</t>
        </is>
      </c>
      <c r="F1" s="1" t="inlineStr">
        <is>
          <t>Số yêu cầu (công thức từ Anh xa)</t>
        </is>
      </c>
      <c r="G1" s="1" t="inlineStr">
        <is>
          <t>Khớp?</t>
        </is>
      </c>
    </row>
    <row r="2">
      <c r="A2" s="2" t="inlineStr">
        <is>
          <t>A0.1</t>
        </is>
      </c>
      <c r="B2" s="2" t="n">
        <v>2</v>
      </c>
      <c r="C2" s="2" t="inlineStr">
        <is>
          <t>Trạng thái dự án</t>
        </is>
      </c>
      <c r="D2" s="2" t="inlineStr">
        <is>
          <t>LY-statusbar, N3</t>
        </is>
      </c>
      <c r="E2" s="2" t="n">
        <v>2</v>
      </c>
      <c r="F2" s="2">
        <f>SUMPRODUCT(('Anh xa'!$A$2:$A$725=A2)*1)</f>
        <v/>
      </c>
      <c r="G2" s="2">
        <f>IF(F2&gt;0,"✓","THIẾU")</f>
        <v/>
      </c>
    </row>
    <row r="3">
      <c r="A3" s="2" t="inlineStr">
        <is>
          <t>A0.1.1</t>
        </is>
      </c>
      <c r="B3" s="2" t="n">
        <v>3</v>
      </c>
      <c r="C3" s="2" t="inlineStr">
        <is>
          <t>Tên dự án + nhánh hiện tại</t>
        </is>
      </c>
      <c r="D3" s="2" t="inlineStr">
        <is>
          <t>CS-branch, LY-statusbar, UC17</t>
        </is>
      </c>
      <c r="E3" s="2" t="n">
        <v>3</v>
      </c>
      <c r="F3" s="2">
        <f>SUMPRODUCT(('Anh xa'!$A$2:$A$725=A3)*1)</f>
        <v/>
      </c>
      <c r="G3" s="2">
        <f>IF(F3&gt;0,"✓","THIẾU")</f>
        <v/>
      </c>
    </row>
    <row r="4">
      <c r="A4" s="2" t="inlineStr">
        <is>
          <t>A0.1.2</t>
        </is>
      </c>
      <c r="B4" s="2" t="n">
        <v>3</v>
      </c>
      <c r="C4" s="2" t="inlineStr">
        <is>
          <t>Chip đã ghim (ns.part@semver) + ISA</t>
        </is>
      </c>
      <c r="D4" s="2" t="inlineStr">
        <is>
          <t>AR05, DS6</t>
        </is>
      </c>
      <c r="E4" s="2" t="n">
        <v>2</v>
      </c>
      <c r="F4" s="2">
        <f>SUMPRODUCT(('Anh xa'!$A$2:$A$725=A4)*1)</f>
        <v/>
      </c>
      <c r="G4" s="2">
        <f>IF(F4&gt;0,"✓","THIẾU")</f>
        <v/>
      </c>
    </row>
    <row r="5">
      <c r="A5" s="2" t="inlineStr">
        <is>
          <t>A0.1.3</t>
        </is>
      </c>
      <c r="B5" s="2" t="n">
        <v>3</v>
      </c>
      <c r="C5" s="2" t="inlineStr">
        <is>
          <t>Fact theo tầng (VÀNG/BẠC/NGƯỜI/ĐỒNG)</t>
        </is>
      </c>
      <c r="D5" s="2" t="inlineStr">
        <is>
          <t>N2, T-BAC, T-DONG, T-NGUOI, T-VANG</t>
        </is>
      </c>
      <c r="E5" s="2" t="n">
        <v>5</v>
      </c>
      <c r="F5" s="2">
        <f>SUMPRODUCT(('Anh xa'!$A$2:$A$725=A5)*1)</f>
        <v/>
      </c>
      <c r="G5" s="2">
        <f>IF(F5&gt;0,"✓","THIẾU")</f>
        <v/>
      </c>
    </row>
    <row r="6">
      <c r="A6" s="2" t="inlineStr">
        <is>
          <t>A0.1.4</t>
        </is>
      </c>
      <c r="B6" s="2" t="n">
        <v>3</v>
      </c>
      <c r="C6" s="2" t="inlineStr">
        <is>
          <t>Chặng hiện tại C1–C7</t>
        </is>
      </c>
      <c r="D6" s="2" t="inlineStr">
        <is>
          <t>C1, C2, C3, C4, C5, C6, C7, CX-inventory</t>
        </is>
      </c>
      <c r="E6" s="2" t="n">
        <v>8</v>
      </c>
      <c r="F6" s="2">
        <f>SUMPRODUCT(('Anh xa'!$A$2:$A$725=A6)*1)</f>
        <v/>
      </c>
      <c r="G6" s="2">
        <f>IF(F6&gt;0,"✓","THIẾU")</f>
        <v/>
      </c>
    </row>
    <row r="7">
      <c r="A7" s="2" t="inlineStr">
        <is>
          <t>A0.1.5</t>
        </is>
      </c>
      <c r="B7" s="2" t="n">
        <v>3</v>
      </c>
      <c r="C7" s="2" t="inlineStr">
        <is>
          <t>Snapshot gần nhất + khoảng cách (changeset)</t>
        </is>
      </c>
      <c r="D7" s="2" t="inlineStr">
        <is>
          <t>LY-statusbar, SN-resume-info</t>
        </is>
      </c>
      <c r="E7" s="2" t="n">
        <v>2</v>
      </c>
      <c r="F7" s="2">
        <f>SUMPRODUCT(('Anh xa'!$A$2:$A$725=A7)*1)</f>
        <v/>
      </c>
      <c r="G7" s="2">
        <f>IF(F7&gt;0,"✓","THIẾU")</f>
        <v/>
      </c>
    </row>
    <row r="8">
      <c r="A8" s="2" t="inlineStr">
        <is>
          <t>A0.1.6</t>
        </is>
      </c>
      <c r="B8" s="2" t="n">
        <v>3</v>
      </c>
      <c r="C8" s="2" t="inlineStr">
        <is>
          <t>Số hiện vật STALE (bấm → Lịch sử)</t>
        </is>
      </c>
      <c r="D8" s="2" t="inlineStr">
        <is>
          <t>CS-stale, PR3</t>
        </is>
      </c>
      <c r="E8" s="2" t="n">
        <v>2</v>
      </c>
      <c r="F8" s="2">
        <f>SUMPRODUCT(('Anh xa'!$A$2:$A$725=A8)*1)</f>
        <v/>
      </c>
      <c r="G8" s="2">
        <f>IF(F8&gt;0,"✓","THIẾU")</f>
        <v/>
      </c>
    </row>
    <row r="9">
      <c r="A9" s="2" t="inlineStr">
        <is>
          <t>A0.1.7</t>
        </is>
      </c>
      <c r="B9" s="2" t="n">
        <v>3</v>
      </c>
      <c r="C9" s="2" t="inlineStr">
        <is>
          <t>Mức tự chủ hiện tại (A0–A4) + mô hình</t>
        </is>
      </c>
      <c r="D9" s="2" t="inlineStr">
        <is>
          <t>MM-autonomy, MM-model</t>
        </is>
      </c>
      <c r="E9" s="2" t="n">
        <v>2</v>
      </c>
      <c r="F9" s="2">
        <f>SUMPRODUCT(('Anh xa'!$A$2:$A$725=A9)*1)</f>
        <v/>
      </c>
      <c r="G9" s="2">
        <f>IF(F9&gt;0,"✓","THIẾU")</f>
        <v/>
      </c>
    </row>
    <row r="10">
      <c r="A10" s="2" t="inlineStr">
        <is>
          <t>A0.1.8</t>
        </is>
      </c>
      <c r="B10" s="2" t="n">
        <v>3</v>
      </c>
      <c r="C10" s="2" t="inlineStr">
        <is>
          <t>Ngân sách lượt: tool/40 · giây/300 · ngữ cảnh %</t>
        </is>
      </c>
      <c r="D10" s="2" t="inlineStr">
        <is>
          <t>CX-budget, IN-timeout</t>
        </is>
      </c>
      <c r="E10" s="2" t="n">
        <v>2</v>
      </c>
      <c r="F10" s="2">
        <f>SUMPRODUCT(('Anh xa'!$A$2:$A$725=A10)*1)</f>
        <v/>
      </c>
      <c r="G10" s="2">
        <f>IF(F10&gt;0,"✓","THIẾU")</f>
        <v/>
      </c>
    </row>
    <row r="11">
      <c r="A11" s="2" t="inlineStr">
        <is>
          <t>A0.1.9</t>
        </is>
      </c>
      <c r="B11" s="2" t="n">
        <v>3</v>
      </c>
      <c r="C11" s="2" t="inlineStr">
        <is>
          <t>Trạng thái kết nối lõi/mạng</t>
        </is>
      </c>
      <c r="D11" s="2" t="inlineStr">
        <is>
          <t>I5, IN-network</t>
        </is>
      </c>
      <c r="E11" s="2" t="n">
        <v>2</v>
      </c>
      <c r="F11" s="2">
        <f>SUMPRODUCT(('Anh xa'!$A$2:$A$725=A11)*1)</f>
        <v/>
      </c>
      <c r="G11" s="2">
        <f>IF(F11&gt;0,"✓","THIẾU")</f>
        <v/>
      </c>
    </row>
    <row r="12">
      <c r="A12" s="2" t="inlineStr">
        <is>
          <t>A1.1</t>
        </is>
      </c>
      <c r="B12" s="2" t="n">
        <v>2</v>
      </c>
      <c r="C12" s="2" t="inlineStr">
        <is>
          <t>Dòng hội thoại (transcript)</t>
        </is>
      </c>
      <c r="D12" s="2" t="inlineStr">
        <is>
          <t>I2, UI-console.post, UI-console.stream</t>
        </is>
      </c>
      <c r="E12" s="2" t="n">
        <v>3</v>
      </c>
      <c r="F12" s="2">
        <f>SUMPRODUCT(('Anh xa'!$A$2:$A$725=A12)*1)</f>
        <v/>
      </c>
      <c r="G12" s="2">
        <f>IF(F12&gt;0,"✓","THIẾU")</f>
        <v/>
      </c>
    </row>
    <row r="13">
      <c r="A13" s="2" t="inlineStr">
        <is>
          <t>A1.1.1</t>
        </is>
      </c>
      <c r="B13" s="2" t="n">
        <v>3</v>
      </c>
      <c r="C13" s="2" t="inlineStr">
        <is>
          <t>Dòng [Tác tử] (stream, markdown, liên kết mở tab)</t>
        </is>
      </c>
      <c r="D13" s="2" t="inlineStr">
        <is>
          <t>PR2, UI-console.post, UI-console.stream</t>
        </is>
      </c>
      <c r="E13" s="2" t="n">
        <v>3</v>
      </c>
      <c r="F13" s="2">
        <f>SUMPRODUCT(('Anh xa'!$A$2:$A$725=A13)*1)</f>
        <v/>
      </c>
      <c r="G13" s="2">
        <f>IF(F13&gt;0,"✓","THIẾU")</f>
        <v/>
      </c>
    </row>
    <row r="14">
      <c r="A14" s="2" t="inlineStr">
        <is>
          <t>A1.1.2</t>
        </is>
      </c>
      <c r="B14" s="2" t="n">
        <v>3</v>
      </c>
      <c r="C14" s="2" t="inlineStr">
        <is>
          <t>Dòng [Bạn] cho MỌI HumanAct (kể cả thao tác trên tab)</t>
        </is>
      </c>
      <c r="D14" s="2" t="inlineStr">
        <is>
          <t>ED2, I1, I2</t>
        </is>
      </c>
      <c r="E14" s="2" t="n">
        <v>3</v>
      </c>
      <c r="F14" s="2">
        <f>SUMPRODUCT(('Anh xa'!$A$2:$A$725=A14)*1)</f>
        <v/>
      </c>
      <c r="G14" s="2">
        <f>IF(F14&gt;0,"✓","THIẾU")</f>
        <v/>
      </c>
    </row>
    <row r="15">
      <c r="A15" s="2" t="inlineStr">
        <is>
          <t>A1.1.3</t>
        </is>
      </c>
      <c r="B15" s="2" t="n">
        <v>3</v>
      </c>
      <c r="C15" s="2" t="inlineStr">
        <is>
          <t>Dòng [Hệ thống] sự cố/thông báo</t>
        </is>
      </c>
      <c r="D15" s="2" t="inlineStr">
        <is>
          <t>IN-llm, IN-network, IN-timeout, UI-notice</t>
        </is>
      </c>
      <c r="E15" s="2" t="n">
        <v>4</v>
      </c>
      <c r="F15" s="2">
        <f>SUMPRODUCT(('Anh xa'!$A$2:$A$725=A15)*1)</f>
        <v/>
      </c>
      <c r="G15" s="2">
        <f>IF(F15&gt;0,"✓","THIẾU")</f>
        <v/>
      </c>
    </row>
    <row r="16">
      <c r="A16" s="2" t="inlineStr">
        <is>
          <t>A1.1.4</t>
        </is>
      </c>
      <c r="B16" s="2" t="n">
        <v>3</v>
      </c>
      <c r="C16" s="2" t="inlineStr">
        <is>
          <t>Báo cáo lượt (đã làm / bỏ / giả định / hoàn tác tới đâu / chi phí)</t>
        </is>
      </c>
      <c r="D16" s="2" t="inlineStr">
        <is>
          <t>AR21, CX-budget, N4</t>
        </is>
      </c>
      <c r="E16" s="2" t="n">
        <v>3</v>
      </c>
      <c r="F16" s="2">
        <f>SUMPRODUCT(('Anh xa'!$A$2:$A$725=A16)*1)</f>
        <v/>
      </c>
      <c r="G16" s="2">
        <f>IF(F16&gt;0,"✓","THIẾU")</f>
        <v/>
      </c>
    </row>
    <row r="17">
      <c r="A17" s="2" t="inlineStr">
        <is>
          <t>A1.1.5</t>
        </is>
      </c>
      <c r="B17" s="2" t="n">
        <v>3</v>
      </c>
      <c r="C17" s="2" t="inlineStr">
        <is>
          <t>Phát lại (replay) transcript từ sổ cái</t>
        </is>
      </c>
      <c r="D17" s="2" t="inlineStr">
        <is>
          <t>I2, I5, UC17</t>
        </is>
      </c>
      <c r="E17" s="2" t="n">
        <v>3</v>
      </c>
      <c r="F17" s="2">
        <f>SUMPRODUCT(('Anh xa'!$A$2:$A$725=A17)*1)</f>
        <v/>
      </c>
      <c r="G17" s="2">
        <f>IF(F17&gt;0,"✓","THIẾU")</f>
        <v/>
      </c>
    </row>
    <row r="18">
      <c r="A18" s="2" t="inlineStr">
        <is>
          <t>A1.2</t>
        </is>
      </c>
      <c r="B18" s="2" t="n">
        <v>2</v>
      </c>
      <c r="C18" s="2" t="inlineStr">
        <is>
          <t>Ô nhập</t>
        </is>
      </c>
      <c r="D18" s="2" t="inlineStr">
        <is>
          <t>HA-say</t>
        </is>
      </c>
      <c r="E18" s="2" t="n">
        <v>1</v>
      </c>
      <c r="F18" s="2">
        <f>SUMPRODUCT(('Anh xa'!$A$2:$A$725=A18)*1)</f>
        <v/>
      </c>
      <c r="G18" s="2">
        <f>IF(F18&gt;0,"✓","THIẾU")</f>
        <v/>
      </c>
    </row>
    <row r="19">
      <c r="A19" s="2" t="inlineStr">
        <is>
          <t>A1.2.1</t>
        </is>
      </c>
      <c r="B19" s="2" t="n">
        <v>3</v>
      </c>
      <c r="C19" s="2" t="inlineStr">
        <is>
          <t>Gõ tự do (say) + Enter gửi</t>
        </is>
      </c>
      <c r="D19" s="2" t="inlineStr">
        <is>
          <t>HA-say, I1</t>
        </is>
      </c>
      <c r="E19" s="2" t="n">
        <v>2</v>
      </c>
      <c r="F19" s="2">
        <f>SUMPRODUCT(('Anh xa'!$A$2:$A$725=A19)*1)</f>
        <v/>
      </c>
      <c r="G19" s="2">
        <f>IF(F19&gt;0,"✓","THIẾU")</f>
        <v/>
      </c>
    </row>
    <row r="20">
      <c r="A20" s="2" t="inlineStr">
        <is>
          <t>A1.2.2</t>
        </is>
      </c>
      <c r="B20" s="2" t="n">
        <v>3</v>
      </c>
      <c r="C20" s="2" t="inlineStr">
        <is>
          <t>Đính kèm tệp (upload)</t>
        </is>
      </c>
      <c r="D20" s="2" t="inlineStr">
        <is>
          <t>DS1, HA-upload</t>
        </is>
      </c>
      <c r="E20" s="2" t="n">
        <v>2</v>
      </c>
      <c r="F20" s="2">
        <f>SUMPRODUCT(('Anh xa'!$A$2:$A$725=A20)*1)</f>
        <v/>
      </c>
      <c r="G20" s="2">
        <f>IF(F20&gt;0,"✓","THIẾU")</f>
        <v/>
      </c>
    </row>
    <row r="21">
      <c r="A21" s="2" t="inlineStr">
        <is>
          <t>A1.2.3</t>
        </is>
      </c>
      <c r="B21" s="2" t="n">
        <v>3</v>
      </c>
      <c r="C21" s="2" t="inlineStr">
        <is>
          <t>Lệnh nhanh: /dung /tiep-tuc /hoan-tac /snapshot /nhanh</t>
        </is>
      </c>
      <c r="D21" s="2" t="inlineStr">
        <is>
          <t>HA-branch, HA-resume, HA-snapshot, HA-stop, HA-undo</t>
        </is>
      </c>
      <c r="E21" s="2" t="n">
        <v>5</v>
      </c>
      <c r="F21" s="2">
        <f>SUMPRODUCT(('Anh xa'!$A$2:$A$725=A21)*1)</f>
        <v/>
      </c>
      <c r="G21" s="2">
        <f>IF(F21&gt;0,"✓","THIẾU")</f>
        <v/>
      </c>
    </row>
    <row r="22">
      <c r="A22" s="2" t="inlineStr">
        <is>
          <t>A1.2.4</t>
        </is>
      </c>
      <c r="B22" s="2" t="n">
        <v>3</v>
      </c>
      <c r="C22" s="2" t="inlineStr">
        <is>
          <t>Gợi ý điền sẵn từ ngữ cảnh (chip, tệp, run vừa nhắc)</t>
        </is>
      </c>
      <c r="D22" s="2" t="inlineStr">
        <is>
          <t>CX-inventory, N4</t>
        </is>
      </c>
      <c r="E22" s="2" t="n">
        <v>2</v>
      </c>
      <c r="F22" s="2">
        <f>SUMPRODUCT(('Anh xa'!$A$2:$A$725=A22)*1)</f>
        <v/>
      </c>
      <c r="G22" s="2">
        <f>IF(F22&gt;0,"✓","THIẾU")</f>
        <v/>
      </c>
    </row>
    <row r="23">
      <c r="A23" s="2" t="inlineStr">
        <is>
          <t>A1.3</t>
        </is>
      </c>
      <c r="B23" s="2" t="n">
        <v>2</v>
      </c>
      <c r="C23" s="2" t="inlineStr">
        <is>
          <t>Thẻ đang chờ (Card)</t>
        </is>
      </c>
      <c r="D23" s="2" t="inlineStr">
        <is>
          <t>HA-choose, UI-card.expire, UI-card.resolve</t>
        </is>
      </c>
      <c r="E23" s="2" t="n">
        <v>3</v>
      </c>
      <c r="F23" s="2">
        <f>SUMPRODUCT(('Anh xa'!$A$2:$A$725=A23)*1)</f>
        <v/>
      </c>
      <c r="G23" s="2">
        <f>IF(F23&gt;0,"✓","THIẾU")</f>
        <v/>
      </c>
    </row>
    <row r="24">
      <c r="A24" s="2" t="inlineStr">
        <is>
          <t>A1.3.1</t>
        </is>
      </c>
      <c r="B24" s="2" t="n">
        <v>3</v>
      </c>
      <c r="C24" s="2" t="inlineStr">
        <is>
          <t>Thẻ làm rõ (clarify) nhiều mục, mục bắt buộc/tuỳ chọn có default</t>
        </is>
      </c>
      <c r="D24" s="2" t="inlineStr">
        <is>
          <t>HA-choose, N4, UC01</t>
        </is>
      </c>
      <c r="E24" s="2" t="n">
        <v>3</v>
      </c>
      <c r="F24" s="2">
        <f>SUMPRODUCT(('Anh xa'!$A$2:$A$725=A24)*1)</f>
        <v/>
      </c>
      <c r="G24" s="2">
        <f>IF(F24&gt;0,"✓","THIẾU")</f>
        <v/>
      </c>
    </row>
    <row r="25">
      <c r="A25" s="2" t="inlineStr">
        <is>
          <t>A1.3.2</t>
        </is>
      </c>
      <c r="B25" s="2" t="n">
        <v>3</v>
      </c>
      <c r="C25" s="2" t="inlineStr">
        <is>
          <t>Thẻ đề nghị (proposal) 3 lựa chọn — ví dụ datasheet chip</t>
        </is>
      </c>
      <c r="D25" s="2" t="inlineStr">
        <is>
          <t>DS1, HA-choose, UC02</t>
        </is>
      </c>
      <c r="E25" s="2" t="n">
        <v>3</v>
      </c>
      <c r="F25" s="2">
        <f>SUMPRODUCT(('Anh xa'!$A$2:$A$725=A25)*1)</f>
        <v/>
      </c>
      <c r="G25" s="2">
        <f>IF(F25&gt;0,"✓","THIẾU")</f>
        <v/>
      </c>
    </row>
    <row r="26">
      <c r="A26" s="2" t="inlineStr">
        <is>
          <t>A1.3.3</t>
        </is>
      </c>
      <c r="B26" s="2" t="n">
        <v>3</v>
      </c>
      <c r="C26" s="2" t="inlineStr">
        <is>
          <t>Thẻ kế hoạch (plan) có checkbox bước + chi phí + giả định</t>
        </is>
      </c>
      <c r="D26" s="2" t="inlineStr">
        <is>
          <t>AR12, CX-plan, G-SCOPE</t>
        </is>
      </c>
      <c r="E26" s="2" t="n">
        <v>3</v>
      </c>
      <c r="F26" s="2">
        <f>SUMPRODUCT(('Anh xa'!$A$2:$A$725=A26)*1)</f>
        <v/>
      </c>
      <c r="G26" s="2">
        <f>IF(F26&gt;0,"✓","THIẾU")</f>
        <v/>
      </c>
    </row>
    <row r="27">
      <c r="A27" s="2" t="inlineStr">
        <is>
          <t>A1.3.4</t>
        </is>
      </c>
      <c r="B27" s="2" t="n">
        <v>3</v>
      </c>
      <c r="C27" s="2" t="inlineStr">
        <is>
          <t>Thẻ tiêu chí (criteria) form assert</t>
        </is>
      </c>
      <c r="D27" s="2" t="inlineStr">
        <is>
          <t>AR16, N6, TL-criteria</t>
        </is>
      </c>
      <c r="E27" s="2" t="n">
        <v>3</v>
      </c>
      <c r="F27" s="2">
        <f>SUMPRODUCT(('Anh xa'!$A$2:$A$725=A27)*1)</f>
        <v/>
      </c>
      <c r="G27" s="2">
        <f>IF(F27&gt;0,"✓","THIẾU")</f>
        <v/>
      </c>
    </row>
    <row r="28">
      <c r="A28" s="2" t="inlineStr">
        <is>
          <t>A1.3.5</t>
        </is>
      </c>
      <c r="B28" s="2" t="n">
        <v>3</v>
      </c>
      <c r="C28" s="2" t="inlineStr">
        <is>
          <t>Thẻ báo cáo (report) + Mở tab / Hoàn tác</t>
        </is>
      </c>
      <c r="D28" s="2" t="inlineStr">
        <is>
          <t>AR21, CS-undo30s</t>
        </is>
      </c>
      <c r="E28" s="2" t="n">
        <v>2</v>
      </c>
      <c r="F28" s="2">
        <f>SUMPRODUCT(('Anh xa'!$A$2:$A$725=A28)*1)</f>
        <v/>
      </c>
      <c r="G28" s="2">
        <f>IF(F28&gt;0,"✓","THIẾU")</f>
        <v/>
      </c>
    </row>
    <row r="29">
      <c r="A29" s="2" t="inlineStr">
        <is>
          <t>A1.3.6</t>
        </is>
      </c>
      <c r="B29" s="2" t="n">
        <v>3</v>
      </c>
      <c r="C29" s="2" t="inlineStr">
        <is>
          <t>Thẻ đã đóng/hết hạn (mờ, giữ nội dung)</t>
        </is>
      </c>
      <c r="D29" s="2" t="inlineStr">
        <is>
          <t>UI-card.expire, UI-card.resolve</t>
        </is>
      </c>
      <c r="E29" s="2" t="n">
        <v>2</v>
      </c>
      <c r="F29" s="2">
        <f>SUMPRODUCT(('Anh xa'!$A$2:$A$725=A29)*1)</f>
        <v/>
      </c>
      <c r="G29" s="2">
        <f>IF(F29&gt;0,"✓","THIẾU")</f>
        <v/>
      </c>
    </row>
    <row r="30">
      <c r="A30" s="2" t="inlineStr">
        <is>
          <t>A1.4</t>
        </is>
      </c>
      <c r="B30" s="2" t="n">
        <v>2</v>
      </c>
      <c r="C30" s="2" t="inlineStr">
        <is>
          <t>Thẻ Run (lượt đang chạy)</t>
        </is>
      </c>
      <c r="D30" s="2" t="inlineStr">
        <is>
          <t>LY-runcard, UI-run.update</t>
        </is>
      </c>
      <c r="E30" s="2" t="n">
        <v>2</v>
      </c>
      <c r="F30" s="2">
        <f>SUMPRODUCT(('Anh xa'!$A$2:$A$725=A30)*1)</f>
        <v/>
      </c>
      <c r="G30" s="2">
        <f>IF(F30&gt;0,"✓","THIẾU")</f>
        <v/>
      </c>
    </row>
    <row r="31">
      <c r="A31" s="2" t="inlineStr">
        <is>
          <t>A1.4.1</t>
        </is>
      </c>
      <c r="B31" s="2" t="n">
        <v>3</v>
      </c>
      <c r="C31" s="2" t="inlineStr">
        <is>
          <t>Tiến trình theo bước/tool (đang chạy, xong, bỏ, chờ cổng)</t>
        </is>
      </c>
      <c r="D31" s="2" t="inlineStr">
        <is>
          <t>PR5, UI-run.update</t>
        </is>
      </c>
      <c r="E31" s="2" t="n">
        <v>2</v>
      </c>
      <c r="F31" s="2">
        <f>SUMPRODUCT(('Anh xa'!$A$2:$A$725=A31)*1)</f>
        <v/>
      </c>
      <c r="G31" s="2">
        <f>IF(F31&gt;0,"✓","THIẾU")</f>
        <v/>
      </c>
    </row>
    <row r="32">
      <c r="A32" s="2" t="inlineStr">
        <is>
          <t>A1.4.2</t>
        </is>
      </c>
      <c r="B32" s="2" t="n">
        <v>3</v>
      </c>
      <c r="C32" s="2" t="inlineStr">
        <is>
          <t>Subagent đang chạy (tên, tool được phép, trạng thái)</t>
        </is>
      </c>
      <c r="D32" s="2" t="inlineStr">
        <is>
          <t>CX-subagent</t>
        </is>
      </c>
      <c r="E32" s="2" t="n">
        <v>1</v>
      </c>
      <c r="F32" s="2">
        <f>SUMPRODUCT(('Anh xa'!$A$2:$A$725=A32)*1)</f>
        <v/>
      </c>
      <c r="G32" s="2">
        <f>IF(F32&gt;0,"✓","THIẾU")</f>
        <v/>
      </c>
    </row>
    <row r="33">
      <c r="A33" s="2" t="inlineStr">
        <is>
          <t>A1.4.3</t>
        </is>
      </c>
      <c r="B33" s="2" t="n">
        <v>3</v>
      </c>
      <c r="C33" s="2" t="inlineStr">
        <is>
          <t>Nút Dừng khẩn</t>
        </is>
      </c>
      <c r="D33" s="2" t="inlineStr">
        <is>
          <t>HA-stop, N5, UC19</t>
        </is>
      </c>
      <c r="E33" s="2" t="n">
        <v>3</v>
      </c>
      <c r="F33" s="2">
        <f>SUMPRODUCT(('Anh xa'!$A$2:$A$725=A33)*1)</f>
        <v/>
      </c>
      <c r="G33" s="2">
        <f>IF(F33&gt;0,"✓","THIẾU")</f>
        <v/>
      </c>
    </row>
    <row r="34">
      <c r="A34" s="2" t="inlineStr">
        <is>
          <t>A1.4.4</t>
        </is>
      </c>
      <c r="B34" s="2" t="n">
        <v>3</v>
      </c>
      <c r="C34" s="2" t="inlineStr">
        <is>
          <t>Nút Hoàn tác lượt (30 s không cần thẻ)</t>
        </is>
      </c>
      <c r="D34" s="2" t="inlineStr">
        <is>
          <t>CS-undo30s, HA-undo</t>
        </is>
      </c>
      <c r="E34" s="2" t="n">
        <v>2</v>
      </c>
      <c r="F34" s="2">
        <f>SUMPRODUCT(('Anh xa'!$A$2:$A$725=A34)*1)</f>
        <v/>
      </c>
      <c r="G34" s="2">
        <f>IF(F34&gt;0,"✓","THIẾU")</f>
        <v/>
      </c>
    </row>
    <row r="35">
      <c r="A35" s="2" t="inlineStr">
        <is>
          <t>A1.4.5</t>
        </is>
      </c>
      <c r="B35" s="2" t="n">
        <v>3</v>
      </c>
      <c r="C35" s="2" t="inlineStr">
        <is>
          <t>Nút Ghi bản ưng ý</t>
        </is>
      </c>
      <c r="D35" s="2" t="inlineStr">
        <is>
          <t>HA-snapshot, SN-human</t>
        </is>
      </c>
      <c r="E35" s="2" t="n">
        <v>2</v>
      </c>
      <c r="F35" s="2">
        <f>SUMPRODUCT(('Anh xa'!$A$2:$A$725=A35)*1)</f>
        <v/>
      </c>
      <c r="G35" s="2">
        <f>IF(F35&gt;0,"✓","THIẾU")</f>
        <v/>
      </c>
    </row>
    <row r="36">
      <c r="A36" s="2" t="inlineStr">
        <is>
          <t>A1.4.6</t>
        </is>
      </c>
      <c r="B36" s="2" t="n">
        <v>3</v>
      </c>
      <c r="C36" s="2" t="inlineStr">
        <is>
          <t>Giả định đang dùng của lượt</t>
        </is>
      </c>
      <c r="D36" s="2" t="inlineStr">
        <is>
          <t>AR20, CX-assumptions, N4</t>
        </is>
      </c>
      <c r="E36" s="2" t="n">
        <v>3</v>
      </c>
      <c r="F36" s="2">
        <f>SUMPRODUCT(('Anh xa'!$A$2:$A$725=A36)*1)</f>
        <v/>
      </c>
      <c r="G36" s="2">
        <f>IF(F36&gt;0,"✓","THIẾU")</f>
        <v/>
      </c>
    </row>
    <row r="37">
      <c r="A37" s="2" t="inlineStr">
        <is>
          <t>A1.4.7</t>
        </is>
      </c>
      <c r="B37" s="2" t="n">
        <v>3</v>
      </c>
      <c r="C37" s="2" t="inlineStr">
        <is>
          <t>Chi phí token/giây đến hiện tại</t>
        </is>
      </c>
      <c r="D37" s="2" t="inlineStr">
        <is>
          <t>CX-budget</t>
        </is>
      </c>
      <c r="E37" s="2" t="n">
        <v>1</v>
      </c>
      <c r="F37" s="2">
        <f>SUMPRODUCT(('Anh xa'!$A$2:$A$725=A37)*1)</f>
        <v/>
      </c>
      <c r="G37" s="2">
        <f>IF(F37&gt;0,"✓","THIẾU")</f>
        <v/>
      </c>
    </row>
    <row r="38">
      <c r="A38" s="2" t="inlineStr">
        <is>
          <t>A1.4.8</t>
        </is>
      </c>
      <c r="B38" s="2" t="n">
        <v>3</v>
      </c>
      <c r="C38" s="2" t="inlineStr">
        <is>
          <t>Nút Tiếp tục (sau sự cố/dừng)</t>
        </is>
      </c>
      <c r="D38" s="2" t="inlineStr">
        <is>
          <t>HA-resume, IN-resume</t>
        </is>
      </c>
      <c r="E38" s="2" t="n">
        <v>2</v>
      </c>
      <c r="F38" s="2">
        <f>SUMPRODUCT(('Anh xa'!$A$2:$A$725=A38)*1)</f>
        <v/>
      </c>
      <c r="G38" s="2">
        <f>IF(F38&gt;0,"✓","THIẾU")</f>
        <v/>
      </c>
    </row>
    <row r="39">
      <c r="A39" s="2" t="inlineStr">
        <is>
          <t>A1.5</t>
        </is>
      </c>
      <c r="B39" s="2" t="n">
        <v>2</v>
      </c>
      <c r="C39" s="2" t="inlineStr">
        <is>
          <t>Kích cỡ Console</t>
        </is>
      </c>
      <c r="D39" s="2" t="inlineStr">
        <is>
          <t>LY-console3</t>
        </is>
      </c>
      <c r="E39" s="2" t="n">
        <v>1</v>
      </c>
      <c r="F39" s="2">
        <f>SUMPRODUCT(('Anh xa'!$A$2:$A$725=A39)*1)</f>
        <v/>
      </c>
      <c r="G39" s="2">
        <f>IF(F39&gt;0,"✓","THIẾU")</f>
        <v/>
      </c>
    </row>
    <row r="40">
      <c r="A40" s="2" t="inlineStr">
        <is>
          <t>A1.5.1</t>
        </is>
      </c>
      <c r="B40" s="2" t="n">
        <v>3</v>
      </c>
      <c r="C40" s="2" t="inlineStr">
        <is>
          <t>Chuyển 3 cỡ (hẹp/vừa/rộng)</t>
        </is>
      </c>
      <c r="D40" s="2" t="inlineStr">
        <is>
          <t>HA-set, LY-console3, UI-ui.set</t>
        </is>
      </c>
      <c r="E40" s="2" t="n">
        <v>3</v>
      </c>
      <c r="F40" s="2">
        <f>SUMPRODUCT(('Anh xa'!$A$2:$A$725=A40)*1)</f>
        <v/>
      </c>
      <c r="G40" s="2">
        <f>IF(F40&gt;0,"✓","THIẾU")</f>
        <v/>
      </c>
    </row>
    <row r="41">
      <c r="A41" s="2" t="inlineStr">
        <is>
          <t>A2.1</t>
        </is>
      </c>
      <c r="B41" s="2" t="n">
        <v>2</v>
      </c>
      <c r="C41" s="2" t="inlineStr">
        <is>
          <t>Đặc tả yêu cầu (có phiên bản)</t>
        </is>
      </c>
      <c r="D41" s="2" t="inlineStr">
        <is>
          <t>AR01, C1, N7, UC01</t>
        </is>
      </c>
      <c r="E41" s="2" t="n">
        <v>4</v>
      </c>
      <c r="F41" s="2">
        <f>SUMPRODUCT(('Anh xa'!$A$2:$A$725=A41)*1)</f>
        <v/>
      </c>
      <c r="G41" s="2">
        <f>IF(F41&gt;0,"✓","THIẾU")</f>
        <v/>
      </c>
    </row>
    <row r="42">
      <c r="A42" s="2" t="inlineStr">
        <is>
          <t>A2.1.1</t>
        </is>
      </c>
      <c r="B42" s="2" t="n">
        <v>3</v>
      </c>
      <c r="C42" s="2" t="inlineStr">
        <is>
          <t>Tóm tắt + Vì sao? + Giải thích thêm (lớp giải thích)</t>
        </is>
      </c>
      <c r="D42" s="2" t="inlineStr">
        <is>
          <t>EX-explain-more, EX-summary, EX-why, EX-why-button, N8, UI-explain.show</t>
        </is>
      </c>
      <c r="E42" s="2" t="n">
        <v>6</v>
      </c>
      <c r="F42" s="2">
        <f>SUMPRODUCT(('Anh xa'!$A$2:$A$725=A42)*1)</f>
        <v/>
      </c>
      <c r="G42" s="2">
        <f>IF(F42&gt;0,"✓","THIẾU")</f>
        <v/>
      </c>
    </row>
    <row r="43">
      <c r="A43" s="2" t="inlineStr">
        <is>
          <t>A2.1.0</t>
        </is>
      </c>
      <c r="B43" s="2" t="n">
        <v>3</v>
      </c>
      <c r="C43" s="2" t="inlineStr">
        <is>
          <t>Khối chuẩn: gập/mở chi tiết; một hành động tiếp theo nổi bật (next)</t>
        </is>
      </c>
      <c r="D43" s="2" t="inlineStr">
        <is>
          <t>EX-next, PR1, PR4</t>
        </is>
      </c>
      <c r="E43" s="2" t="n">
        <v>3</v>
      </c>
      <c r="F43" s="2">
        <f>SUMPRODUCT(('Anh xa'!$A$2:$A$725=A43)*1)</f>
        <v/>
      </c>
      <c r="G43" s="2">
        <f>IF(F43&gt;0,"✓","THIẾU")</f>
        <v/>
      </c>
    </row>
    <row r="44">
      <c r="A44" s="2" t="inlineStr">
        <is>
          <t>A2.1.2</t>
        </is>
      </c>
      <c r="B44" s="2" t="n">
        <v>3</v>
      </c>
      <c r="C44" s="2" t="inlineStr">
        <is>
          <t>Bảng REQ (FR/NFR/UR): mô tả, tiêu chí đo, cột 'trích lời anh' (source_quote)</t>
        </is>
      </c>
      <c r="D44" s="2" t="inlineStr">
        <is>
          <t>AR01, N7, PR2</t>
        </is>
      </c>
      <c r="E44" s="2" t="n">
        <v>3</v>
      </c>
      <c r="F44" s="2">
        <f>SUMPRODUCT(('Anh xa'!$A$2:$A$725=A44)*1)</f>
        <v/>
      </c>
      <c r="G44" s="2">
        <f>IF(F44&gt;0,"✓","THIẾU")</f>
        <v/>
      </c>
    </row>
    <row r="45">
      <c r="A45" s="2" t="inlineStr">
        <is>
          <t>A2.1.3</t>
        </is>
      </c>
      <c r="B45" s="2" t="n">
        <v>3</v>
      </c>
      <c r="C45" s="2" t="inlineStr">
        <is>
          <t>Sửa mô tả/tiêu chí inline + ô 'vì sao'</t>
        </is>
      </c>
      <c r="D45" s="2" t="inlineStr">
        <is>
          <t>ED1, ED2, EDK-content, HA-edit</t>
        </is>
      </c>
      <c r="E45" s="2" t="n">
        <v>4</v>
      </c>
      <c r="F45" s="2">
        <f>SUMPRODUCT(('Anh xa'!$A$2:$A$725=A45)*1)</f>
        <v/>
      </c>
      <c r="G45" s="2">
        <f>IF(F45&gt;0,"✓","THIẾU")</f>
        <v/>
      </c>
    </row>
    <row r="46">
      <c r="A46" s="2" t="inlineStr">
        <is>
          <t>A2.1.4</t>
        </is>
      </c>
      <c r="B46" s="2" t="n">
        <v>3</v>
      </c>
      <c r="C46" s="2" t="inlineStr">
        <is>
          <t>Thêm / xoá REQ</t>
        </is>
      </c>
      <c r="D46" s="2" t="inlineStr">
        <is>
          <t>EDK-content, HA-edit</t>
        </is>
      </c>
      <c r="E46" s="2" t="n">
        <v>2</v>
      </c>
      <c r="F46" s="2">
        <f>SUMPRODUCT(('Anh xa'!$A$2:$A$725=A46)*1)</f>
        <v/>
      </c>
      <c r="G46" s="2">
        <f>IF(F46&gt;0,"✓","THIẾU")</f>
        <v/>
      </c>
    </row>
    <row r="47">
      <c r="A47" s="2" t="inlineStr">
        <is>
          <t>A2.1.5</t>
        </is>
      </c>
      <c r="B47" s="2" t="n">
        <v>3</v>
      </c>
      <c r="C47" s="2" t="inlineStr">
        <is>
          <t>Đánh dấu 'không đúng ý tôi'</t>
        </is>
      </c>
      <c r="D47" s="2" t="inlineStr">
        <is>
          <t>EDK-reject, HA-confirm</t>
        </is>
      </c>
      <c r="E47" s="2" t="n">
        <v>2</v>
      </c>
      <c r="F47" s="2">
        <f>SUMPRODUCT(('Anh xa'!$A$2:$A$725=A47)*1)</f>
        <v/>
      </c>
      <c r="G47" s="2">
        <f>IF(F47&gt;0,"✓","THIẾU")</f>
        <v/>
      </c>
    </row>
    <row r="48">
      <c r="A48" s="2" t="inlineStr">
        <is>
          <t>A2.1.6</t>
        </is>
      </c>
      <c r="B48" s="2" t="n">
        <v>3</v>
      </c>
      <c r="C48" s="2" t="inlineStr">
        <is>
          <t>Chọn phiên bản v1/v2… và diff bằng lời + tô màu</t>
        </is>
      </c>
      <c r="D48" s="2" t="inlineStr">
        <is>
          <t>AR01, EX-diff_prev, PR3</t>
        </is>
      </c>
      <c r="E48" s="2" t="n">
        <v>3</v>
      </c>
      <c r="F48" s="2">
        <f>SUMPRODUCT(('Anh xa'!$A$2:$A$725=A48)*1)</f>
        <v/>
      </c>
      <c r="G48" s="2">
        <f>IF(F48&gt;0,"✓","THIẾU")</f>
        <v/>
      </c>
    </row>
    <row r="49">
      <c r="A49" s="2" t="inlineStr">
        <is>
          <t>A2.1.7</t>
        </is>
      </c>
      <c r="B49" s="2" t="n">
        <v>3</v>
      </c>
      <c r="C49" s="2" t="inlineStr">
        <is>
          <t>Băng STALE (hạ nguồn cần cập nhật) + nút Chấp nhận STALE</t>
        </is>
      </c>
      <c r="D49" s="2" t="inlineStr">
        <is>
          <t>CS-stale, ED4, PR3</t>
        </is>
      </c>
      <c r="E49" s="2" t="n">
        <v>3</v>
      </c>
      <c r="F49" s="2">
        <f>SUMPRODUCT(('Anh xa'!$A$2:$A$725=A49)*1)</f>
        <v/>
      </c>
      <c r="G49" s="2">
        <f>IF(F49&gt;0,"✓","THIẾU")</f>
        <v/>
      </c>
    </row>
    <row r="50">
      <c r="A50" s="2" t="inlineStr">
        <is>
          <t>A2.1.8</t>
        </is>
      </c>
      <c r="B50" s="2" t="n">
        <v>3</v>
      </c>
      <c r="C50" s="2" t="inlineStr">
        <is>
          <t>Thanh tác giả (người/tác tử) + changeset</t>
        </is>
      </c>
      <c r="D50" s="2" t="inlineStr">
        <is>
          <t>AR22, LY-tabs, N9</t>
        </is>
      </c>
      <c r="E50" s="2" t="n">
        <v>3</v>
      </c>
      <c r="F50" s="2">
        <f>SUMPRODUCT(('Anh xa'!$A$2:$A$725=A50)*1)</f>
        <v/>
      </c>
      <c r="G50" s="2">
        <f>IF(F50&gt;0,"✓","THIẾU")</f>
        <v/>
      </c>
    </row>
    <row r="51">
      <c r="A51" s="2" t="inlineStr">
        <is>
          <t>A2.2</t>
        </is>
      </c>
      <c r="B51" s="2" t="n">
        <v>2</v>
      </c>
      <c r="C51" s="2" t="inlineStr">
        <is>
          <t>Rủi ro (tách riêng khỏi FR)</t>
        </is>
      </c>
      <c r="D51" s="2" t="inlineStr">
        <is>
          <t>N7, UC01</t>
        </is>
      </c>
      <c r="E51" s="2" t="n">
        <v>2</v>
      </c>
      <c r="F51" s="2">
        <f>SUMPRODUCT(('Anh xa'!$A$2:$A$725=A51)*1)</f>
        <v/>
      </c>
      <c r="G51" s="2">
        <f>IF(F51&gt;0,"✓","THIẾU")</f>
        <v/>
      </c>
    </row>
    <row r="52">
      <c r="A52" s="2" t="inlineStr">
        <is>
          <t>A2.2.1</t>
        </is>
      </c>
      <c r="B52" s="2" t="n">
        <v>3</v>
      </c>
      <c r="C52" s="2" t="inlineStr">
        <is>
          <t>Bảng rủi ro: mô tả, mức, đề xuất, nguồn</t>
        </is>
      </c>
      <c r="D52" s="2" t="inlineStr">
        <is>
          <t>EX-sources, N7, PR2</t>
        </is>
      </c>
      <c r="E52" s="2" t="n">
        <v>3</v>
      </c>
      <c r="F52" s="2">
        <f>SUMPRODUCT(('Anh xa'!$A$2:$A$725=A52)*1)</f>
        <v/>
      </c>
      <c r="G52" s="2">
        <f>IF(F52&gt;0,"✓","THIẾU")</f>
        <v/>
      </c>
    </row>
    <row r="53">
      <c r="A53" s="2" t="inlineStr">
        <is>
          <t>A2.2.2</t>
        </is>
      </c>
      <c r="B53" s="2" t="n">
        <v>3</v>
      </c>
      <c r="C53" s="2" t="inlineStr">
        <is>
          <t>Chấp nhận rủi ro có lý do</t>
        </is>
      </c>
      <c r="D53" s="2" t="inlineStr">
        <is>
          <t>EDK-reject, HA-confirm</t>
        </is>
      </c>
      <c r="E53" s="2" t="n">
        <v>2</v>
      </c>
      <c r="F53" s="2">
        <f>SUMPRODUCT(('Anh xa'!$A$2:$A$725=A53)*1)</f>
        <v/>
      </c>
      <c r="G53" s="2">
        <f>IF(F53&gt;0,"✓","THIẾU")</f>
        <v/>
      </c>
    </row>
    <row r="54">
      <c r="A54" s="2" t="inlineStr">
        <is>
          <t>A2.3</t>
        </is>
      </c>
      <c r="B54" s="2" t="n">
        <v>2</v>
      </c>
      <c r="C54" s="2" t="inlineStr">
        <is>
          <t>Phương án (2–4) so sánh</t>
        </is>
      </c>
      <c r="D54" s="2" t="inlineStr">
        <is>
          <t>AR02, G-DESIGN, UC01</t>
        </is>
      </c>
      <c r="E54" s="2" t="n">
        <v>3</v>
      </c>
      <c r="F54" s="2">
        <f>SUMPRODUCT(('Anh xa'!$A$2:$A$725=A54)*1)</f>
        <v/>
      </c>
      <c r="G54" s="2">
        <f>IF(F54&gt;0,"✓","THIẾU")</f>
        <v/>
      </c>
    </row>
    <row r="55">
      <c r="A55" s="2" t="inlineStr">
        <is>
          <t>A2.3.1</t>
        </is>
      </c>
      <c r="B55" s="2" t="n">
        <v>3</v>
      </c>
      <c r="C55" s="2" t="inlineStr">
        <is>
          <t>Bảng so sánh: kiến trúc, linh kiện, chi phí, độ khó, rủi ro, nguồn; điểm theo ràng buộc</t>
        </is>
      </c>
      <c r="D55" s="2" t="inlineStr">
        <is>
          <t>AR02, EX-confidence, PR2</t>
        </is>
      </c>
      <c r="E55" s="2" t="n">
        <v>3</v>
      </c>
      <c r="F55" s="2">
        <f>SUMPRODUCT(('Anh xa'!$A$2:$A$725=A55)*1)</f>
        <v/>
      </c>
      <c r="G55" s="2">
        <f>IF(F55&gt;0,"✓","THIẾU")</f>
        <v/>
      </c>
    </row>
    <row r="56">
      <c r="A56" s="2" t="inlineStr">
        <is>
          <t>A2.3.2</t>
        </is>
      </c>
      <c r="B56" s="2" t="n">
        <v>3</v>
      </c>
      <c r="C56" s="2" t="inlineStr">
        <is>
          <t>Số ước lượng (ĐỒNG) tô nghiêng vs số có nguồn</t>
        </is>
      </c>
      <c r="D56" s="2" t="inlineStr">
        <is>
          <t>N2, T-DONG</t>
        </is>
      </c>
      <c r="E56" s="2" t="n">
        <v>2</v>
      </c>
      <c r="F56" s="2">
        <f>SUMPRODUCT(('Anh xa'!$A$2:$A$725=A56)*1)</f>
        <v/>
      </c>
      <c r="G56" s="2">
        <f>IF(F56&gt;0,"✓","THIẾU")</f>
        <v/>
      </c>
    </row>
    <row r="57">
      <c r="A57" s="2" t="inlineStr">
        <is>
          <t>A2.3.3</t>
        </is>
      </c>
      <c r="B57" s="2" t="n">
        <v>3</v>
      </c>
      <c r="C57" s="2" t="inlineStr">
        <is>
          <t>Chọn phương án (→ thẻ G-DESIGN)</t>
        </is>
      </c>
      <c r="D57" s="2" t="inlineStr">
        <is>
          <t>EDK-decision, G-DESIGN, HA-choose</t>
        </is>
      </c>
      <c r="E57" s="2" t="n">
        <v>3</v>
      </c>
      <c r="F57" s="2">
        <f>SUMPRODUCT(('Anh xa'!$A$2:$A$725=A57)*1)</f>
        <v/>
      </c>
      <c r="G57" s="2">
        <f>IF(F57&gt;0,"✓","THIẾU")</f>
        <v/>
      </c>
    </row>
    <row r="58">
      <c r="A58" s="2" t="inlineStr">
        <is>
          <t>A2.3.4</t>
        </is>
      </c>
      <c r="B58" s="2" t="n">
        <v>3</v>
      </c>
      <c r="C58" s="2" t="inlineStr">
        <is>
          <t>Sửa chi phí/độ khó; thêm phương án bằng lời</t>
        </is>
      </c>
      <c r="D58" s="2" t="inlineStr">
        <is>
          <t>EDK-content, HA-edit</t>
        </is>
      </c>
      <c r="E58" s="2" t="n">
        <v>2</v>
      </c>
      <c r="F58" s="2">
        <f>SUMPRODUCT(('Anh xa'!$A$2:$A$725=A58)*1)</f>
        <v/>
      </c>
      <c r="G58" s="2">
        <f>IF(F58&gt;0,"✓","THIẾU")</f>
        <v/>
      </c>
    </row>
    <row r="59">
      <c r="A59" s="2" t="inlineStr">
        <is>
          <t>A2.3.5</t>
        </is>
      </c>
      <c r="B59" s="2" t="n">
        <v>3</v>
      </c>
      <c r="C59" s="2" t="inlineStr">
        <is>
          <t>Rẽ nhánh để thử phương án khác song song</t>
        </is>
      </c>
      <c r="D59" s="2" t="inlineStr">
        <is>
          <t>CS-branch, HA-branch</t>
        </is>
      </c>
      <c r="E59" s="2" t="n">
        <v>2</v>
      </c>
      <c r="F59" s="2">
        <f>SUMPRODUCT(('Anh xa'!$A$2:$A$725=A59)*1)</f>
        <v/>
      </c>
      <c r="G59" s="2">
        <f>IF(F59&gt;0,"✓","THIẾU")</f>
        <v/>
      </c>
    </row>
    <row r="60">
      <c r="A60" s="2" t="inlineStr">
        <is>
          <t>A2.4</t>
        </is>
      </c>
      <c r="B60" s="2" t="n">
        <v>2</v>
      </c>
      <c r="C60" s="2" t="inlineStr">
        <is>
          <t>Quyết định (ADR)</t>
        </is>
      </c>
      <c r="D60" s="2" t="inlineStr">
        <is>
          <t>AR03</t>
        </is>
      </c>
      <c r="E60" s="2" t="n">
        <v>1</v>
      </c>
      <c r="F60" s="2">
        <f>SUMPRODUCT(('Anh xa'!$A$2:$A$725=A60)*1)</f>
        <v/>
      </c>
      <c r="G60" s="2">
        <f>IF(F60&gt;0,"✓","THIẾU")</f>
        <v/>
      </c>
    </row>
    <row r="61">
      <c r="A61" s="2" t="inlineStr">
        <is>
          <t>A2.4.1</t>
        </is>
      </c>
      <c r="B61" s="2" t="n">
        <v>3</v>
      </c>
      <c r="C61" s="2" t="inlineStr">
        <is>
          <t>Thẻ ADR: context, options, choice, consequences, ai quyết</t>
        </is>
      </c>
      <c r="D61" s="2" t="inlineStr">
        <is>
          <t>AR03, EX-why</t>
        </is>
      </c>
      <c r="E61" s="2" t="n">
        <v>2</v>
      </c>
      <c r="F61" s="2">
        <f>SUMPRODUCT(('Anh xa'!$A$2:$A$725=A61)*1)</f>
        <v/>
      </c>
      <c r="G61" s="2">
        <f>IF(F61&gt;0,"✓","THIẾU")</f>
        <v/>
      </c>
    </row>
    <row r="62">
      <c r="A62" s="2" t="inlineStr">
        <is>
          <t>A2.4.2</t>
        </is>
      </c>
      <c r="B62" s="2" t="n">
        <v>3</v>
      </c>
      <c r="C62" s="2" t="inlineStr">
        <is>
          <t>Sửa/ghi đè quyết định (→ ADR mới có human_act_ref)</t>
        </is>
      </c>
      <c r="D62" s="2" t="inlineStr">
        <is>
          <t>EDK-decision, HA-edit</t>
        </is>
      </c>
      <c r="E62" s="2" t="n">
        <v>2</v>
      </c>
      <c r="F62" s="2">
        <f>SUMPRODUCT(('Anh xa'!$A$2:$A$725=A62)*1)</f>
        <v/>
      </c>
      <c r="G62" s="2">
        <f>IF(F62&gt;0,"✓","THIẾU")</f>
        <v/>
      </c>
    </row>
    <row r="63">
      <c r="A63" s="2" t="inlineStr">
        <is>
          <t>A2.5</t>
        </is>
      </c>
      <c r="B63" s="2" t="n">
        <v>2</v>
      </c>
      <c r="C63" s="2" t="inlineStr">
        <is>
          <t>Mâu thuẫn &amp; khả thi vật lý</t>
        </is>
      </c>
      <c r="D63" s="2" t="inlineStr">
        <is>
          <t>N1, UC01</t>
        </is>
      </c>
      <c r="E63" s="2" t="n">
        <v>2</v>
      </c>
      <c r="F63" s="2">
        <f>SUMPRODUCT(('Anh xa'!$A$2:$A$725=A63)*1)</f>
        <v/>
      </c>
      <c r="G63" s="2">
        <f>IF(F63&gt;0,"✓","THIẾU")</f>
        <v/>
      </c>
    </row>
    <row r="64">
      <c r="A64" s="2" t="inlineStr">
        <is>
          <t>A2.5.1</t>
        </is>
      </c>
      <c r="B64" s="2" t="n">
        <v>3</v>
      </c>
      <c r="C64" s="2" t="inlineStr">
        <is>
          <t>Khối 'Mâu thuẫn phát hiện' bằng số có nguồn (băng thông, pin…)</t>
        </is>
      </c>
      <c r="D64" s="2" t="inlineStr">
        <is>
          <t>N1, PR5, UC01</t>
        </is>
      </c>
      <c r="E64" s="2" t="n">
        <v>3</v>
      </c>
      <c r="F64" s="2">
        <f>SUMPRODUCT(('Anh xa'!$A$2:$A$725=A64)*1)</f>
        <v/>
      </c>
      <c r="G64" s="2">
        <f>IF(F64&gt;0,"✓","THIẾU")</f>
        <v/>
      </c>
    </row>
    <row r="65">
      <c r="A65" s="2" t="inlineStr">
        <is>
          <t>A2.5.2</t>
        </is>
      </c>
      <c r="B65" s="2" t="n">
        <v>3</v>
      </c>
      <c r="C65" s="2" t="inlineStr">
        <is>
          <t>Đề xuất nới ràng buộc nào</t>
        </is>
      </c>
      <c r="D65" s="2" t="inlineStr">
        <is>
          <t>EX-next, N4</t>
        </is>
      </c>
      <c r="E65" s="2" t="n">
        <v>2</v>
      </c>
      <c r="F65" s="2">
        <f>SUMPRODUCT(('Anh xa'!$A$2:$A$725=A65)*1)</f>
        <v/>
      </c>
      <c r="G65" s="2">
        <f>IF(F65&gt;0,"✓","THIẾU")</f>
        <v/>
      </c>
    </row>
    <row r="66">
      <c r="A66" s="2" t="inlineStr">
        <is>
          <t>A2.6</t>
        </is>
      </c>
      <c r="B66" s="2" t="n">
        <v>2</v>
      </c>
      <c r="C66" s="2" t="inlineStr">
        <is>
          <t>Ma trận truy vết</t>
        </is>
      </c>
      <c r="D66" s="2" t="inlineStr">
        <is>
          <t>TL-trace, UC16</t>
        </is>
      </c>
      <c r="E66" s="2" t="n">
        <v>2</v>
      </c>
      <c r="F66" s="2">
        <f>SUMPRODUCT(('Anh xa'!$A$2:$A$725=A66)*1)</f>
        <v/>
      </c>
      <c r="G66" s="2">
        <f>IF(F66&gt;0,"✓","THIẾU")</f>
        <v/>
      </c>
    </row>
    <row r="67">
      <c r="A67" s="2" t="inlineStr">
        <is>
          <t>A2.6.1</t>
        </is>
      </c>
      <c r="B67" s="2" t="n">
        <v>3</v>
      </c>
      <c r="C67" s="2" t="inlineStr">
        <is>
          <t>REQ ↔ module ↔ mã ↔ test, cột 'đứt ở đâu'</t>
        </is>
      </c>
      <c r="D67" s="2" t="inlineStr">
        <is>
          <t>PR5, TL-trace, UC16</t>
        </is>
      </c>
      <c r="E67" s="2" t="n">
        <v>3</v>
      </c>
      <c r="F67" s="2">
        <f>SUMPRODUCT(('Anh xa'!$A$2:$A$725=A67)*1)</f>
        <v/>
      </c>
      <c r="G67" s="2">
        <f>IF(F67&gt;0,"✓","THIẾU")</f>
        <v/>
      </c>
    </row>
    <row r="68">
      <c r="A68" s="2" t="inlineStr">
        <is>
          <t>A3.1</t>
        </is>
      </c>
      <c r="B68" s="2" t="n">
        <v>2</v>
      </c>
      <c r="C68" s="2" t="inlineStr">
        <is>
          <t>Nạp tài liệu</t>
        </is>
      </c>
      <c r="D68" s="2" t="inlineStr">
        <is>
          <t>DS1, HA-upload</t>
        </is>
      </c>
      <c r="E68" s="2" t="n">
        <v>2</v>
      </c>
      <c r="F68" s="2">
        <f>SUMPRODUCT(('Anh xa'!$A$2:$A$725=A68)*1)</f>
        <v/>
      </c>
      <c r="G68" s="2">
        <f>IF(F68&gt;0,"✓","THIẾU")</f>
        <v/>
      </c>
    </row>
    <row r="69">
      <c r="A69" s="2" t="inlineStr">
        <is>
          <t>A3.1.1</t>
        </is>
      </c>
      <c r="B69" s="2" t="n">
        <v>3</v>
      </c>
      <c r="C69" s="2" t="inlineStr">
        <is>
          <t>Kéo thả / chọn tệp (PDF, zip, ảnh, netlist, mã)</t>
        </is>
      </c>
      <c r="D69" s="2" t="inlineStr">
        <is>
          <t>DS1, HA-upload, UC04</t>
        </is>
      </c>
      <c r="E69" s="2" t="n">
        <v>3</v>
      </c>
      <c r="F69" s="2">
        <f>SUMPRODUCT(('Anh xa'!$A$2:$A$725=A69)*1)</f>
        <v/>
      </c>
      <c r="G69" s="2">
        <f>IF(F69&gt;0,"✓","THIẾU")</f>
        <v/>
      </c>
    </row>
    <row r="70">
      <c r="A70" s="2" t="inlineStr">
        <is>
          <t>A3.1.2</t>
        </is>
      </c>
      <c r="B70" s="2" t="n">
        <v>3</v>
      </c>
      <c r="C70" s="2" t="inlineStr">
        <is>
          <t>Dán URL nguồn riêng</t>
        </is>
      </c>
      <c r="D70" s="2" t="inlineStr">
        <is>
          <t>DS3, HA-upload</t>
        </is>
      </c>
      <c r="E70" s="2" t="n">
        <v>2</v>
      </c>
      <c r="F70" s="2">
        <f>SUMPRODUCT(('Anh xa'!$A$2:$A$725=A70)*1)</f>
        <v/>
      </c>
      <c r="G70" s="2">
        <f>IF(F70&gt;0,"✓","THIẾU")</f>
        <v/>
      </c>
    </row>
    <row r="71">
      <c r="A71" s="2" t="inlineStr">
        <is>
          <t>A3.1.3</t>
        </is>
      </c>
      <c r="B71" s="2" t="n">
        <v>3</v>
      </c>
      <c r="C71" s="2" t="inlineStr">
        <is>
          <t>Phân loại tệp theo nội dung + lý do lỗi đúng (Altium không hỗ trợ, tệp hỏng)</t>
        </is>
      </c>
      <c r="D71" s="2" t="inlineStr">
        <is>
          <t>PR5, UC04</t>
        </is>
      </c>
      <c r="E71" s="2" t="n">
        <v>2</v>
      </c>
      <c r="F71" s="2">
        <f>SUMPRODUCT(('Anh xa'!$A$2:$A$725=A71)*1)</f>
        <v/>
      </c>
      <c r="G71" s="2">
        <f>IF(F71&gt;0,"✓","THIẾU")</f>
        <v/>
      </c>
    </row>
    <row r="72">
      <c r="A72" s="2" t="inlineStr">
        <is>
          <t>A3.2</t>
        </is>
      </c>
      <c r="B72" s="2" t="n">
        <v>2</v>
      </c>
      <c r="C72" s="2" t="inlineStr">
        <is>
          <t>Ứng viên tìm được</t>
        </is>
      </c>
      <c r="D72" s="2" t="inlineStr">
        <is>
          <t>DS2, UC02</t>
        </is>
      </c>
      <c r="E72" s="2" t="n">
        <v>2</v>
      </c>
      <c r="F72" s="2">
        <f>SUMPRODUCT(('Anh xa'!$A$2:$A$725=A72)*1)</f>
        <v/>
      </c>
      <c r="G72" s="2">
        <f>IF(F72&gt;0,"✓","THIẾU")</f>
        <v/>
      </c>
    </row>
    <row r="73">
      <c r="A73" s="2" t="inlineStr">
        <is>
          <t>A3.2.1</t>
        </is>
      </c>
      <c r="B73" s="2" t="n">
        <v>3</v>
      </c>
      <c r="C73" s="2" t="inlineStr">
        <is>
          <t>Bảng: tiêu đề, URL, nhà phát hành (nhãn nhà sản xuất/bên thứ ba), phiên bản, kích thước, hash</t>
        </is>
      </c>
      <c r="D73" s="2" t="inlineStr">
        <is>
          <t>DS2, MM-trusted</t>
        </is>
      </c>
      <c r="E73" s="2" t="n">
        <v>2</v>
      </c>
      <c r="F73" s="2">
        <f>SUMPRODUCT(('Anh xa'!$A$2:$A$725=A73)*1)</f>
        <v/>
      </c>
      <c r="G73" s="2">
        <f>IF(F73&gt;0,"✓","THIẾU")</f>
        <v/>
      </c>
    </row>
    <row r="74">
      <c r="A74" s="2" t="inlineStr">
        <is>
          <t>A3.2.2</t>
        </is>
      </c>
      <c r="B74" s="2" t="n">
        <v>3</v>
      </c>
      <c r="C74" s="2" t="inlineStr">
        <is>
          <t>Duyệt / Từ chối từng nguồn (→ thẻ G-DATA)</t>
        </is>
      </c>
      <c r="D74" s="2" t="inlineStr">
        <is>
          <t>DS3, G-DATA, HA-confirm</t>
        </is>
      </c>
      <c r="E74" s="2" t="n">
        <v>3</v>
      </c>
      <c r="F74" s="2">
        <f>SUMPRODUCT(('Anh xa'!$A$2:$A$725=A74)*1)</f>
        <v/>
      </c>
      <c r="G74" s="2">
        <f>IF(F74&gt;0,"✓","THIẾU")</f>
        <v/>
      </c>
    </row>
    <row r="75">
      <c r="A75" s="2" t="inlineStr">
        <is>
          <t>A3.2.3</t>
        </is>
      </c>
      <c r="B75" s="2" t="n">
        <v>3</v>
      </c>
      <c r="C75" s="2" t="inlineStr">
        <is>
          <t>Không tìm thấy — khối riêng, đề xuất thay thế/xin tệp</t>
        </is>
      </c>
      <c r="D75" s="2" t="inlineStr">
        <is>
          <t>DS7, PR5, UC02</t>
        </is>
      </c>
      <c r="E75" s="2" t="n">
        <v>3</v>
      </c>
      <c r="F75" s="2">
        <f>SUMPRODUCT(('Anh xa'!$A$2:$A$725=A75)*1)</f>
        <v/>
      </c>
      <c r="G75" s="2">
        <f>IF(F75&gt;0,"✓","THIẾU")</f>
        <v/>
      </c>
    </row>
    <row r="76">
      <c r="A76" s="2" t="inlineStr">
        <is>
          <t>A3.3</t>
        </is>
      </c>
      <c r="B76" s="2" t="n">
        <v>2</v>
      </c>
      <c r="C76" s="2" t="inlineStr">
        <is>
          <t>Trích xuất</t>
        </is>
      </c>
      <c r="D76" s="2" t="inlineStr">
        <is>
          <t>DS4</t>
        </is>
      </c>
      <c r="E76" s="2" t="n">
        <v>1</v>
      </c>
      <c r="F76" s="2">
        <f>SUMPRODUCT(('Anh xa'!$A$2:$A$725=A76)*1)</f>
        <v/>
      </c>
      <c r="G76" s="2">
        <f>IF(F76&gt;0,"✓","THIẾU")</f>
        <v/>
      </c>
    </row>
    <row r="77">
      <c r="A77" s="2" t="inlineStr">
        <is>
          <t>A3.3.1</t>
        </is>
      </c>
      <c r="B77" s="2" t="n">
        <v>3</v>
      </c>
      <c r="C77" s="2" t="inlineStr">
        <is>
          <t>Tiến trình: trang, bảng, OCR (điểm tin cậy), Fact ứng viên</t>
        </is>
      </c>
      <c r="D77" s="2" t="inlineStr">
        <is>
          <t>DS4, UI-surface.append</t>
        </is>
      </c>
      <c r="E77" s="2" t="n">
        <v>2</v>
      </c>
      <c r="F77" s="2">
        <f>SUMPRODUCT(('Anh xa'!$A$2:$A$725=A77)*1)</f>
        <v/>
      </c>
      <c r="G77" s="2">
        <f>IF(F77&gt;0,"✓","THIẾU")</f>
        <v/>
      </c>
    </row>
    <row r="78">
      <c r="A78" s="2" t="inlineStr">
        <is>
          <t>A3.3.2</t>
        </is>
      </c>
      <c r="B78" s="2" t="n">
        <v>3</v>
      </c>
      <c r="C78" s="2" t="inlineStr">
        <is>
          <t>Cảnh báo đỏ P-INJ (nội dung chứa chỉ dẫn lạ)</t>
        </is>
      </c>
      <c r="D78" s="2" t="inlineStr">
        <is>
          <t>DS7, UC19</t>
        </is>
      </c>
      <c r="E78" s="2" t="n">
        <v>2</v>
      </c>
      <c r="F78" s="2">
        <f>SUMPRODUCT(('Anh xa'!$A$2:$A$725=A78)*1)</f>
        <v/>
      </c>
      <c r="G78" s="2">
        <f>IF(F78&gt;0,"✓","THIẾU")</f>
        <v/>
      </c>
    </row>
    <row r="79">
      <c r="A79" s="2" t="inlineStr">
        <is>
          <t>A3.4</t>
        </is>
      </c>
      <c r="B79" s="2" t="n">
        <v>2</v>
      </c>
      <c r="C79" s="2" t="inlineStr">
        <is>
          <t>Phiên bản tài liệu</t>
        </is>
      </c>
      <c r="D79" s="2" t="inlineStr">
        <is>
          <t>UC02</t>
        </is>
      </c>
      <c r="E79" s="2" t="n">
        <v>1</v>
      </c>
      <c r="F79" s="2">
        <f>SUMPRODUCT(('Anh xa'!$A$2:$A$725=A79)*1)</f>
        <v/>
      </c>
      <c r="G79" s="2">
        <f>IF(F79&gt;0,"✓","THIẾU")</f>
        <v/>
      </c>
    </row>
    <row r="80">
      <c r="A80" s="2" t="inlineStr">
        <is>
          <t>A3.4.1</t>
        </is>
      </c>
      <c r="B80" s="2" t="n">
        <v>3</v>
      </c>
      <c r="C80" s="2" t="inlineStr">
        <is>
          <t>Bảng khác biệt giữa hai phiên bản theo key; chọn bản dùng</t>
        </is>
      </c>
      <c r="D80" s="2" t="inlineStr">
        <is>
          <t>HA-confirm, N1, UC02</t>
        </is>
      </c>
      <c r="E80" s="2" t="n">
        <v>3</v>
      </c>
      <c r="F80" s="2">
        <f>SUMPRODUCT(('Anh xa'!$A$2:$A$725=A80)*1)</f>
        <v/>
      </c>
      <c r="G80" s="2">
        <f>IF(F80&gt;0,"✓","THIẾU")</f>
        <v/>
      </c>
    </row>
    <row r="81">
      <c r="A81" s="2" t="inlineStr">
        <is>
          <t>A3.4.2</t>
        </is>
      </c>
      <c r="B81" s="2" t="n">
        <v>3</v>
      </c>
      <c r="C81" s="2" t="inlineStr">
        <is>
          <t>Errata áp dụng (supersedes)</t>
        </is>
      </c>
      <c r="D81" s="2" t="inlineStr">
        <is>
          <t>AR04, N1</t>
        </is>
      </c>
      <c r="E81" s="2" t="n">
        <v>2</v>
      </c>
      <c r="F81" s="2">
        <f>SUMPRODUCT(('Anh xa'!$A$2:$A$725=A81)*1)</f>
        <v/>
      </c>
      <c r="G81" s="2">
        <f>IF(F81&gt;0,"✓","THIẾU")</f>
        <v/>
      </c>
    </row>
    <row r="82">
      <c r="A82" s="2" t="inlineStr">
        <is>
          <t>A3.6</t>
        </is>
      </c>
      <c r="B82" s="2" t="n">
        <v>2</v>
      </c>
      <c r="C82" s="2" t="inlineStr">
        <is>
          <t>Nạp &amp; trích xuất theo định dạng (ING-43)</t>
        </is>
      </c>
      <c r="D82" s="2" t="inlineStr">
        <is>
          <t>ING-01, ING-02</t>
        </is>
      </c>
      <c r="E82" s="2" t="n">
        <v>2</v>
      </c>
      <c r="F82" s="2">
        <f>SUMPRODUCT(('Anh xa'!$A$2:$A$725=A82)*1)</f>
        <v/>
      </c>
      <c r="G82" s="2">
        <f>IF(F82&gt;0,"✓","THIẾU")</f>
        <v/>
      </c>
    </row>
    <row r="83">
      <c r="A83" s="2" t="inlineStr">
        <is>
          <t>A3.6.1</t>
        </is>
      </c>
      <c r="B83" s="2" t="n">
        <v>3</v>
      </c>
      <c r="C83" s="2" t="inlineStr">
        <is>
          <t>Cây tệp sau phân loại: loại, độ tin cậy, lý do, mức hỗ trợ + gợi ý thay thế</t>
        </is>
      </c>
      <c r="D83" s="2" t="inlineStr">
        <is>
          <t>ING-01, ING-02, ING-03</t>
        </is>
      </c>
      <c r="E83" s="2" t="n">
        <v>3</v>
      </c>
      <c r="F83" s="2">
        <f>SUMPRODUCT(('Anh xa'!$A$2:$A$725=A83)*1)</f>
        <v/>
      </c>
      <c r="G83" s="2">
        <f>IF(F83&gt;0,"✓","THIẾU")</f>
        <v/>
      </c>
    </row>
    <row r="84">
      <c r="A84" s="2" t="inlineStr">
        <is>
          <t>A3.6.2</t>
        </is>
      </c>
      <c r="B84" s="2" t="n">
        <v>3</v>
      </c>
      <c r="C84" s="2" t="inlineStr">
        <is>
          <t>Chọn tệp nào nạp khi archive &gt; 20 tệp; chống zip bomb</t>
        </is>
      </c>
      <c r="D84" s="2" t="inlineStr">
        <is>
          <t>HA-choose, ING-04</t>
        </is>
      </c>
      <c r="E84" s="2" t="n">
        <v>2</v>
      </c>
      <c r="F84" s="2">
        <f>SUMPRODUCT(('Anh xa'!$A$2:$A$725=A84)*1)</f>
        <v/>
      </c>
      <c r="G84" s="2">
        <f>IF(F84&gt;0,"✓","THIẾU")</f>
        <v/>
      </c>
    </row>
    <row r="85">
      <c r="A85" s="2" t="inlineStr">
        <is>
          <t>A3.6.3</t>
        </is>
      </c>
      <c r="B85" s="2" t="n">
        <v>3</v>
      </c>
      <c r="C85" s="2" t="inlineStr">
        <is>
          <t>Xem Office theo cây tiêu đề / sheet / slide; trích dẫn heading/ô/slide</t>
        </is>
      </c>
      <c r="D85" s="2" t="inlineStr">
        <is>
          <t>ING-05, ING-06</t>
        </is>
      </c>
      <c r="E85" s="2" t="n">
        <v>2</v>
      </c>
      <c r="F85" s="2">
        <f>SUMPRODUCT(('Anh xa'!$A$2:$A$725=A85)*1)</f>
        <v/>
      </c>
      <c r="G85" s="2">
        <f>IF(F85&gt;0,"✓","THIẾU")</f>
        <v/>
      </c>
    </row>
    <row r="86">
      <c r="A86" s="2" t="inlineStr">
        <is>
          <t>A3.6.4</t>
        </is>
      </c>
      <c r="B86" s="2" t="n">
        <v>3</v>
      </c>
      <c r="C86" s="2" t="inlineStr">
        <is>
          <t>Bảng Fact ứng viên từ Office/Markdown/HTML với cột nguồn (Sheet!ô, Bảng#)</t>
        </is>
      </c>
      <c r="D86" s="2" t="inlineStr">
        <is>
          <t>DS5, ING-07, ING-08</t>
        </is>
      </c>
      <c r="E86" s="2" t="n">
        <v>3</v>
      </c>
      <c r="F86" s="2">
        <f>SUMPRODUCT(('Anh xa'!$A$2:$A$725=A86)*1)</f>
        <v/>
      </c>
      <c r="G86" s="2">
        <f>IF(F86&gt;0,"✓","THIẾU")</f>
        <v/>
      </c>
    </row>
    <row r="87">
      <c r="A87" s="2" t="inlineStr">
        <is>
          <t>A3.6.5</t>
        </is>
      </c>
      <c r="B87" s="2" t="n">
        <v>3</v>
      </c>
      <c r="C87" s="2" t="inlineStr">
        <is>
          <t>Fact CẤU HÌNH (.ioc/.dts/.ld/map) tầng riêng + cảnh báo mâu thuẫn với datasheet</t>
        </is>
      </c>
      <c r="D87" s="2" t="inlineStr">
        <is>
          <t>ING-10, ING-11</t>
        </is>
      </c>
      <c r="E87" s="2" t="n">
        <v>2</v>
      </c>
      <c r="F87" s="2">
        <f>SUMPRODUCT(('Anh xa'!$A$2:$A$725=A87)*1)</f>
        <v/>
      </c>
      <c r="G87" s="2">
        <f>IF(F87&gt;0,"✓","THIẾU")</f>
        <v/>
      </c>
    </row>
    <row r="88">
      <c r="A88" s="2" t="inlineStr">
        <is>
          <t>A3.6.6</t>
        </is>
      </c>
      <c r="B88" s="2" t="n">
        <v>3</v>
      </c>
      <c r="C88" s="2" t="inlineStr">
        <is>
          <t>Hình trong tài liệu: ảnh + caption + OCR; nút 'Nhờ tác tử đọc hình' (ĐỒNG)</t>
        </is>
      </c>
      <c r="D88" s="2" t="inlineStr">
        <is>
          <t>HA-say, ING-12, T-DONG</t>
        </is>
      </c>
      <c r="E88" s="2" t="n">
        <v>3</v>
      </c>
      <c r="F88" s="2">
        <f>SUMPRODUCT(('Anh xa'!$A$2:$A$725=A88)*1)</f>
        <v/>
      </c>
      <c r="G88" s="2">
        <f>IF(F88&gt;0,"✓","THIẾU")</f>
        <v/>
      </c>
    </row>
    <row r="89">
      <c r="A89" s="2" t="inlineStr">
        <is>
          <t>A3.6.7</t>
        </is>
      </c>
      <c r="B89" s="2" t="n">
        <v>3</v>
      </c>
      <c r="C89" s="2" t="inlineStr">
        <is>
          <t>Bảng khác biệt chéo nguồn (v1/v2, datasheet/.ld, BOM/netlist) + chọn bản</t>
        </is>
      </c>
      <c r="D89" s="2" t="inlineStr">
        <is>
          <t>HA-confirm, ING-09, ING-13</t>
        </is>
      </c>
      <c r="E89" s="2" t="n">
        <v>3</v>
      </c>
      <c r="F89" s="2">
        <f>SUMPRODUCT(('Anh xa'!$A$2:$A$725=A89)*1)</f>
        <v/>
      </c>
      <c r="G89" s="2">
        <f>IF(F89&gt;0,"✓","THIẾU")</f>
        <v/>
      </c>
    </row>
    <row r="90">
      <c r="A90" s="2" t="inlineStr">
        <is>
          <t>A3.6.8</t>
        </is>
      </c>
      <c r="B90" s="2" t="n">
        <v>3</v>
      </c>
      <c r="C90" s="2" t="inlineStr">
        <is>
          <t>Giá trị chuẩn hoá + chuỗi gốc (4R7 → 4,7 Ω)</t>
        </is>
      </c>
      <c r="D90" s="2" t="inlineStr">
        <is>
          <t>ING-14</t>
        </is>
      </c>
      <c r="E90" s="2" t="n">
        <v>1</v>
      </c>
      <c r="F90" s="2">
        <f>SUMPRODUCT(('Anh xa'!$A$2:$A$725=A90)*1)</f>
        <v/>
      </c>
      <c r="G90" s="2">
        <f>IF(F90&gt;0,"✓","THIẾU")</f>
        <v/>
      </c>
    </row>
    <row r="91">
      <c r="A91" s="2" t="inlineStr">
        <is>
          <t>A3.6.9</t>
        </is>
      </c>
      <c r="B91" s="2" t="n">
        <v>3</v>
      </c>
      <c r="C91" s="2" t="inlineStr">
        <is>
          <t>Ngôn ngữ tài liệu + gói OCR; chọn lại</t>
        </is>
      </c>
      <c r="D91" s="2" t="inlineStr">
        <is>
          <t>HA-set, ING-15</t>
        </is>
      </c>
      <c r="E91" s="2" t="n">
        <v>2</v>
      </c>
      <c r="F91" s="2">
        <f>SUMPRODUCT(('Anh xa'!$A$2:$A$725=A91)*1)</f>
        <v/>
      </c>
      <c r="G91" s="2">
        <f>IF(F91&gt;0,"✓","THIẾU")</f>
        <v/>
      </c>
    </row>
    <row r="92">
      <c r="A92" s="2" t="inlineStr">
        <is>
          <t>A3.6.10</t>
        </is>
      </c>
      <c r="B92" s="2" t="n">
        <v>3</v>
      </c>
      <c r="C92" s="2" t="inlineStr">
        <is>
          <t>Lỗi E1001–E1008 với gợi ý định dạng thay thế (Altium → netlist/PDF)</t>
        </is>
      </c>
      <c r="D92" s="2" t="inlineStr">
        <is>
          <t>ING-16, UC04</t>
        </is>
      </c>
      <c r="E92" s="2" t="n">
        <v>2</v>
      </c>
      <c r="F92" s="2">
        <f>SUMPRODUCT(('Anh xa'!$A$2:$A$725=A92)*1)</f>
        <v/>
      </c>
      <c r="G92" s="2">
        <f>IF(F92&gt;0,"✓","THIẾU")</f>
        <v/>
      </c>
    </row>
    <row r="93">
      <c r="A93" s="2" t="inlineStr">
        <is>
          <t>A3.6.11</t>
        </is>
      </c>
      <c r="B93" s="2" t="n">
        <v>3</v>
      </c>
      <c r="C93" s="2" t="inlineStr">
        <is>
          <t>Tiến trình OCR nền cho tài liệu lớn; giới hạn kích thước/trang</t>
        </is>
      </c>
      <c r="D93" s="2" t="inlineStr">
        <is>
          <t>ING-17, UI-run.update</t>
        </is>
      </c>
      <c r="E93" s="2" t="n">
        <v>2</v>
      </c>
      <c r="F93" s="2">
        <f>SUMPRODUCT(('Anh xa'!$A$2:$A$725=A93)*1)</f>
        <v/>
      </c>
      <c r="G93" s="2">
        <f>IF(F93&gt;0,"✓","THIẾU")</f>
        <v/>
      </c>
    </row>
    <row r="94">
      <c r="A94" s="2" t="inlineStr">
        <is>
          <t>A3.6.12</t>
        </is>
      </c>
      <c r="B94" s="2" t="n">
        <v>3</v>
      </c>
      <c r="C94" s="2" t="inlineStr">
        <is>
          <t>Cảnh báo untrusted/P-INJ; macro bị bỏ qua (E1006)</t>
        </is>
      </c>
      <c r="D94" s="2" t="inlineStr">
        <is>
          <t>DS7, ING-18</t>
        </is>
      </c>
      <c r="E94" s="2" t="n">
        <v>2</v>
      </c>
      <c r="F94" s="2">
        <f>SUMPRODUCT(('Anh xa'!$A$2:$A$725=A94)*1)</f>
        <v/>
      </c>
      <c r="G94" s="2">
        <f>IF(F94&gt;0,"✓","THIẾU")</f>
        <v/>
      </c>
    </row>
    <row r="95">
      <c r="A95" s="2" t="inlineStr">
        <is>
          <t>A3.6.13</t>
        </is>
      </c>
      <c r="B95" s="2" t="n">
        <v>3</v>
      </c>
      <c r="C95" s="2" t="inlineStr">
        <is>
          <t>Chuyển .docx → PDF phái sinh (cùng doc_id) để có số trang</t>
        </is>
      </c>
      <c r="D95" s="2" t="inlineStr">
        <is>
          <t>HA-say, ING-06</t>
        </is>
      </c>
      <c r="E95" s="2" t="n">
        <v>2</v>
      </c>
      <c r="F95" s="2">
        <f>SUMPRODUCT(('Anh xa'!$A$2:$A$725=A95)*1)</f>
        <v/>
      </c>
      <c r="G95" s="2">
        <f>IF(F95&gt;0,"✓","THIẾU")</f>
        <v/>
      </c>
    </row>
    <row r="96">
      <c r="A96" s="2" t="inlineStr">
        <is>
          <t>A3.6.14</t>
        </is>
      </c>
      <c r="B96" s="2" t="n">
        <v>3</v>
      </c>
      <c r="C96" s="2" t="inlineStr">
        <is>
          <t>Tầng theo nguồn: nhãn 'bên thứ ba', 'Office tự viết → NGƯỜI'; hằng số mã → ĐỒNG-mã</t>
        </is>
      </c>
      <c r="D96" s="2" t="inlineStr">
        <is>
          <t>ING-19, ING-20, T-NGUOI</t>
        </is>
      </c>
      <c r="E96" s="2" t="n">
        <v>3</v>
      </c>
      <c r="F96" s="2">
        <f>SUMPRODUCT(('Anh xa'!$A$2:$A$725=A96)*1)</f>
        <v/>
      </c>
      <c r="G96" s="2">
        <f>IF(F96&gt;0,"✓","THIẾU")</f>
        <v/>
      </c>
    </row>
    <row r="97">
      <c r="A97" s="2" t="inlineStr">
        <is>
          <t>A3.5</t>
        </is>
      </c>
      <c r="B97" s="2" t="n">
        <v>2</v>
      </c>
      <c r="C97" s="2" t="inlineStr">
        <is>
          <t>Hỏi đáp tài liệu</t>
        </is>
      </c>
      <c r="D97" s="2" t="inlineStr">
        <is>
          <t>UC07</t>
        </is>
      </c>
      <c r="E97" s="2" t="n">
        <v>1</v>
      </c>
      <c r="F97" s="2">
        <f>SUMPRODUCT(('Anh xa'!$A$2:$A$725=A97)*1)</f>
        <v/>
      </c>
      <c r="G97" s="2">
        <f>IF(F97&gt;0,"✓","THIẾU")</f>
        <v/>
      </c>
    </row>
    <row r="98">
      <c r="A98" s="2" t="inlineStr">
        <is>
          <t>A3.5.1</t>
        </is>
      </c>
      <c r="B98" s="2" t="n">
        <v>3</v>
      </c>
      <c r="C98" s="2" t="inlineStr">
        <is>
          <t>Hỏi → trả lời kèm trang/mục/phiên bản; 'không có trong tài liệu' tách rõ tri thức chung</t>
        </is>
      </c>
      <c r="D98" s="2" t="inlineStr">
        <is>
          <t>N1, PR5, T-DONG, UC07</t>
        </is>
      </c>
      <c r="E98" s="2" t="n">
        <v>4</v>
      </c>
      <c r="F98" s="2">
        <f>SUMPRODUCT(('Anh xa'!$A$2:$A$725=A98)*1)</f>
        <v/>
      </c>
      <c r="G98" s="2">
        <f>IF(F98&gt;0,"✓","THIẾU")</f>
        <v/>
      </c>
    </row>
    <row r="99">
      <c r="A99" s="2" t="inlineStr">
        <is>
          <t>A4.1</t>
        </is>
      </c>
      <c r="B99" s="2" t="n">
        <v>2</v>
      </c>
      <c r="C99" s="2" t="inlineStr">
        <is>
          <t>Hộ chiếu chip</t>
        </is>
      </c>
      <c r="D99" s="2" t="inlineStr">
        <is>
          <t>AR05, DS6</t>
        </is>
      </c>
      <c r="E99" s="2" t="n">
        <v>2</v>
      </c>
      <c r="F99" s="2">
        <f>SUMPRODUCT(('Anh xa'!$A$2:$A$725=A99)*1)</f>
        <v/>
      </c>
      <c r="G99" s="2">
        <f>IF(F99&gt;0,"✓","THIẾU")</f>
        <v/>
      </c>
    </row>
    <row r="100">
      <c r="A100" s="2" t="inlineStr">
        <is>
          <t>A4.1.1</t>
        </is>
      </c>
      <c r="B100" s="2" t="n">
        <v>3</v>
      </c>
      <c r="C100" s="2" t="inlineStr">
        <is>
          <t>kv: họ, ISA, Flash/RAM, VDD, gói, tài liệu (phiên bản), số Fact theo tầng; ISA có toolchain chưa</t>
        </is>
      </c>
      <c r="D100" s="2" t="inlineStr">
        <is>
          <t>AR05, EX-sources, TL-inventory</t>
        </is>
      </c>
      <c r="E100" s="2" t="n">
        <v>3</v>
      </c>
      <c r="F100" s="2">
        <f>SUMPRODUCT(('Anh xa'!$A$2:$A$725=A100)*1)</f>
        <v/>
      </c>
      <c r="G100" s="2">
        <f>IF(F100&gt;0,"✓","THIẾU")</f>
        <v/>
      </c>
    </row>
    <row r="101">
      <c r="A101" s="2" t="inlineStr">
        <is>
          <t>A4.1.2</t>
        </is>
      </c>
      <c r="B101" s="2" t="n">
        <v>3</v>
      </c>
      <c r="C101" s="2" t="inlineStr">
        <is>
          <t>Đổi phiên bản tài liệu dùng; thêm bí danh</t>
        </is>
      </c>
      <c r="D101" s="2" t="inlineStr">
        <is>
          <t>AR05, HA-edit</t>
        </is>
      </c>
      <c r="E101" s="2" t="n">
        <v>2</v>
      </c>
      <c r="F101" s="2">
        <f>SUMPRODUCT(('Anh xa'!$A$2:$A$725=A101)*1)</f>
        <v/>
      </c>
      <c r="G101" s="2">
        <f>IF(F101&gt;0,"✓","THIẾU")</f>
        <v/>
      </c>
    </row>
    <row r="102">
      <c r="A102" s="2" t="inlineStr">
        <is>
          <t>A4.1.3</t>
        </is>
      </c>
      <c r="B102" s="2" t="n">
        <v>3</v>
      </c>
      <c r="C102" s="2" t="inlineStr">
        <is>
          <t>Thẻ đề nghị khi chưa có datasheet: Tìm mạng / Nạp tệp / Tri thức chung</t>
        </is>
      </c>
      <c r="D102" s="2" t="inlineStr">
        <is>
          <t>DS1, HA-choose</t>
        </is>
      </c>
      <c r="E102" s="2" t="n">
        <v>2</v>
      </c>
      <c r="F102" s="2">
        <f>SUMPRODUCT(('Anh xa'!$A$2:$A$725=A102)*1)</f>
        <v/>
      </c>
      <c r="G102" s="2">
        <f>IF(F102&gt;0,"✓","THIẾU")</f>
        <v/>
      </c>
    </row>
    <row r="103">
      <c r="A103" s="2" t="inlineStr">
        <is>
          <t>A4.2</t>
        </is>
      </c>
      <c r="B103" s="2" t="n">
        <v>2</v>
      </c>
      <c r="C103" s="2" t="inlineStr">
        <is>
          <t>Bảng Fact</t>
        </is>
      </c>
      <c r="D103" s="2" t="inlineStr">
        <is>
          <t>AR04, N1, N2</t>
        </is>
      </c>
      <c r="E103" s="2" t="n">
        <v>3</v>
      </c>
      <c r="F103" s="2">
        <f>SUMPRODUCT(('Anh xa'!$A$2:$A$725=A103)*1)</f>
        <v/>
      </c>
      <c r="G103" s="2">
        <f>IF(F103&gt;0,"✓","THIẾU")</f>
        <v/>
      </c>
    </row>
    <row r="104">
      <c r="A104" s="2" t="inlineStr">
        <is>
          <t>A4.2.1</t>
        </is>
      </c>
      <c r="B104" s="2" t="n">
        <v>3</v>
      </c>
      <c r="C104" s="2" t="inlineStr">
        <is>
          <t>Cột: khoá, giá trị, đơn vị, điều kiện, Tầng (màu), Nguồn (mở trang PDF đúng bbox)</t>
        </is>
      </c>
      <c r="D104" s="2" t="inlineStr">
        <is>
          <t>AR04, PR2, T-BAC, T-DONG, T-NGUOI, T-VANG</t>
        </is>
      </c>
      <c r="E104" s="2" t="n">
        <v>6</v>
      </c>
      <c r="F104" s="2">
        <f>SUMPRODUCT(('Anh xa'!$A$2:$A$725=A104)*1)</f>
        <v/>
      </c>
      <c r="G104" s="2">
        <f>IF(F104&gt;0,"✓","THIẾU")</f>
        <v/>
      </c>
    </row>
    <row r="105">
      <c r="A105" s="2" t="inlineStr">
        <is>
          <t>A4.2.2</t>
        </is>
      </c>
      <c r="B105" s="2" t="n">
        <v>3</v>
      </c>
      <c r="C105" s="2" t="inlineStr">
        <is>
          <t>Xác nhận (BẠC→VÀNG) hàng loạt / từng dòng</t>
        </is>
      </c>
      <c r="D105" s="2" t="inlineStr">
        <is>
          <t>DS5, HA-confirm, T-BAC</t>
        </is>
      </c>
      <c r="E105" s="2" t="n">
        <v>3</v>
      </c>
      <c r="F105" s="2">
        <f>SUMPRODUCT(('Anh xa'!$A$2:$A$725=A105)*1)</f>
        <v/>
      </c>
      <c r="G105" s="2">
        <f>IF(F105&gt;0,"✓","THIẾU")</f>
        <v/>
      </c>
    </row>
    <row r="106">
      <c r="A106" s="2" t="inlineStr">
        <is>
          <t>A4.2.3</t>
        </is>
      </c>
      <c r="B106" s="2" t="n">
        <v>3</v>
      </c>
      <c r="C106" s="2" t="inlineStr">
        <is>
          <t>Từ chối / sửa giá trị (→ NGƯỜI nếu không kèm tài liệu)</t>
        </is>
      </c>
      <c r="D106" s="2" t="inlineStr">
        <is>
          <t>ED3, HA-confirm, T-NGUOI</t>
        </is>
      </c>
      <c r="E106" s="2" t="n">
        <v>3</v>
      </c>
      <c r="F106" s="2">
        <f>SUMPRODUCT(('Anh xa'!$A$2:$A$725=A106)*1)</f>
        <v/>
      </c>
      <c r="G106" s="2">
        <f>IF(F106&gt;0,"✓","THIẾU")</f>
        <v/>
      </c>
    </row>
    <row r="107">
      <c r="A107" s="2" t="inlineStr">
        <is>
          <t>A4.2.4</t>
        </is>
      </c>
      <c r="B107" s="2" t="n">
        <v>3</v>
      </c>
      <c r="C107" s="2" t="inlineStr">
        <is>
          <t>Nút 'Tìm tài liệu chứng thực' trên Fact NGƯỜI</t>
        </is>
      </c>
      <c r="D107" s="2" t="inlineStr">
        <is>
          <t>DS2, T-NGUOI</t>
        </is>
      </c>
      <c r="E107" s="2" t="n">
        <v>2</v>
      </c>
      <c r="F107" s="2">
        <f>SUMPRODUCT(('Anh xa'!$A$2:$A$725=A107)*1)</f>
        <v/>
      </c>
      <c r="G107" s="2">
        <f>IF(F107&gt;0,"✓","THIẾU")</f>
        <v/>
      </c>
    </row>
    <row r="108">
      <c r="A108" s="2" t="inlineStr">
        <is>
          <t>A4.2.5</t>
        </is>
      </c>
      <c r="B108" s="2" t="n">
        <v>3</v>
      </c>
      <c r="C108" s="2" t="inlineStr">
        <is>
          <t>Hàng đợi rà soát Fact ứng viên + trích đoạn gốc bên cạnh</t>
        </is>
      </c>
      <c r="D108" s="2" t="inlineStr">
        <is>
          <t>DS5, EX-sources</t>
        </is>
      </c>
      <c r="E108" s="2" t="n">
        <v>2</v>
      </c>
      <c r="F108" s="2">
        <f>SUMPRODUCT(('Anh xa'!$A$2:$A$725=A108)*1)</f>
        <v/>
      </c>
      <c r="G108" s="2">
        <f>IF(F108&gt;0,"✓","THIẾU")</f>
        <v/>
      </c>
    </row>
    <row r="109">
      <c r="A109" s="2" t="inlineStr">
        <is>
          <t>A4.3</t>
        </is>
      </c>
      <c r="B109" s="2" t="n">
        <v>2</v>
      </c>
      <c r="C109" s="2" t="inlineStr">
        <is>
          <t>Đồ thị tri thức mạch</t>
        </is>
      </c>
      <c r="D109" s="2" t="inlineStr">
        <is>
          <t>AR06, C2</t>
        </is>
      </c>
      <c r="E109" s="2" t="n">
        <v>2</v>
      </c>
      <c r="F109" s="2">
        <f>SUMPRODUCT(('Anh xa'!$A$2:$A$725=A109)*1)</f>
        <v/>
      </c>
      <c r="G109" s="2">
        <f>IF(F109&gt;0,"✓","THIẾU")</f>
        <v/>
      </c>
    </row>
    <row r="110">
      <c r="A110" s="2" t="inlineStr">
        <is>
          <t>A4.3.1</t>
        </is>
      </c>
      <c r="B110" s="2" t="n">
        <v>3</v>
      </c>
      <c r="C110" s="2" t="inlineStr">
        <is>
          <t>Đồ thị tương tác: chip, chân, net, bus, nguồn; chọn nút → panel Fact + nguồn</t>
        </is>
      </c>
      <c r="D110" s="2" t="inlineStr">
        <is>
          <t>AR06, HA-attend, UI-surface.focus</t>
        </is>
      </c>
      <c r="E110" s="2" t="n">
        <v>3</v>
      </c>
      <c r="F110" s="2">
        <f>SUMPRODUCT(('Anh xa'!$A$2:$A$725=A110)*1)</f>
        <v/>
      </c>
      <c r="G110" s="2">
        <f>IF(F110&gt;0,"✓","THIẾU")</f>
        <v/>
      </c>
    </row>
    <row r="111">
      <c r="A111" s="2" t="inlineStr">
        <is>
          <t>A4.3.2</t>
        </is>
      </c>
      <c r="B111" s="2" t="n">
        <v>3</v>
      </c>
      <c r="C111" s="2" t="inlineStr">
        <is>
          <t>Lọc theo bus/nguồn; chỗ 'đứt' (chưa có Fact) tô đỏ</t>
        </is>
      </c>
      <c r="D111" s="2" t="inlineStr">
        <is>
          <t>AR06, PR5</t>
        </is>
      </c>
      <c r="E111" s="2" t="n">
        <v>2</v>
      </c>
      <c r="F111" s="2">
        <f>SUMPRODUCT(('Anh xa'!$A$2:$A$725=A111)*1)</f>
        <v/>
      </c>
      <c r="G111" s="2">
        <f>IF(F111&gt;0,"✓","THIẾU")</f>
        <v/>
      </c>
    </row>
    <row r="112">
      <c r="A112" s="2" t="inlineStr">
        <is>
          <t>A4.3.3</t>
        </is>
      </c>
      <c r="B112" s="2" t="n">
        <v>3</v>
      </c>
      <c r="C112" s="2" t="inlineStr">
        <is>
          <t>Kéo nối net–chân → sinh đề xuất sửa netlist (không sửa KG trực tiếp)</t>
        </is>
      </c>
      <c r="D112" s="2" t="inlineStr">
        <is>
          <t>AR09, HA-edit</t>
        </is>
      </c>
      <c r="E112" s="2" t="n">
        <v>2</v>
      </c>
      <c r="F112" s="2">
        <f>SUMPRODUCT(('Anh xa'!$A$2:$A$725=A112)*1)</f>
        <v/>
      </c>
      <c r="G112" s="2">
        <f>IF(F112&gt;0,"✓","THIẾU")</f>
        <v/>
      </c>
    </row>
    <row r="113">
      <c r="A113" s="2" t="inlineStr">
        <is>
          <t>A4.4</t>
        </is>
      </c>
      <c r="B113" s="2" t="n">
        <v>2</v>
      </c>
      <c r="C113" s="2" t="inlineStr">
        <is>
          <t>Kết quả so sánh (fact.compare)</t>
        </is>
      </c>
      <c r="D113" s="2" t="inlineStr">
        <is>
          <t>N2, UC06</t>
        </is>
      </c>
      <c r="E113" s="2" t="n">
        <v>2</v>
      </c>
      <c r="F113" s="2">
        <f>SUMPRODUCT(('Anh xa'!$A$2:$A$725=A113)*1)</f>
        <v/>
      </c>
      <c r="G113" s="2">
        <f>IF(F113&gt;0,"✓","THIẾU")</f>
        <v/>
      </c>
    </row>
    <row r="114">
      <c r="A114" s="2" t="inlineStr">
        <is>
          <t>A4.4.1</t>
        </is>
      </c>
      <c r="B114" s="2" t="n">
        <v>3</v>
      </c>
      <c r="C114" s="2" t="inlineStr">
        <is>
          <t>Bảng: luật, vế A, vế B, kết luận, mức, hai trích dẫn; nhãn CHƯA KIỂM CHỨNG nếu có vế ĐỒNG</t>
        </is>
      </c>
      <c r="D114" s="2" t="inlineStr">
        <is>
          <t>EX-sources, N2, T-DONG</t>
        </is>
      </c>
      <c r="E114" s="2" t="n">
        <v>3</v>
      </c>
      <c r="F114" s="2">
        <f>SUMPRODUCT(('Anh xa'!$A$2:$A$725=A114)*1)</f>
        <v/>
      </c>
      <c r="G114" s="2">
        <f>IF(F114&gt;0,"✓","THIẾU")</f>
        <v/>
      </c>
    </row>
    <row r="115">
      <c r="A115" s="2" t="inlineStr">
        <is>
          <t>A4.5</t>
        </is>
      </c>
      <c r="B115" s="2" t="n">
        <v>2</v>
      </c>
      <c r="C115" s="2" t="inlineStr">
        <is>
          <t>Thay thế linh kiện</t>
        </is>
      </c>
      <c r="D115" s="2" t="inlineStr">
        <is>
          <t>TL-replace, UC08</t>
        </is>
      </c>
      <c r="E115" s="2" t="n">
        <v>2</v>
      </c>
      <c r="F115" s="2">
        <f>SUMPRODUCT(('Anh xa'!$A$2:$A$725=A115)*1)</f>
        <v/>
      </c>
      <c r="G115" s="2">
        <f>IF(F115&gt;0,"✓","THIẾU")</f>
        <v/>
      </c>
    </row>
    <row r="116">
      <c r="A116" s="2" t="inlineStr">
        <is>
          <t>A4.5.1</t>
        </is>
      </c>
      <c r="B116" s="2" t="n">
        <v>3</v>
      </c>
      <c r="C116" s="2" t="inlineStr">
        <is>
          <t>Danh sách thay thế xếp hạng: pin-to-pin/cần sửa mạch, khác biệt thông số, vòng đời (nếu có nguồn), ảnh hưởng</t>
        </is>
      </c>
      <c r="D116" s="2" t="inlineStr">
        <is>
          <t>PR5, TL-replace, UC08</t>
        </is>
      </c>
      <c r="E116" s="2" t="n">
        <v>3</v>
      </c>
      <c r="F116" s="2">
        <f>SUMPRODUCT(('Anh xa'!$A$2:$A$725=A116)*1)</f>
        <v/>
      </c>
      <c r="G116" s="2">
        <f>IF(F116&gt;0,"✓","THIẾU")</f>
        <v/>
      </c>
    </row>
    <row r="117">
      <c r="A117" s="2" t="inlineStr">
        <is>
          <t>A5.1</t>
        </is>
      </c>
      <c r="B117" s="2" t="n">
        <v>2</v>
      </c>
      <c r="C117" s="2" t="inlineStr">
        <is>
          <t>Sơ đồ khối</t>
        </is>
      </c>
      <c r="D117" s="2" t="inlineStr">
        <is>
          <t>AR08, UC02</t>
        </is>
      </c>
      <c r="E117" s="2" t="n">
        <v>2</v>
      </c>
      <c r="F117" s="2">
        <f>SUMPRODUCT(('Anh xa'!$A$2:$A$725=A117)*1)</f>
        <v/>
      </c>
      <c r="G117" s="2">
        <f>IF(F117&gt;0,"✓","THIẾU")</f>
        <v/>
      </c>
    </row>
    <row r="118">
      <c r="A118" s="2" t="inlineStr">
        <is>
          <t>A5.1.1</t>
        </is>
      </c>
      <c r="B118" s="2" t="n">
        <v>3</v>
      </c>
      <c r="C118" s="2" t="inlineStr">
        <is>
          <t>Hình + danh sách khối ↔ REQ</t>
        </is>
      </c>
      <c r="D118" s="2" t="inlineStr">
        <is>
          <t>AR08, EX-why</t>
        </is>
      </c>
      <c r="E118" s="2" t="n">
        <v>2</v>
      </c>
      <c r="F118" s="2">
        <f>SUMPRODUCT(('Anh xa'!$A$2:$A$725=A118)*1)</f>
        <v/>
      </c>
      <c r="G118" s="2">
        <f>IF(F118&gt;0,"✓","THIẾU")</f>
        <v/>
      </c>
    </row>
    <row r="119">
      <c r="A119" s="2" t="inlineStr">
        <is>
          <t>A5.1.2</t>
        </is>
      </c>
      <c r="B119" s="2" t="n">
        <v>3</v>
      </c>
      <c r="C119" s="2" t="inlineStr">
        <is>
          <t>Đổi tên/ghép/tách khối (form module_graph); đổi tên = sửa trình bày, không STALE</t>
        </is>
      </c>
      <c r="D119" s="2" t="inlineStr">
        <is>
          <t>EDK-content, EDK-presentation, HA-edit</t>
        </is>
      </c>
      <c r="E119" s="2" t="n">
        <v>3</v>
      </c>
      <c r="F119" s="2">
        <f>SUMPRODUCT(('Anh xa'!$A$2:$A$725=A119)*1)</f>
        <v/>
      </c>
      <c r="G119" s="2">
        <f>IF(F119&gt;0,"✓","THIẾU")</f>
        <v/>
      </c>
    </row>
    <row r="120">
      <c r="A120" s="2" t="inlineStr">
        <is>
          <t>A5.2</t>
        </is>
      </c>
      <c r="B120" s="2" t="n">
        <v>2</v>
      </c>
      <c r="C120" s="2" t="inlineStr">
        <is>
          <t>Pinout</t>
        </is>
      </c>
      <c r="D120" s="2" t="inlineStr">
        <is>
          <t>AR07</t>
        </is>
      </c>
      <c r="E120" s="2" t="n">
        <v>1</v>
      </c>
      <c r="F120" s="2">
        <f>SUMPRODUCT(('Anh xa'!$A$2:$A$725=A120)*1)</f>
        <v/>
      </c>
      <c r="G120" s="2">
        <f>IF(F120&gt;0,"✓","THIẾU")</f>
        <v/>
      </c>
    </row>
    <row r="121">
      <c r="A121" s="2" t="inlineStr">
        <is>
          <t>A5.2.1</t>
        </is>
      </c>
      <c r="B121" s="2" t="n">
        <v>3</v>
      </c>
      <c r="C121" s="2" t="inlineStr">
        <is>
          <t>Bảng chân: chức năng, AF, net, xung đột; hình chip</t>
        </is>
      </c>
      <c r="D121" s="2" t="inlineStr">
        <is>
          <t>AR07, PR2</t>
        </is>
      </c>
      <c r="E121" s="2" t="n">
        <v>2</v>
      </c>
      <c r="F121" s="2">
        <f>SUMPRODUCT(('Anh xa'!$A$2:$A$725=A121)*1)</f>
        <v/>
      </c>
      <c r="G121" s="2">
        <f>IF(F121&gt;0,"✓","THIẾU")</f>
        <v/>
      </c>
    </row>
    <row r="122">
      <c r="A122" s="2" t="inlineStr">
        <is>
          <t>A5.2.2</t>
        </is>
      </c>
      <c r="B122" s="2" t="n">
        <v>3</v>
      </c>
      <c r="C122" s="2" t="inlineStr">
        <is>
          <t>Đổi chức năng chân — dropdown chỉ AF có trong Fact</t>
        </is>
      </c>
      <c r="D122" s="2" t="inlineStr">
        <is>
          <t>ED1, HA-edit, N1</t>
        </is>
      </c>
      <c r="E122" s="2" t="n">
        <v>3</v>
      </c>
      <c r="F122" s="2">
        <f>SUMPRODUCT(('Anh xa'!$A$2:$A$725=A122)*1)</f>
        <v/>
      </c>
      <c r="G122" s="2">
        <f>IF(F122&gt;0,"✓","THIẾU")</f>
        <v/>
      </c>
    </row>
    <row r="123">
      <c r="A123" s="2" t="inlineStr">
        <is>
          <t>A5.3</t>
        </is>
      </c>
      <c r="B123" s="2" t="n">
        <v>2</v>
      </c>
      <c r="C123" s="2" t="inlineStr">
        <is>
          <t>Schematic / netlist</t>
        </is>
      </c>
      <c r="D123" s="2" t="inlineStr">
        <is>
          <t>AR09, UC04</t>
        </is>
      </c>
      <c r="E123" s="2" t="n">
        <v>2</v>
      </c>
      <c r="F123" s="2">
        <f>SUMPRODUCT(('Anh xa'!$A$2:$A$725=A123)*1)</f>
        <v/>
      </c>
      <c r="G123" s="2">
        <f>IF(F123&gt;0,"✓","THIẾU")</f>
        <v/>
      </c>
    </row>
    <row r="124">
      <c r="A124" s="2" t="inlineStr">
        <is>
          <t>A5.3.1</t>
        </is>
      </c>
      <c r="B124" s="2" t="n">
        <v>3</v>
      </c>
      <c r="C124" s="2" t="inlineStr">
        <is>
          <t>Netlist viewer + bảng net + hình (nếu có)</t>
        </is>
      </c>
      <c r="D124" s="2" t="inlineStr">
        <is>
          <t>AR09</t>
        </is>
      </c>
      <c r="E124" s="2" t="n">
        <v>1</v>
      </c>
      <c r="F124" s="2">
        <f>SUMPRODUCT(('Anh xa'!$A$2:$A$725=A124)*1)</f>
        <v/>
      </c>
      <c r="G124" s="2">
        <f>IF(F124&gt;0,"✓","THIẾU")</f>
        <v/>
      </c>
    </row>
    <row r="125">
      <c r="A125" s="2" t="inlineStr">
        <is>
          <t>A5.3.2</t>
        </is>
      </c>
      <c r="B125" s="2" t="n">
        <v>3</v>
      </c>
      <c r="C125" s="2" t="inlineStr">
        <is>
          <t>Sửa netlist trong editor có kiểm lược đồ / nạp tệp mới</t>
        </is>
      </c>
      <c r="D125" s="2" t="inlineStr">
        <is>
          <t>HA-edit, HA-upload</t>
        </is>
      </c>
      <c r="E125" s="2" t="n">
        <v>2</v>
      </c>
      <c r="F125" s="2">
        <f>SUMPRODUCT(('Anh xa'!$A$2:$A$725=A125)*1)</f>
        <v/>
      </c>
      <c r="G125" s="2">
        <f>IF(F125&gt;0,"✓","THIẾU")</f>
        <v/>
      </c>
    </row>
    <row r="126">
      <c r="A126" s="2" t="inlineStr">
        <is>
          <t>A5.3.3</t>
        </is>
      </c>
      <c r="B126" s="2" t="n">
        <v>3</v>
      </c>
      <c r="C126" s="2" t="inlineStr">
        <is>
          <t>Mã ≠ schematic: chỉ ra từng điểm, hỏi đâu là nguồn đúng</t>
        </is>
      </c>
      <c r="D126" s="2" t="inlineStr">
        <is>
          <t>G-DESIGN, HA-confirm, UC04</t>
        </is>
      </c>
      <c r="E126" s="2" t="n">
        <v>3</v>
      </c>
      <c r="F126" s="2">
        <f>SUMPRODUCT(('Anh xa'!$A$2:$A$725=A126)*1)</f>
        <v/>
      </c>
      <c r="G126" s="2">
        <f>IF(F126&gt;0,"✓","THIẾU")</f>
        <v/>
      </c>
    </row>
    <row r="127">
      <c r="A127" s="2" t="inlineStr">
        <is>
          <t>A5.4</t>
        </is>
      </c>
      <c r="B127" s="2" t="n">
        <v>2</v>
      </c>
      <c r="C127" s="2" t="inlineStr">
        <is>
          <t>BOM</t>
        </is>
      </c>
      <c r="D127" s="2" t="inlineStr">
        <is>
          <t>AR10</t>
        </is>
      </c>
      <c r="E127" s="2" t="n">
        <v>1</v>
      </c>
      <c r="F127" s="2">
        <f>SUMPRODUCT(('Anh xa'!$A$2:$A$725=A127)*1)</f>
        <v/>
      </c>
      <c r="G127" s="2">
        <f>IF(F127&gt;0,"✓","THIẾU")</f>
        <v/>
      </c>
    </row>
    <row r="128">
      <c r="A128" s="2" t="inlineStr">
        <is>
          <t>A5.4.1</t>
        </is>
      </c>
      <c r="B128" s="2" t="n">
        <v>3</v>
      </c>
      <c r="C128" s="2" t="inlineStr">
        <is>
          <t>Bảng: linh kiện, số lượng, datasheet (nút), lý do chọn, tình trạng</t>
        </is>
      </c>
      <c r="D128" s="2" t="inlineStr">
        <is>
          <t>AR10, PR2</t>
        </is>
      </c>
      <c r="E128" s="2" t="n">
        <v>2</v>
      </c>
      <c r="F128" s="2">
        <f>SUMPRODUCT(('Anh xa'!$A$2:$A$725=A128)*1)</f>
        <v/>
      </c>
      <c r="G128" s="2">
        <f>IF(F128&gt;0,"✓","THIẾU")</f>
        <v/>
      </c>
    </row>
    <row r="129">
      <c r="A129" s="2" t="inlineStr">
        <is>
          <t>A5.4.2</t>
        </is>
      </c>
      <c r="B129" s="2" t="n">
        <v>3</v>
      </c>
      <c r="C129" s="2" t="inlineStr">
        <is>
          <t>Thay linh kiện / sửa số lượng</t>
        </is>
      </c>
      <c r="D129" s="2" t="inlineStr">
        <is>
          <t>HA-edit, TL-replace</t>
        </is>
      </c>
      <c r="E129" s="2" t="n">
        <v>2</v>
      </c>
      <c r="F129" s="2">
        <f>SUMPRODUCT(('Anh xa'!$A$2:$A$725=A129)*1)</f>
        <v/>
      </c>
      <c r="G129" s="2">
        <f>IF(F129&gt;0,"✓","THIẾU")</f>
        <v/>
      </c>
    </row>
    <row r="130">
      <c r="A130" s="2" t="inlineStr">
        <is>
          <t>A5.5</t>
        </is>
      </c>
      <c r="B130" s="2" t="n">
        <v>2</v>
      </c>
      <c r="C130" s="2" t="inlineStr">
        <is>
          <t>Phát hiện ERC / rà soát</t>
        </is>
      </c>
      <c r="D130" s="2" t="inlineStr">
        <is>
          <t>AR11, UC06</t>
        </is>
      </c>
      <c r="E130" s="2" t="n">
        <v>2</v>
      </c>
      <c r="F130" s="2">
        <f>SUMPRODUCT(('Anh xa'!$A$2:$A$725=A130)*1)</f>
        <v/>
      </c>
      <c r="G130" s="2">
        <f>IF(F130&gt;0,"✓","THIẾU")</f>
        <v/>
      </c>
    </row>
    <row r="131">
      <c r="A131" s="2" t="inlineStr">
        <is>
          <t>A5.5.1</t>
        </is>
      </c>
      <c r="B131" s="2" t="n">
        <v>3</v>
      </c>
      <c r="C131" s="2" t="inlineStr">
        <is>
          <t>Bảng theo mức: bằng chứng (số + nguồn), hậu quả, cách sửa; bấm → tô sáng net/dòng</t>
        </is>
      </c>
      <c r="D131" s="2" t="inlineStr">
        <is>
          <t>AR11, PR2, UI-surface.highlight</t>
        </is>
      </c>
      <c r="E131" s="2" t="n">
        <v>3</v>
      </c>
      <c r="F131" s="2">
        <f>SUMPRODUCT(('Anh xa'!$A$2:$A$725=A131)*1)</f>
        <v/>
      </c>
      <c r="G131" s="2">
        <f>IF(F131&gt;0,"✓","THIẾU")</f>
        <v/>
      </c>
    </row>
    <row r="132">
      <c r="A132" s="2" t="inlineStr">
        <is>
          <t>A5.5.2</t>
        </is>
      </c>
      <c r="B132" s="2" t="n">
        <v>3</v>
      </c>
      <c r="C132" s="2" t="inlineStr">
        <is>
          <t>'0 phát hiện' nêu checklist đã rà</t>
        </is>
      </c>
      <c r="D132" s="2" t="inlineStr">
        <is>
          <t>N6, PR5</t>
        </is>
      </c>
      <c r="E132" s="2" t="n">
        <v>2</v>
      </c>
      <c r="F132" s="2">
        <f>SUMPRODUCT(('Anh xa'!$A$2:$A$725=A132)*1)</f>
        <v/>
      </c>
      <c r="G132" s="2">
        <f>IF(F132&gt;0,"✓","THIẾU")</f>
        <v/>
      </c>
    </row>
    <row r="133">
      <c r="A133" s="2" t="inlineStr">
        <is>
          <t>A5.5.3</t>
        </is>
      </c>
      <c r="B133" s="2" t="n">
        <v>3</v>
      </c>
      <c r="C133" s="2" t="inlineStr">
        <is>
          <t>Chấp nhận rủi ro có lý do / 'không phải lỗi'</t>
        </is>
      </c>
      <c r="D133" s="2" t="inlineStr">
        <is>
          <t>EDK-reject, HA-confirm</t>
        </is>
      </c>
      <c r="E133" s="2" t="n">
        <v>2</v>
      </c>
      <c r="F133" s="2">
        <f>SUMPRODUCT(('Anh xa'!$A$2:$A$725=A133)*1)</f>
        <v/>
      </c>
      <c r="G133" s="2">
        <f>IF(F133&gt;0,"✓","THIẾU")</f>
        <v/>
      </c>
    </row>
    <row r="134">
      <c r="A134" s="2" t="inlineStr">
        <is>
          <t>A5.5.4</t>
        </is>
      </c>
      <c r="B134" s="2" t="n">
        <v>3</v>
      </c>
      <c r="C134" s="2" t="inlineStr">
        <is>
          <t>Chốt thiết kế (→ thẻ G-DESIGN)</t>
        </is>
      </c>
      <c r="D134" s="2" t="inlineStr">
        <is>
          <t>G-DESIGN, HA-decide</t>
        </is>
      </c>
      <c r="E134" s="2" t="n">
        <v>2</v>
      </c>
      <c r="F134" s="2">
        <f>SUMPRODUCT(('Anh xa'!$A$2:$A$725=A134)*1)</f>
        <v/>
      </c>
      <c r="G134" s="2">
        <f>IF(F134&gt;0,"✓","THIẾU")</f>
        <v/>
      </c>
    </row>
    <row r="135">
      <c r="A135" s="2" t="inlineStr">
        <is>
          <t>A5.8</t>
        </is>
      </c>
      <c r="B135" s="2" t="n">
        <v>2</v>
      </c>
      <c r="C135" s="2" t="inlineStr">
        <is>
          <t>Sơ đồ nguyên lý KiCad (SCH-44, cờ features.schematic)</t>
        </is>
      </c>
      <c r="D135" s="2" t="inlineStr">
        <is>
          <t>SCH-17, SCH-18, SCH-22</t>
        </is>
      </c>
      <c r="E135" s="2" t="n">
        <v>3</v>
      </c>
      <c r="F135" s="2">
        <f>SUMPRODUCT(('Anh xa'!$A$2:$A$725=A135)*1)</f>
        <v/>
      </c>
      <c r="G135" s="2">
        <f>IF(F135&gt;0,"✓","THIẾU")</f>
        <v/>
      </c>
    </row>
    <row r="136">
      <c r="A136" s="2" t="inlineStr">
        <is>
          <t>A5.8.1</t>
        </is>
      </c>
      <c r="B136" s="2" t="n">
        <v>3</v>
      </c>
      <c r="C136" s="2" t="inlineStr">
        <is>
          <t>Nút 'Sinh sơ đồ KiCad' (flat/hierarchical, chọn module)</t>
        </is>
      </c>
      <c r="D136" s="2" t="inlineStr">
        <is>
          <t>HA-say, SCH-01, SCH-04</t>
        </is>
      </c>
      <c r="E136" s="2" t="n">
        <v>3</v>
      </c>
      <c r="F136" s="2">
        <f>SUMPRODUCT(('Anh xa'!$A$2:$A$725=A136)*1)</f>
        <v/>
      </c>
      <c r="G136" s="2">
        <f>IF(F136&gt;0,"✓","THIẾU")</f>
        <v/>
      </c>
    </row>
    <row r="137">
      <c r="A137" s="2" t="inlineStr">
        <is>
          <t>A5.8.2</t>
        </is>
      </c>
      <c r="B137" s="2" t="n">
        <v>3</v>
      </c>
      <c r="C137" s="2" t="inlineStr">
        <is>
          <t>SVG tương tác (renderer nội bộ): bấm ký hiệu → Fact/nguồn/BOM; bấm net → tô sáng + ERC; hover chân → AF</t>
        </is>
      </c>
      <c r="D137" s="2" t="inlineStr">
        <is>
          <t>SCH-06, SCH-07, SCH-08</t>
        </is>
      </c>
      <c r="E137" s="2" t="n">
        <v>3</v>
      </c>
      <c r="F137" s="2">
        <f>SUMPRODUCT(('Anh xa'!$A$2:$A$725=A137)*1)</f>
        <v/>
      </c>
      <c r="G137" s="2">
        <f>IF(F137&gt;0,"✓","THIẾU")</f>
        <v/>
      </c>
    </row>
    <row r="138">
      <c r="A138" s="2" t="inlineStr">
        <is>
          <t>A5.8.3</t>
        </is>
      </c>
      <c r="B138" s="2" t="n">
        <v>3</v>
      </c>
      <c r="C138" s="2" t="inlineStr">
        <is>
          <t>Băng chất lượng bố cục (0 chồng / 0 cắt / % nhãn) + nút 'Bố cục lại'</t>
        </is>
      </c>
      <c r="D138" s="2" t="inlineStr">
        <is>
          <t>HA-say, SCH-05</t>
        </is>
      </c>
      <c r="E138" s="2" t="n">
        <v>2</v>
      </c>
      <c r="F138" s="2">
        <f>SUMPRODUCT(('Anh xa'!$A$2:$A$725=A138)*1)</f>
        <v/>
      </c>
      <c r="G138" s="2">
        <f>IF(F138&gt;0,"✓","THIẾU")</f>
        <v/>
      </c>
    </row>
    <row r="139">
      <c r="A139" s="2" t="inlineStr">
        <is>
          <t>A5.8.4</t>
        </is>
      </c>
      <c r="B139" s="2" t="n">
        <v>3</v>
      </c>
      <c r="C139" s="2" t="inlineStr">
        <is>
          <t>Mức render đang dùng (nội bộ / sơ đồ khối); không bao giờ đề nghị cài KiCad</t>
        </is>
      </c>
      <c r="D139" s="2" t="inlineStr">
        <is>
          <t>SCH-08, SCH-09</t>
        </is>
      </c>
      <c r="E139" s="2" t="n">
        <v>2</v>
      </c>
      <c r="F139" s="2">
        <f>SUMPRODUCT(('Anh xa'!$A$2:$A$725=A139)*1)</f>
        <v/>
      </c>
      <c r="G139" s="2">
        <f>IF(F139&gt;0,"✓","THIẾU")</f>
        <v/>
      </c>
    </row>
    <row r="140">
      <c r="A140" s="2" t="inlineStr">
        <is>
          <t>A5.8.5</t>
        </is>
      </c>
      <c r="B140" s="2" t="n">
        <v>3</v>
      </c>
      <c r="C140" s="2" t="inlineStr">
        <is>
          <t>Diff sơ đồ v(n-1)→v(n) bằng lời + tô</t>
        </is>
      </c>
      <c r="D140" s="2" t="inlineStr">
        <is>
          <t>EX-diff_prev, SCH-10</t>
        </is>
      </c>
      <c r="E140" s="2" t="n">
        <v>2</v>
      </c>
      <c r="F140" s="2">
        <f>SUMPRODUCT(('Anh xa'!$A$2:$A$725=A140)*1)</f>
        <v/>
      </c>
      <c r="G140" s="2">
        <f>IF(F140&gt;0,"✓","THIẾU")</f>
        <v/>
      </c>
    </row>
    <row r="141">
      <c r="A141" s="2" t="inlineStr">
        <is>
          <t>A5.8.6</t>
        </is>
      </c>
      <c r="B141" s="2" t="n">
        <v>3</v>
      </c>
      <c r="C141" s="2" t="inlineStr">
        <is>
          <t>Xuất gói (mở ở máy có KiCad) · Nạp lại · thẻ hỏi khi CKM ≠ sơ đồ</t>
        </is>
      </c>
      <c r="D141" s="2" t="inlineStr">
        <is>
          <t>HA-upload, SCH-11, SCH-12, SCH-13</t>
        </is>
      </c>
      <c r="E141" s="2" t="n">
        <v>4</v>
      </c>
      <c r="F141" s="2">
        <f>SUMPRODUCT(('Anh xa'!$A$2:$A$725=A141)*1)</f>
        <v/>
      </c>
      <c r="G141" s="2">
        <f>IF(F141&gt;0,"✓","THIẾU")</f>
        <v/>
      </c>
    </row>
    <row r="142">
      <c r="A142" s="2" t="inlineStr">
        <is>
          <t>A5.8.7</t>
        </is>
      </c>
      <c r="B142" s="2" t="n">
        <v>3</v>
      </c>
      <c r="C142" s="2" t="inlineStr">
        <is>
          <t>Symbol sinh từ Fact: xem, xác nhận, sửa kiểu chân; symbol lib đối chiếu Fact</t>
        </is>
      </c>
      <c r="D142" s="2" t="inlineStr">
        <is>
          <t>HA-confirm, SCH-14, SCH-15</t>
        </is>
      </c>
      <c r="E142" s="2" t="n">
        <v>3</v>
      </c>
      <c r="F142" s="2">
        <f>SUMPRODUCT(('Anh xa'!$A$2:$A$725=A142)*1)</f>
        <v/>
      </c>
      <c r="G142" s="2">
        <f>IF(F142&gt;0,"✓","THIẾU")</f>
        <v/>
      </c>
    </row>
    <row r="143">
      <c r="A143" s="2" t="inlineStr">
        <is>
          <t>A5.8.8</t>
        </is>
      </c>
      <c r="B143" s="2" t="n">
        <v>3</v>
      </c>
      <c r="C143" s="2" t="inlineStr">
        <is>
          <t>Cảnh báo pinout chưa duyệt (E7002) / netlist lệch CKM (E7001) với nút nạp datasheet</t>
        </is>
      </c>
      <c r="D143" s="2" t="inlineStr">
        <is>
          <t>DS1, SCH-02, SCH-03</t>
        </is>
      </c>
      <c r="E143" s="2" t="n">
        <v>3</v>
      </c>
      <c r="F143" s="2">
        <f>SUMPRODUCT(('Anh xa'!$A$2:$A$725=A143)*1)</f>
        <v/>
      </c>
      <c r="G143" s="2">
        <f>IF(F143&gt;0,"✓","THIẾU")</f>
        <v/>
      </c>
    </row>
    <row r="144">
      <c r="A144" s="2" t="inlineStr">
        <is>
          <t>A5.8.9</t>
        </is>
      </c>
      <c r="B144" s="2" t="n">
        <v>3</v>
      </c>
      <c r="C144" s="2" t="inlineStr">
        <is>
          <t>Xuất gói sch (.kicad_sch + .kicad_sym + .net + SVG) vào snapshot</t>
        </is>
      </c>
      <c r="D144" s="2" t="inlineStr">
        <is>
          <t>SCH-16, SN-human</t>
        </is>
      </c>
      <c r="E144" s="2" t="n">
        <v>2</v>
      </c>
      <c r="F144" s="2">
        <f>SUMPRODUCT(('Anh xa'!$A$2:$A$725=A144)*1)</f>
        <v/>
      </c>
      <c r="G144" s="2">
        <f>IF(F144&gt;0,"✓","THIẾU")</f>
        <v/>
      </c>
    </row>
    <row r="145">
      <c r="A145" s="2" t="inlineStr">
        <is>
          <t>A5.8.10</t>
        </is>
      </c>
      <c r="B145" s="2" t="n">
        <v>3</v>
      </c>
      <c r="C145" s="2" t="inlineStr">
        <is>
          <t>Giữ bố cục người đã sửa khi sinh lại (uuid theo ref); ghi đè tệp người sửa → G-FILE</t>
        </is>
      </c>
      <c r="D145" s="2" t="inlineStr">
        <is>
          <t>G-FILE, SCH-20, SCH-21</t>
        </is>
      </c>
      <c r="E145" s="2" t="n">
        <v>3</v>
      </c>
      <c r="F145" s="2">
        <f>SUMPRODUCT(('Anh xa'!$A$2:$A$725=A145)*1)</f>
        <v/>
      </c>
      <c r="G145" s="2">
        <f>IF(F145&gt;0,"✓","THIẾU")</f>
        <v/>
      </c>
    </row>
    <row r="146">
      <c r="A146" s="2" t="inlineStr">
        <is>
          <t>A5.8.11</t>
        </is>
      </c>
      <c r="B146" s="2" t="n">
        <v>3</v>
      </c>
      <c r="C146" s="2" t="inlineStr">
        <is>
          <t>Kết quả hồi quy hai chế độ (cờ tắt/bật) trước khi bật tính năng</t>
        </is>
      </c>
      <c r="D146" s="2" t="inlineStr">
        <is>
          <t>SCH-17, SCH-19</t>
        </is>
      </c>
      <c r="E146" s="2" t="n">
        <v>2</v>
      </c>
      <c r="F146" s="2">
        <f>SUMPRODUCT(('Anh xa'!$A$2:$A$725=A146)*1)</f>
        <v/>
      </c>
      <c r="G146" s="2">
        <f>IF(F146&gt;0,"✓","THIẾU")</f>
        <v/>
      </c>
    </row>
    <row r="147">
      <c r="A147" s="2" t="inlineStr">
        <is>
          <t>A5.9</t>
        </is>
      </c>
      <c r="B147" s="2" t="n">
        <v>2</v>
      </c>
      <c r="C147" s="2" t="inlineStr">
        <is>
          <t>Cây khối phân cấp (HIER-45)</t>
        </is>
      </c>
      <c r="D147" s="2" t="inlineStr">
        <is>
          <t>HIER-01, HIER-13</t>
        </is>
      </c>
      <c r="E147" s="2" t="n">
        <v>2</v>
      </c>
      <c r="F147" s="2">
        <f>SUMPRODUCT(('Anh xa'!$A$2:$A$725=A147)*1)</f>
        <v/>
      </c>
      <c r="G147" s="2">
        <f>IF(F147&gt;0,"✓","THIẾU")</f>
        <v/>
      </c>
    </row>
    <row r="148">
      <c r="A148" s="2" t="inlineStr">
        <is>
          <t>A5.9.1</t>
        </is>
      </c>
      <c r="B148" s="2" t="n">
        <v>3</v>
      </c>
      <c r="C148" s="2" t="inlineStr">
        <is>
          <t>Cây gập/mở: mạch → khối → khối con → linh kiện (lá); breadcrumb path; cảnh báo depth &gt; 4</t>
        </is>
      </c>
      <c r="D148" s="2" t="inlineStr">
        <is>
          <t>HIER-01, HIER-13</t>
        </is>
      </c>
      <c r="E148" s="2" t="n">
        <v>2</v>
      </c>
      <c r="F148" s="2">
        <f>SUMPRODUCT(('Anh xa'!$A$2:$A$725=A148)*1)</f>
        <v/>
      </c>
      <c r="G148" s="2">
        <f>IF(F148&gt;0,"✓","THIẾU")</f>
        <v/>
      </c>
    </row>
    <row r="149">
      <c r="A149" s="2" t="inlineStr">
        <is>
          <t>A5.9.2</t>
        </is>
      </c>
      <c r="B149" s="2" t="n">
        <v>3</v>
      </c>
      <c r="C149" s="2" t="inlineStr">
        <is>
          <t>Bấm khối → sơ đồ khối con + bảng Port (tên, hướng, kiểu, ràng buộc) + net cục bộ + ERC của khối + BOM con</t>
        </is>
      </c>
      <c r="D149" s="2" t="inlineStr">
        <is>
          <t>HIER-02, HIER-03, HIER-17</t>
        </is>
      </c>
      <c r="E149" s="2" t="n">
        <v>3</v>
      </c>
      <c r="F149" s="2">
        <f>SUMPRODUCT(('Anh xa'!$A$2:$A$725=A149)*1)</f>
        <v/>
      </c>
      <c r="G149" s="2">
        <f>IF(F149&gt;0,"✓","THIẾU")</f>
        <v/>
      </c>
    </row>
    <row r="150">
      <c r="A150" s="2" t="inlineStr">
        <is>
          <t>A5.9.3</t>
        </is>
      </c>
      <c r="B150" s="2" t="n">
        <v>3</v>
      </c>
      <c r="C150" s="2" t="inlineStr">
        <is>
          <t>Bấm lá → Fact pinout/BOM; Port của lá = pin (từ Fact, không bịa)</t>
        </is>
      </c>
      <c r="D150" s="2" t="inlineStr">
        <is>
          <t>HIER-02, N1</t>
        </is>
      </c>
      <c r="E150" s="2" t="n">
        <v>2</v>
      </c>
      <c r="F150" s="2">
        <f>SUMPRODUCT(('Anh xa'!$A$2:$A$725=A150)*1)</f>
        <v/>
      </c>
      <c r="G150" s="2">
        <f>IF(F150&gt;0,"✓","THIẾU")</f>
        <v/>
      </c>
    </row>
    <row r="151">
      <c r="A151" s="2" t="inlineStr">
        <is>
          <t>A5.9.4</t>
        </is>
      </c>
      <c r="B151" s="2" t="n">
        <v>3</v>
      </c>
      <c r="C151" s="2" t="inlineStr">
        <is>
          <t>Kéo thả lá/khối giữa cha; thêm/bớt/nối Port (= thay đổi cấu trúc → changeset)</t>
        </is>
      </c>
      <c r="D151" s="2" t="inlineStr">
        <is>
          <t>HA-edit, HIER-05, HIER-13</t>
        </is>
      </c>
      <c r="E151" s="2" t="n">
        <v>3</v>
      </c>
      <c r="F151" s="2">
        <f>SUMPRODUCT(('Anh xa'!$A$2:$A$725=A151)*1)</f>
        <v/>
      </c>
      <c r="G151" s="2">
        <f>IF(F151&gt;0,"✓","THIẾU")</f>
        <v/>
      </c>
    </row>
    <row r="152">
      <c r="A152" s="2" t="inlineStr">
        <is>
          <t>A5.9.5</t>
        </is>
      </c>
      <c r="B152" s="2" t="n">
        <v>3</v>
      </c>
      <c r="C152" s="2" t="inlineStr">
        <is>
          <t>Lỗi bất biến E8001–E8006 với gợi ý (ví dụ 'khai Port')</t>
        </is>
      </c>
      <c r="D152" s="2" t="inlineStr">
        <is>
          <t>HIER-03, HIER-05</t>
        </is>
      </c>
      <c r="E152" s="2" t="n">
        <v>2</v>
      </c>
      <c r="F152" s="2">
        <f>SUMPRODUCT(('Anh xa'!$A$2:$A$725=A152)*1)</f>
        <v/>
      </c>
      <c r="G152" s="2">
        <f>IF(F152&gt;0,"✓","THIẾU")</f>
        <v/>
      </c>
    </row>
    <row r="153">
      <c r="A153" s="2" t="inlineStr">
        <is>
          <t>A5.9.6</t>
        </is>
      </c>
      <c r="B153" s="2" t="n">
        <v>3</v>
      </c>
      <c r="C153" s="2" t="inlineStr">
        <is>
          <t>Tô STALE theo nút cây + lý do (changeset); Chấp nhận STALE cho nút/nhánh</t>
        </is>
      </c>
      <c r="D153" s="2" t="inlineStr">
        <is>
          <t>CS-stale, HIER-07</t>
        </is>
      </c>
      <c r="E153" s="2" t="n">
        <v>2</v>
      </c>
      <c r="F153" s="2">
        <f>SUMPRODUCT(('Anh xa'!$A$2:$A$725=A153)*1)</f>
        <v/>
      </c>
      <c r="G153" s="2">
        <f>IF(F153&gt;0,"✓","THIẾU")</f>
        <v/>
      </c>
    </row>
    <row r="154">
      <c r="A154" s="2" t="inlineStr">
        <is>
          <t>A5.9.7</t>
        </is>
      </c>
      <c r="B154" s="2" t="n">
        <v>3</v>
      </c>
      <c r="C154" s="2" t="inlineStr">
        <is>
          <t>Ràng buộc theo cây: Iout ≥ Σ I, mức logic, trùng địa chỉ bus, pull-up theo bus — kết quả + 'chưa đủ dữ kiện'</t>
        </is>
      </c>
      <c r="D154" s="2" t="inlineStr">
        <is>
          <t>HIER-06, N2, PR5</t>
        </is>
      </c>
      <c r="E154" s="2" t="n">
        <v>3</v>
      </c>
      <c r="F154" s="2">
        <f>SUMPRODUCT(('Anh xa'!$A$2:$A$725=A154)*1)</f>
        <v/>
      </c>
      <c r="G154" s="2">
        <f>IF(F154&gt;0,"✓","THIẾU")</f>
        <v/>
      </c>
    </row>
    <row r="155">
      <c r="A155" s="2" t="inlineStr">
        <is>
          <t>A5.9.8</t>
        </is>
      </c>
      <c r="B155" s="2" t="n">
        <v>3</v>
      </c>
      <c r="C155" s="2" t="inlineStr">
        <is>
          <t>Thêm khối từ thư viện (block@semver, params) → thẻ G-DESIGN; 'Lưu làm khối thư viện' có kiểm khép kín</t>
        </is>
      </c>
      <c r="D155" s="2" t="inlineStr">
        <is>
          <t>G-DESIGN, HIER-08, HIER-09</t>
        </is>
      </c>
      <c r="E155" s="2" t="n">
        <v>3</v>
      </c>
      <c r="F155" s="2">
        <f>SUMPRODUCT(('Anh xa'!$A$2:$A$725=A155)*1)</f>
        <v/>
      </c>
      <c r="G155" s="2">
        <f>IF(F155&gt;0,"✓","THIẾU")</f>
        <v/>
      </c>
    </row>
    <row r="156">
      <c r="A156" s="2" t="inlineStr">
        <is>
          <t>A5.9.9</t>
        </is>
      </c>
      <c r="B156" s="2" t="n">
        <v>3</v>
      </c>
      <c r="C156" s="2" t="inlineStr">
        <is>
          <t>Lớp giải thích khối: làm gì / giao tiếp gì / gồm gì / dựa vào đâu / khác bản trước / tiếp theo / tin được đến đâu</t>
        </is>
      </c>
      <c r="D156" s="2" t="inlineStr">
        <is>
          <t>HIER-14, N8</t>
        </is>
      </c>
      <c r="E156" s="2" t="n">
        <v>2</v>
      </c>
      <c r="F156" s="2">
        <f>SUMPRODUCT(('Anh xa'!$A$2:$A$725=A156)*1)</f>
        <v/>
      </c>
      <c r="G156" s="2">
        <f>IF(F156&gt;0,"✓","THIẾU")</f>
        <v/>
      </c>
    </row>
    <row r="157">
      <c r="A157" s="2" t="inlineStr">
        <is>
          <t>A5.9.10</t>
        </is>
      </c>
      <c r="B157" s="2" t="n">
        <v>3</v>
      </c>
      <c r="C157" s="2" t="inlineStr">
        <is>
          <t>Chế độ xem: cây · phẳng (flatten) · sheet KiCad phân cấp; đối chiếu netlist SKiDL = flatten</t>
        </is>
      </c>
      <c r="D157" s="2" t="inlineStr">
        <is>
          <t>HIER-04, HIER-10, HIER-11</t>
        </is>
      </c>
      <c r="E157" s="2" t="n">
        <v>3</v>
      </c>
      <c r="F157" s="2">
        <f>SUMPRODUCT(('Anh xa'!$A$2:$A$725=A157)*1)</f>
        <v/>
      </c>
      <c r="G157" s="2">
        <f>IF(F157&gt;0,"✓","THIẾU")</f>
        <v/>
      </c>
    </row>
    <row r="158">
      <c r="A158" s="2" t="inlineStr">
        <is>
          <t>A5.9.11</t>
        </is>
      </c>
      <c r="B158" s="2" t="n">
        <v>3</v>
      </c>
      <c r="C158" s="2" t="inlineStr">
        <is>
          <t>Nạp lại .kicad_sch phân cấp → cây; cấu trúc lệch → thẻ hỏi</t>
        </is>
      </c>
      <c r="D158" s="2" t="inlineStr">
        <is>
          <t>HIER-12, SCH-13</t>
        </is>
      </c>
      <c r="E158" s="2" t="n">
        <v>2</v>
      </c>
      <c r="F158" s="2">
        <f>SUMPRODUCT(('Anh xa'!$A$2:$A$725=A158)*1)</f>
        <v/>
      </c>
      <c r="G158" s="2">
        <f>IF(F158&gt;0,"✓","THIẾU")</f>
        <v/>
      </c>
    </row>
    <row r="159">
      <c r="A159" s="2" t="inlineStr">
        <is>
          <t>A5.9.12</t>
        </is>
      </c>
      <c r="B159" s="2" t="n">
        <v>3</v>
      </c>
      <c r="C159" s="2" t="inlineStr">
        <is>
          <t>Trạng thái migration dự án cũ + kết quả hồi quy; block@semver trong snapshot</t>
        </is>
      </c>
      <c r="D159" s="2" t="inlineStr">
        <is>
          <t>HIER-15, HIER-16, HIER-18</t>
        </is>
      </c>
      <c r="E159" s="2" t="n">
        <v>3</v>
      </c>
      <c r="F159" s="2">
        <f>SUMPRODUCT(('Anh xa'!$A$2:$A$725=A159)*1)</f>
        <v/>
      </c>
      <c r="G159" s="2">
        <f>IF(F159&gt;0,"✓","THIẾU")</f>
        <v/>
      </c>
    </row>
    <row r="160">
      <c r="A160" s="2" t="inlineStr">
        <is>
          <t>A5.7</t>
        </is>
      </c>
      <c r="B160" s="2" t="n">
        <v>2</v>
      </c>
      <c r="C160" s="2" t="inlineStr">
        <is>
          <t>Chuẩn bị sản xuất</t>
        </is>
      </c>
      <c r="D160" s="2" t="inlineStr">
        <is>
          <t>UC15</t>
        </is>
      </c>
      <c r="E160" s="2" t="n">
        <v>1</v>
      </c>
      <c r="F160" s="2">
        <f>SUMPRODUCT(('Anh xa'!$A$2:$A$725=A160)*1)</f>
        <v/>
      </c>
      <c r="G160" s="2">
        <f>IF(F160&gt;0,"✓","THIẾU")</f>
        <v/>
      </c>
    </row>
    <row r="161">
      <c r="A161" s="2" t="inlineStr">
        <is>
          <t>A5.7.1</t>
        </is>
      </c>
      <c r="B161" s="2" t="n">
        <v>3</v>
      </c>
      <c r="C161" s="2" t="inlineStr">
        <is>
          <t>Nút Gerber/DRC/file gắp đặt hiển thị 'ngoài phạm vi v3' (không giả vờ có)</t>
        </is>
      </c>
      <c r="D161" s="2" t="inlineStr">
        <is>
          <t>PR5, UC15</t>
        </is>
      </c>
      <c r="E161" s="2" t="n">
        <v>2</v>
      </c>
      <c r="F161" s="2">
        <f>SUMPRODUCT(('Anh xa'!$A$2:$A$725=A161)*1)</f>
        <v/>
      </c>
      <c r="G161" s="2">
        <f>IF(F161&gt;0,"✓","THIẾU")</f>
        <v/>
      </c>
    </row>
    <row r="162">
      <c r="A162" s="2" t="inlineStr">
        <is>
          <t>A5.6</t>
        </is>
      </c>
      <c r="B162" s="2" t="n">
        <v>2</v>
      </c>
      <c r="C162" s="2" t="inlineStr">
        <is>
          <t>Bảo mật &amp; OTA (thiết kế)</t>
        </is>
      </c>
      <c r="D162" s="2" t="inlineStr">
        <is>
          <t>TL-ota, UC14</t>
        </is>
      </c>
      <c r="E162" s="2" t="n">
        <v>2</v>
      </c>
      <c r="F162" s="2">
        <f>SUMPRODUCT(('Anh xa'!$A$2:$A$725=A162)*1)</f>
        <v/>
      </c>
      <c r="G162" s="2">
        <f>IF(F162&gt;0,"✓","THIẾU")</f>
        <v/>
      </c>
    </row>
    <row r="163">
      <c r="A163" s="2" t="inlineStr">
        <is>
          <t>A5.6.1</t>
        </is>
      </c>
      <c r="B163" s="2" t="n">
        <v>3</v>
      </c>
      <c r="C163" s="2" t="inlineStr">
        <is>
          <t>Phân vùng A/B, chữ ký, rollback; kịch bản mất điện/gói sai chữ ký</t>
        </is>
      </c>
      <c r="D163" s="2" t="inlineStr">
        <is>
          <t>TL-ota, UC14</t>
        </is>
      </c>
      <c r="E163" s="2" t="n">
        <v>2</v>
      </c>
      <c r="F163" s="2">
        <f>SUMPRODUCT(('Anh xa'!$A$2:$A$725=A163)*1)</f>
        <v/>
      </c>
      <c r="G163" s="2">
        <f>IF(F163&gt;0,"✓","THIẾU")</f>
        <v/>
      </c>
    </row>
    <row r="164">
      <c r="A164" s="2" t="inlineStr">
        <is>
          <t>A6.1</t>
        </is>
      </c>
      <c r="B164" s="2" t="n">
        <v>2</v>
      </c>
      <c r="C164" s="2" t="inlineStr">
        <is>
          <t>Kiểm kê công cụ</t>
        </is>
      </c>
      <c r="D164" s="2" t="inlineStr">
        <is>
          <t>C3, TL-inventory</t>
        </is>
      </c>
      <c r="E164" s="2" t="n">
        <v>2</v>
      </c>
      <c r="F164" s="2">
        <f>SUMPRODUCT(('Anh xa'!$A$2:$A$725=A164)*1)</f>
        <v/>
      </c>
      <c r="G164" s="2">
        <f>IF(F164&gt;0,"✓","THIẾU")</f>
        <v/>
      </c>
    </row>
    <row r="165">
      <c r="A165" s="2" t="inlineStr">
        <is>
          <t>A6.1.1</t>
        </is>
      </c>
      <c r="B165" s="2" t="n">
        <v>3</v>
      </c>
      <c r="C165" s="2" t="inlineStr">
        <is>
          <t>kv: toolchain theo ISA, phiên bản, mô phỏng, bộ nạp; khớp ISA chip; thiếu manifest nói thẳng</t>
        </is>
      </c>
      <c r="D165" s="2" t="inlineStr">
        <is>
          <t>N3, PR5, TL-inventory</t>
        </is>
      </c>
      <c r="E165" s="2" t="n">
        <v>3</v>
      </c>
      <c r="F165" s="2">
        <f>SUMPRODUCT(('Anh xa'!$A$2:$A$725=A165)*1)</f>
        <v/>
      </c>
      <c r="G165" s="2">
        <f>IF(F165&gt;0,"✓","THIẾU")</f>
        <v/>
      </c>
    </row>
    <row r="166">
      <c r="A166" s="2" t="inlineStr">
        <is>
          <t>A6.2</t>
        </is>
      </c>
      <c r="B166" s="2" t="n">
        <v>2</v>
      </c>
      <c r="C166" s="2" t="inlineStr">
        <is>
          <t>Cài đặt</t>
        </is>
      </c>
      <c r="D166" s="2" t="inlineStr">
        <is>
          <t>G-TOOL, TL-install</t>
        </is>
      </c>
      <c r="E166" s="2" t="n">
        <v>2</v>
      </c>
      <c r="F166" s="2">
        <f>SUMPRODUCT(('Anh xa'!$A$2:$A$725=A166)*1)</f>
        <v/>
      </c>
      <c r="G166" s="2">
        <f>IF(F166&gt;0,"✓","THIẾU")</f>
        <v/>
      </c>
    </row>
    <row r="167">
      <c r="A167" s="2" t="inlineStr">
        <is>
          <t>A6.2.1</t>
        </is>
      </c>
      <c r="B167" s="2" t="n">
        <v>3</v>
      </c>
      <c r="C167" s="2" t="inlineStr">
        <is>
          <t>Đề nghị cài: lệnh cụ thể theo HĐH, nguồn, kích thước → thẻ G-TOOL</t>
        </is>
      </c>
      <c r="D167" s="2" t="inlineStr">
        <is>
          <t>G-TOOL, HA-decide, TL-install</t>
        </is>
      </c>
      <c r="E167" s="2" t="n">
        <v>3</v>
      </c>
      <c r="F167" s="2">
        <f>SUMPRODUCT(('Anh xa'!$A$2:$A$725=A167)*1)</f>
        <v/>
      </c>
      <c r="G167" s="2">
        <f>IF(F167&gt;0,"✓","THIẾU")</f>
        <v/>
      </c>
    </row>
    <row r="168">
      <c r="A168" s="2" t="inlineStr">
        <is>
          <t>A6.2.2</t>
        </is>
      </c>
      <c r="B168" s="2" t="n">
        <v>3</v>
      </c>
      <c r="C168" s="2" t="inlineStr">
        <is>
          <t>'Tin' gói này lần sau (R0–R2)</t>
        </is>
      </c>
      <c r="D168" s="2" t="inlineStr">
        <is>
          <t>HA-set, MM-remember</t>
        </is>
      </c>
      <c r="E168" s="2" t="n">
        <v>2</v>
      </c>
      <c r="F168" s="2">
        <f>SUMPRODUCT(('Anh xa'!$A$2:$A$725=A168)*1)</f>
        <v/>
      </c>
      <c r="G168" s="2">
        <f>IF(F168&gt;0,"✓","THIẾU")</f>
        <v/>
      </c>
    </row>
    <row r="169">
      <c r="A169" s="2" t="inlineStr">
        <is>
          <t>A6.2.3</t>
        </is>
      </c>
      <c r="B169" s="2" t="n">
        <v>3</v>
      </c>
      <c r="C169" s="2" t="inlineStr">
        <is>
          <t>Log cài đặt</t>
        </is>
      </c>
      <c r="D169" s="2" t="inlineStr">
        <is>
          <t>UI-surface.append</t>
        </is>
      </c>
      <c r="E169" s="2" t="n">
        <v>1</v>
      </c>
      <c r="F169" s="2">
        <f>SUMPRODUCT(('Anh xa'!$A$2:$A$725=A169)*1)</f>
        <v/>
      </c>
      <c r="G169" s="2">
        <f>IF(F169&gt;0,"✓","THIẾU")</f>
        <v/>
      </c>
    </row>
    <row r="170">
      <c r="A170" s="2" t="inlineStr">
        <is>
          <t>A6.3</t>
        </is>
      </c>
      <c r="B170" s="2" t="n">
        <v>2</v>
      </c>
      <c r="C170" s="2" t="inlineStr">
        <is>
          <t>Skill &amp; subagent</t>
        </is>
      </c>
      <c r="D170" s="2" t="inlineStr">
        <is>
          <t>CX-skills, CX-subagent</t>
        </is>
      </c>
      <c r="E170" s="2" t="n">
        <v>2</v>
      </c>
      <c r="F170" s="2">
        <f>SUMPRODUCT(('Anh xa'!$A$2:$A$725=A170)*1)</f>
        <v/>
      </c>
      <c r="G170" s="2">
        <f>IF(F170&gt;0,"✓","THIẾU")</f>
        <v/>
      </c>
    </row>
    <row r="171">
      <c r="A171" s="2" t="inlineStr">
        <is>
          <t>A6.3.1</t>
        </is>
      </c>
      <c r="B171" s="2" t="n">
        <v>3</v>
      </c>
      <c r="C171" s="2" t="inlineStr">
        <is>
          <t>Skill đang nạp / gợi ý (mở SKILL.md)</t>
        </is>
      </c>
      <c r="D171" s="2" t="inlineStr">
        <is>
          <t>CX-skills</t>
        </is>
      </c>
      <c r="E171" s="2" t="n">
        <v>1</v>
      </c>
      <c r="F171" s="2">
        <f>SUMPRODUCT(('Anh xa'!$A$2:$A$725=A171)*1)</f>
        <v/>
      </c>
      <c r="G171" s="2">
        <f>IF(F171&gt;0,"✓","THIẾU")</f>
        <v/>
      </c>
    </row>
    <row r="172">
      <c r="A172" s="2" t="inlineStr">
        <is>
          <t>A6.3.2</t>
        </is>
      </c>
      <c r="B172" s="2" t="n">
        <v>3</v>
      </c>
      <c r="C172" s="2" t="inlineStr">
        <is>
          <t>Danh sách subagent + tool được phép</t>
        </is>
      </c>
      <c r="D172" s="2" t="inlineStr">
        <is>
          <t>CX-subagent</t>
        </is>
      </c>
      <c r="E172" s="2" t="n">
        <v>1</v>
      </c>
      <c r="F172" s="2">
        <f>SUMPRODUCT(('Anh xa'!$A$2:$A$725=A172)*1)</f>
        <v/>
      </c>
      <c r="G172" s="2">
        <f>IF(F172&gt;0,"✓","THIẾU")</f>
        <v/>
      </c>
    </row>
    <row r="173">
      <c r="A173" s="2" t="inlineStr">
        <is>
          <t>A7.1</t>
        </is>
      </c>
      <c r="B173" s="2" t="n">
        <v>2</v>
      </c>
      <c r="C173" s="2" t="inlineStr">
        <is>
          <t>Editor</t>
        </is>
      </c>
      <c r="D173" s="2" t="inlineStr">
        <is>
          <t>AR13, C4, UC03</t>
        </is>
      </c>
      <c r="E173" s="2" t="n">
        <v>3</v>
      </c>
      <c r="F173" s="2">
        <f>SUMPRODUCT(('Anh xa'!$A$2:$A$725=A173)*1)</f>
        <v/>
      </c>
      <c r="G173" s="2">
        <f>IF(F173&gt;0,"✓","THIẾU")</f>
        <v/>
      </c>
    </row>
    <row r="174">
      <c r="A174" s="2" t="inlineStr">
        <is>
          <t>A7.1.1</t>
        </is>
      </c>
      <c r="B174" s="2" t="n">
        <v>3</v>
      </c>
      <c r="C174" s="2" t="inlineStr">
        <is>
          <t>Cây dự án + editor; hằng số gạch chân nguồn (hover → Fact)</t>
        </is>
      </c>
      <c r="D174" s="2" t="inlineStr">
        <is>
          <t>AR13, N1, PR2</t>
        </is>
      </c>
      <c r="E174" s="2" t="n">
        <v>3</v>
      </c>
      <c r="F174" s="2">
        <f>SUMPRODUCT(('Anh xa'!$A$2:$A$725=A174)*1)</f>
        <v/>
      </c>
      <c r="G174" s="2">
        <f>IF(F174&gt;0,"✓","THIẾU")</f>
        <v/>
      </c>
    </row>
    <row r="175">
      <c r="A175" s="2" t="inlineStr">
        <is>
          <t>A7.1.2</t>
        </is>
      </c>
      <c r="B175" s="2" t="n">
        <v>3</v>
      </c>
      <c r="C175" s="2" t="inlineStr">
        <is>
          <t>Sửa tự do; Lưu = HumanAct edit (luôn tự duyệt)</t>
        </is>
      </c>
      <c r="D175" s="2" t="inlineStr">
        <is>
          <t>ED2, EDK-content, HA-edit</t>
        </is>
      </c>
      <c r="E175" s="2" t="n">
        <v>3</v>
      </c>
      <c r="F175" s="2">
        <f>SUMPRODUCT(('Anh xa'!$A$2:$A$725=A175)*1)</f>
        <v/>
      </c>
      <c r="G175" s="2">
        <f>IF(F175&gt;0,"✓","THIẾU")</f>
        <v/>
      </c>
    </row>
    <row r="176">
      <c r="A176" s="2" t="inlineStr">
        <is>
          <t>A7.1.3</t>
        </is>
      </c>
      <c r="B176" s="2" t="n">
        <v>3</v>
      </c>
      <c r="C176" s="2" t="inlineStr">
        <is>
          <t>Thanh soft-lock 'tác tử đang sửa' + cảnh báo lock_broken</t>
        </is>
      </c>
      <c r="D176" s="2" t="inlineStr">
        <is>
          <t>ED1, EDK-lockbroken, UI-surface.lock, UI-surface.unlock</t>
        </is>
      </c>
      <c r="E176" s="2" t="n">
        <v>4</v>
      </c>
      <c r="F176" s="2">
        <f>SUMPRODUCT(('Anh xa'!$A$2:$A$725=A176)*1)</f>
        <v/>
      </c>
      <c r="G176" s="2">
        <f>IF(F176&gt;0,"✓","THIẾU")</f>
        <v/>
      </c>
    </row>
    <row r="177">
      <c r="A177" s="2" t="inlineStr">
        <is>
          <t>A7.1.4</t>
        </is>
      </c>
      <c r="B177" s="2" t="n">
        <v>3</v>
      </c>
      <c r="C177" s="2" t="inlineStr">
        <is>
          <t>Xung đột → hai bản cạnh nhau, chọn từng đoạn</t>
        </is>
      </c>
      <c r="D177" s="2" t="inlineStr">
        <is>
          <t>ED3, G-FILE</t>
        </is>
      </c>
      <c r="E177" s="2" t="n">
        <v>2</v>
      </c>
      <c r="F177" s="2">
        <f>SUMPRODUCT(('Anh xa'!$A$2:$A$725=A177)*1)</f>
        <v/>
      </c>
      <c r="G177" s="2">
        <f>IF(F177&gt;0,"✓","THIẾU")</f>
        <v/>
      </c>
    </row>
    <row r="178">
      <c r="A178" s="2" t="inlineStr">
        <is>
          <t>A7.2</t>
        </is>
      </c>
      <c r="B178" s="2" t="n">
        <v>2</v>
      </c>
      <c r="C178" s="2" t="inlineStr">
        <is>
          <t>Thay đổi của tác tử (diff)</t>
        </is>
      </c>
      <c r="D178" s="2" t="inlineStr">
        <is>
          <t>AR14</t>
        </is>
      </c>
      <c r="E178" s="2" t="n">
        <v>1</v>
      </c>
      <c r="F178" s="2">
        <f>SUMPRODUCT(('Anh xa'!$A$2:$A$725=A178)*1)</f>
        <v/>
      </c>
      <c r="G178" s="2">
        <f>IF(F178&gt;0,"✓","THIẾU")</f>
        <v/>
      </c>
    </row>
    <row r="179">
      <c r="A179" s="2" t="inlineStr">
        <is>
          <t>A7.2.1</t>
        </is>
      </c>
      <c r="B179" s="2" t="n">
        <v>3</v>
      </c>
      <c r="C179" s="2" t="inlineStr">
        <is>
          <t>Diff viewer ≤ 200 dòng nguyên văn / tóm tắt; lý do; hằng số mới có nguồn?</t>
        </is>
      </c>
      <c r="D179" s="2" t="inlineStr">
        <is>
          <t>AR14, EX-why, N1</t>
        </is>
      </c>
      <c r="E179" s="2" t="n">
        <v>3</v>
      </c>
      <c r="F179" s="2">
        <f>SUMPRODUCT(('Anh xa'!$A$2:$A$725=A179)*1)</f>
        <v/>
      </c>
      <c r="G179" s="2">
        <f>IF(F179&gt;0,"✓","THIẾU")</f>
        <v/>
      </c>
    </row>
    <row r="180">
      <c r="A180" s="2" t="inlineStr">
        <is>
          <t>A7.2.2</t>
        </is>
      </c>
      <c r="B180" s="2" t="n">
        <v>3</v>
      </c>
      <c r="C180" s="2" t="inlineStr">
        <is>
          <t>Hoàn tác từng diff</t>
        </is>
      </c>
      <c r="D180" s="2" t="inlineStr">
        <is>
          <t>CS-undo1, HA-undo</t>
        </is>
      </c>
      <c r="E180" s="2" t="n">
        <v>2</v>
      </c>
      <c r="F180" s="2">
        <f>SUMPRODUCT(('Anh xa'!$A$2:$A$725=A180)*1)</f>
        <v/>
      </c>
      <c r="G180" s="2">
        <f>IF(F180&gt;0,"✓","THIẾU")</f>
        <v/>
      </c>
    </row>
    <row r="181">
      <c r="A181" s="2" t="inlineStr">
        <is>
          <t>A7.2.3</t>
        </is>
      </c>
      <c r="B181" s="2" t="n">
        <v>3</v>
      </c>
      <c r="C181" s="2" t="inlineStr">
        <is>
          <t>Duyệt ghi đè tệp người đã sửa (thẻ G-FILE)</t>
        </is>
      </c>
      <c r="D181" s="2" t="inlineStr">
        <is>
          <t>G-FILE, HA-decide</t>
        </is>
      </c>
      <c r="E181" s="2" t="n">
        <v>2</v>
      </c>
      <c r="F181" s="2">
        <f>SUMPRODUCT(('Anh xa'!$A$2:$A$725=A181)*1)</f>
        <v/>
      </c>
      <c r="G181" s="2">
        <f>IF(F181&gt;0,"✓","THIẾU")</f>
        <v/>
      </c>
    </row>
    <row r="182">
      <c r="A182" s="2" t="inlineStr">
        <is>
          <t>A7.3</t>
        </is>
      </c>
      <c r="B182" s="2" t="n">
        <v>2</v>
      </c>
      <c r="C182" s="2" t="inlineStr">
        <is>
          <t>Kết quả build</t>
        </is>
      </c>
      <c r="D182" s="2" t="inlineStr">
        <is>
          <t>AR15, TL-build</t>
        </is>
      </c>
      <c r="E182" s="2" t="n">
        <v>2</v>
      </c>
      <c r="F182" s="2">
        <f>SUMPRODUCT(('Anh xa'!$A$2:$A$725=A182)*1)</f>
        <v/>
      </c>
      <c r="G182" s="2">
        <f>IF(F182&gt;0,"✓","THIẾU")</f>
        <v/>
      </c>
    </row>
    <row r="183">
      <c r="A183" s="2" t="inlineStr">
        <is>
          <t>A7.3.1</t>
        </is>
      </c>
      <c r="B183" s="2" t="n">
        <v>3</v>
      </c>
      <c r="C183" s="2" t="inlineStr">
        <is>
          <t>kv đạt/không; warning có giải thích; thanh Flash/RAM so với Fact budget</t>
        </is>
      </c>
      <c r="D183" s="2" t="inlineStr">
        <is>
          <t>AR15, TL-build, UC03</t>
        </is>
      </c>
      <c r="E183" s="2" t="n">
        <v>3</v>
      </c>
      <c r="F183" s="2">
        <f>SUMPRODUCT(('Anh xa'!$A$2:$A$725=A183)*1)</f>
        <v/>
      </c>
      <c r="G183" s="2">
        <f>IF(F183&gt;0,"✓","THIẾU")</f>
        <v/>
      </c>
    </row>
    <row r="184">
      <c r="A184" s="2" t="inlineStr">
        <is>
          <t>A7.3.2</t>
        </is>
      </c>
      <c r="B184" s="2" t="n">
        <v>3</v>
      </c>
      <c r="C184" s="2" t="inlineStr">
        <is>
          <t>Vòng tự sửa: diff + lỗi cuối sau 3 lần</t>
        </is>
      </c>
      <c r="D184" s="2" t="inlineStr">
        <is>
          <t>PR5, UC03</t>
        </is>
      </c>
      <c r="E184" s="2" t="n">
        <v>2</v>
      </c>
      <c r="F184" s="2">
        <f>SUMPRODUCT(('Anh xa'!$A$2:$A$725=A184)*1)</f>
        <v/>
      </c>
      <c r="G184" s="2">
        <f>IF(F184&gt;0,"✓","THIẾU")</f>
        <v/>
      </c>
    </row>
    <row r="185">
      <c r="A185" s="2" t="inlineStr">
        <is>
          <t>A7.4</t>
        </is>
      </c>
      <c r="B185" s="2" t="n">
        <v>2</v>
      </c>
      <c r="C185" s="2" t="inlineStr">
        <is>
          <t>Porting &amp; tối ưu</t>
        </is>
      </c>
      <c r="D185" s="2" t="inlineStr">
        <is>
          <t>UC09, UC12</t>
        </is>
      </c>
      <c r="E185" s="2" t="n">
        <v>2</v>
      </c>
      <c r="F185" s="2">
        <f>SUMPRODUCT(('Anh xa'!$A$2:$A$725=A185)*1)</f>
        <v/>
      </c>
      <c r="G185" s="2">
        <f>IF(F185&gt;0,"✓","THIẾU")</f>
        <v/>
      </c>
    </row>
    <row r="186">
      <c r="A186" s="2" t="inlineStr">
        <is>
          <t>A7.4.1</t>
        </is>
      </c>
      <c r="B186" s="2" t="n">
        <v>3</v>
      </c>
      <c r="C186" s="2" t="inlineStr">
        <is>
          <t>Bảng ánh xạ ngoại vi cũ→mới; điểm không port được</t>
        </is>
      </c>
      <c r="D186" s="2" t="inlineStr">
        <is>
          <t>TL-port, UC09</t>
        </is>
      </c>
      <c r="E186" s="2" t="n">
        <v>2</v>
      </c>
      <c r="F186" s="2">
        <f>SUMPRODUCT(('Anh xa'!$A$2:$A$725=A186)*1)</f>
        <v/>
      </c>
      <c r="G186" s="2">
        <f>IF(F186&gt;0,"✓","THIẾU")</f>
        <v/>
      </c>
    </row>
    <row r="187">
      <c r="A187" s="2" t="inlineStr">
        <is>
          <t>A7.4.2</t>
        </is>
      </c>
      <c r="B187" s="2" t="n">
        <v>3</v>
      </c>
      <c r="C187" s="2" t="inlineStr">
        <is>
          <t>Số đo trước/sau tối ưu; hồi quy</t>
        </is>
      </c>
      <c r="D187" s="2" t="inlineStr">
        <is>
          <t>TL-opt, UC12</t>
        </is>
      </c>
      <c r="E187" s="2" t="n">
        <v>2</v>
      </c>
      <c r="F187" s="2">
        <f>SUMPRODUCT(('Anh xa'!$A$2:$A$725=A187)*1)</f>
        <v/>
      </c>
      <c r="G187" s="2">
        <f>IF(F187&gt;0,"✓","THIẾU")</f>
        <v/>
      </c>
    </row>
    <row r="188">
      <c r="A188" s="2" t="inlineStr">
        <is>
          <t>A7.5</t>
        </is>
      </c>
      <c r="B188" s="2" t="n">
        <v>2</v>
      </c>
      <c r="C188" s="2" t="inlineStr">
        <is>
          <t>Kiểm thử tự động</t>
        </is>
      </c>
      <c r="D188" s="2" t="inlineStr">
        <is>
          <t>TL-test, UC11</t>
        </is>
      </c>
      <c r="E188" s="2" t="n">
        <v>2</v>
      </c>
      <c r="F188" s="2">
        <f>SUMPRODUCT(('Anh xa'!$A$2:$A$725=A188)*1)</f>
        <v/>
      </c>
      <c r="G188" s="2">
        <f>IF(F188&gt;0,"✓","THIẾU")</f>
        <v/>
      </c>
    </row>
    <row r="189">
      <c r="A189" s="2" t="inlineStr">
        <is>
          <t>A7.5.1</t>
        </is>
      </c>
      <c r="B189" s="2" t="n">
        <v>3</v>
      </c>
      <c r="C189" s="2" t="inlineStr">
        <is>
          <t>Kết quả unit test/HIL: đạt/không, độ phủ, flaky</t>
        </is>
      </c>
      <c r="D189" s="2" t="inlineStr">
        <is>
          <t>TL-test, UC11</t>
        </is>
      </c>
      <c r="E189" s="2" t="n">
        <v>2</v>
      </c>
      <c r="F189" s="2">
        <f>SUMPRODUCT(('Anh xa'!$A$2:$A$725=A189)*1)</f>
        <v/>
      </c>
      <c r="G189" s="2">
        <f>IF(F189&gt;0,"✓","THIẾU")</f>
        <v/>
      </c>
    </row>
    <row r="190">
      <c r="A190" s="2" t="inlineStr">
        <is>
          <t>A8.1</t>
        </is>
      </c>
      <c r="B190" s="2" t="n">
        <v>2</v>
      </c>
      <c r="C190" s="2" t="inlineStr">
        <is>
          <t>Tiêu chí (nêu trước)</t>
        </is>
      </c>
      <c r="D190" s="2" t="inlineStr">
        <is>
          <t>AR16, N6, TL-criteria</t>
        </is>
      </c>
      <c r="E190" s="2" t="n">
        <v>3</v>
      </c>
      <c r="F190" s="2">
        <f>SUMPRODUCT(('Anh xa'!$A$2:$A$725=A190)*1)</f>
        <v/>
      </c>
      <c r="G190" s="2">
        <f>IF(F190&gt;0,"✓","THIẾU")</f>
        <v/>
      </c>
    </row>
    <row r="191">
      <c r="A191" s="2" t="inlineStr">
        <is>
          <t>A8.1.1</t>
        </is>
      </c>
      <c r="B191" s="2" t="n">
        <v>3</v>
      </c>
      <c r="C191" s="2" t="inlineStr">
        <is>
          <t>Form assert: loại, ngưỡng (đơn vị), timeout; mỗi assert đo REQ nào; ngưỡng từ đâu</t>
        </is>
      </c>
      <c r="D191" s="2" t="inlineStr">
        <is>
          <t>AR16, EX-sources</t>
        </is>
      </c>
      <c r="E191" s="2" t="n">
        <v>2</v>
      </c>
      <c r="F191" s="2">
        <f>SUMPRODUCT(('Anh xa'!$A$2:$A$725=A191)*1)</f>
        <v/>
      </c>
      <c r="G191" s="2">
        <f>IF(F191&gt;0,"✓","THIẾU")</f>
        <v/>
      </c>
    </row>
    <row r="192">
      <c r="A192" s="2" t="inlineStr">
        <is>
          <t>A8.1.2</t>
        </is>
      </c>
      <c r="B192" s="2" t="n">
        <v>3</v>
      </c>
      <c r="C192" s="2" t="inlineStr">
        <is>
          <t>Xác nhận tiêu chí (choose)</t>
        </is>
      </c>
      <c r="D192" s="2" t="inlineStr">
        <is>
          <t>HA-choose, TL-criteria</t>
        </is>
      </c>
      <c r="E192" s="2" t="n">
        <v>2</v>
      </c>
      <c r="F192" s="2">
        <f>SUMPRODUCT(('Anh xa'!$A$2:$A$725=A192)*1)</f>
        <v/>
      </c>
      <c r="G192" s="2">
        <f>IF(F192&gt;0,"✓","THIẾU")</f>
        <v/>
      </c>
    </row>
    <row r="193">
      <c r="A193" s="2" t="inlineStr">
        <is>
          <t>A8.1.3</t>
        </is>
      </c>
      <c r="B193" s="2" t="n">
        <v>3</v>
      </c>
      <c r="C193" s="2" t="inlineStr">
        <is>
          <t>Sửa ngưỡng sau khi có kết quả → thẻ G-QUAL (từ–đến–vì sao)</t>
        </is>
      </c>
      <c r="D193" s="2" t="inlineStr">
        <is>
          <t>G-QUAL, HA-edit, N6</t>
        </is>
      </c>
      <c r="E193" s="2" t="n">
        <v>3</v>
      </c>
      <c r="F193" s="2">
        <f>SUMPRODUCT(('Anh xa'!$A$2:$A$725=A193)*1)</f>
        <v/>
      </c>
      <c r="G193" s="2">
        <f>IF(F193&gt;0,"✓","THIẾU")</f>
        <v/>
      </c>
    </row>
    <row r="194">
      <c r="A194" s="2" t="inlineStr">
        <is>
          <t>A8.2</t>
        </is>
      </c>
      <c r="B194" s="2" t="n">
        <v>2</v>
      </c>
      <c r="C194" s="2" t="inlineStr">
        <is>
          <t>Kết quả mô phỏng</t>
        </is>
      </c>
      <c r="D194" s="2" t="inlineStr">
        <is>
          <t>AR17, TL-simrun, UC03</t>
        </is>
      </c>
      <c r="E194" s="2" t="n">
        <v>3</v>
      </c>
      <c r="F194" s="2">
        <f>SUMPRODUCT(('Anh xa'!$A$2:$A$725=A194)*1)</f>
        <v/>
      </c>
      <c r="G194" s="2">
        <f>IF(F194&gt;0,"✓","THIẾU")</f>
        <v/>
      </c>
    </row>
    <row r="195">
      <c r="A195" s="2" t="inlineStr">
        <is>
          <t>A8.2.1</t>
        </is>
      </c>
      <c r="B195" s="2" t="n">
        <v>3</v>
      </c>
      <c r="C195" s="2" t="inlineStr">
        <is>
          <t>Verdict theo từng assert + bằng chứng (dòng log/thời điểm VCD)</t>
        </is>
      </c>
      <c r="D195" s="2" t="inlineStr">
        <is>
          <t>AR17, N6, PR2</t>
        </is>
      </c>
      <c r="E195" s="2" t="n">
        <v>3</v>
      </c>
      <c r="F195" s="2">
        <f>SUMPRODUCT(('Anh xa'!$A$2:$A$725=A195)*1)</f>
        <v/>
      </c>
      <c r="G195" s="2">
        <f>IF(F195&gt;0,"✓","THIẾU")</f>
        <v/>
      </c>
    </row>
    <row r="196">
      <c r="A196" s="2" t="inlineStr">
        <is>
          <t>A8.2.2</t>
        </is>
      </c>
      <c r="B196" s="2" t="n">
        <v>3</v>
      </c>
      <c r="C196" s="2" t="inlineStr">
        <is>
          <t>Log có dấu thời gian (follow)</t>
        </is>
      </c>
      <c r="D196" s="2" t="inlineStr">
        <is>
          <t>UI-surface.append</t>
        </is>
      </c>
      <c r="E196" s="2" t="n">
        <v>1</v>
      </c>
      <c r="F196" s="2">
        <f>SUMPRODUCT(('Anh xa'!$A$2:$A$725=A196)*1)</f>
        <v/>
      </c>
      <c r="G196" s="2">
        <f>IF(F196&gt;0,"✓","THIẾU")</f>
        <v/>
      </c>
    </row>
    <row r="197">
      <c r="A197" s="2" t="inlineStr">
        <is>
          <t>A8.2.3</t>
        </is>
      </c>
      <c r="B197" s="2" t="n">
        <v>3</v>
      </c>
      <c r="C197" s="2" t="inlineStr">
        <is>
          <t>VCD viewer / ảnh</t>
        </is>
      </c>
      <c r="D197" s="2" t="inlineStr">
        <is>
          <t>AR17</t>
        </is>
      </c>
      <c r="E197" s="2" t="n">
        <v>1</v>
      </c>
      <c r="F197" s="2">
        <f>SUMPRODUCT(('Anh xa'!$A$2:$A$725=A197)*1)</f>
        <v/>
      </c>
      <c r="G197" s="2">
        <f>IF(F197&gt;0,"✓","THIẾU")</f>
        <v/>
      </c>
    </row>
    <row r="198">
      <c r="A198" s="2" t="inlineStr">
        <is>
          <t>A8.2.4</t>
        </is>
      </c>
      <c r="B198" s="2" t="n">
        <v>3</v>
      </c>
      <c r="C198" s="2" t="inlineStr">
        <is>
          <t>Khối 'KHÔNG mô phỏng được' + đề xuất mock/HIL</t>
        </is>
      </c>
      <c r="D198" s="2" t="inlineStr">
        <is>
          <t>N6, PR5, UC03</t>
        </is>
      </c>
      <c r="E198" s="2" t="n">
        <v>3</v>
      </c>
      <c r="F198" s="2">
        <f>SUMPRODUCT(('Anh xa'!$A$2:$A$725=A198)*1)</f>
        <v/>
      </c>
      <c r="G198" s="2">
        <f>IF(F198&gt;0,"✓","THIẾU")</f>
        <v/>
      </c>
    </row>
    <row r="199">
      <c r="A199" s="2" t="inlineStr">
        <is>
          <t>A8.2.5</t>
        </is>
      </c>
      <c r="B199" s="2" t="n">
        <v>3</v>
      </c>
      <c r="C199" s="2" t="inlineStr">
        <is>
          <t>Timeout/treo: vị trí vòng chờ</t>
        </is>
      </c>
      <c r="D199" s="2" t="inlineStr">
        <is>
          <t>PR5, UC03</t>
        </is>
      </c>
      <c r="E199" s="2" t="n">
        <v>2</v>
      </c>
      <c r="F199" s="2">
        <f>SUMPRODUCT(('Anh xa'!$A$2:$A$725=A199)*1)</f>
        <v/>
      </c>
      <c r="G199" s="2">
        <f>IF(F199&gt;0,"✓","THIẾU")</f>
        <v/>
      </c>
    </row>
    <row r="200">
      <c r="A200" s="2" t="inlineStr">
        <is>
          <t>A8.2.6</t>
        </is>
      </c>
      <c r="B200" s="2" t="n">
        <v>3</v>
      </c>
      <c r="C200" s="2" t="inlineStr">
        <is>
          <t>Log rỗng → 'không kết luận được'</t>
        </is>
      </c>
      <c r="D200" s="2" t="inlineStr">
        <is>
          <t>N6, UC19</t>
        </is>
      </c>
      <c r="E200" s="2" t="n">
        <v>2</v>
      </c>
      <c r="F200" s="2">
        <f>SUMPRODUCT(('Anh xa'!$A$2:$A$725=A200)*1)</f>
        <v/>
      </c>
      <c r="G200" s="2">
        <f>IF(F200&gt;0,"✓","THIẾU")</f>
        <v/>
      </c>
    </row>
    <row r="201">
      <c r="A201" s="2" t="inlineStr">
        <is>
          <t>A8.2.7</t>
        </is>
      </c>
      <c r="B201" s="2" t="n">
        <v>3</v>
      </c>
      <c r="C201" s="2" t="inlineStr">
        <is>
          <t>Chạy lại / Dừng</t>
        </is>
      </c>
      <c r="D201" s="2" t="inlineStr">
        <is>
          <t>HA-say, HA-stop</t>
        </is>
      </c>
      <c r="E201" s="2" t="n">
        <v>2</v>
      </c>
      <c r="F201" s="2">
        <f>SUMPRODUCT(('Anh xa'!$A$2:$A$725=A201)*1)</f>
        <v/>
      </c>
      <c r="G201" s="2">
        <f>IF(F201&gt;0,"✓","THIẾU")</f>
        <v/>
      </c>
    </row>
    <row r="202">
      <c r="A202" s="2" t="inlineStr">
        <is>
          <t>A8.2.8</t>
        </is>
      </c>
      <c r="B202" s="2" t="n">
        <v>3</v>
      </c>
      <c r="C202" s="2" t="inlineStr">
        <is>
          <t>Đề xuất snapshot sau khi đạt (thẻ G-SNAP)</t>
        </is>
      </c>
      <c r="D202" s="2" t="inlineStr">
        <is>
          <t>G-SNAP, SN-propose</t>
        </is>
      </c>
      <c r="E202" s="2" t="n">
        <v>2</v>
      </c>
      <c r="F202" s="2">
        <f>SUMPRODUCT(('Anh xa'!$A$2:$A$725=A202)*1)</f>
        <v/>
      </c>
      <c r="G202" s="2">
        <f>IF(F202&gt;0,"✓","THIẾU")</f>
        <v/>
      </c>
    </row>
    <row r="203">
      <c r="A203" s="2" t="inlineStr">
        <is>
          <t>A9.1</t>
        </is>
      </c>
      <c r="B203" s="2" t="n">
        <v>2</v>
      </c>
      <c r="C203" s="2" t="inlineStr">
        <is>
          <t>Dò board</t>
        </is>
      </c>
      <c r="D203" s="2" t="inlineStr">
        <is>
          <t>AR19, TL-detect, UC05</t>
        </is>
      </c>
      <c r="E203" s="2" t="n">
        <v>3</v>
      </c>
      <c r="F203" s="2">
        <f>SUMPRODUCT(('Anh xa'!$A$2:$A$725=A203)*1)</f>
        <v/>
      </c>
      <c r="G203" s="2">
        <f>IF(F203&gt;0,"✓","THIẾU")</f>
        <v/>
      </c>
    </row>
    <row r="204">
      <c r="A204" s="2" t="inlineStr">
        <is>
          <t>A9.1.1</t>
        </is>
      </c>
      <c r="B204" s="2" t="n">
        <v>3</v>
      </c>
      <c r="C204" s="2" t="inlineStr">
        <is>
          <t>kv: cổng, probe, ID chip đọc được ↔ hộ chiếu (khớp/không)</t>
        </is>
      </c>
      <c r="D204" s="2" t="inlineStr">
        <is>
          <t>AR19, N1, TL-detect</t>
        </is>
      </c>
      <c r="E204" s="2" t="n">
        <v>3</v>
      </c>
      <c r="F204" s="2">
        <f>SUMPRODUCT(('Anh xa'!$A$2:$A$725=A204)*1)</f>
        <v/>
      </c>
      <c r="G204" s="2">
        <f>IF(F204&gt;0,"✓","THIẾU")</f>
        <v/>
      </c>
    </row>
    <row r="205">
      <c r="A205" s="2" t="inlineStr">
        <is>
          <t>A9.1.2</t>
        </is>
      </c>
      <c r="B205" s="2" t="n">
        <v>3</v>
      </c>
      <c r="C205" s="2" t="inlineStr">
        <is>
          <t>Không thấy: checklist nguồn/cáp/driver/BOOT/NRST + nút Dò lại</t>
        </is>
      </c>
      <c r="D205" s="2" t="inlineStr">
        <is>
          <t>HA-say, PR5, TL-detect</t>
        </is>
      </c>
      <c r="E205" s="2" t="n">
        <v>3</v>
      </c>
      <c r="F205" s="2">
        <f>SUMPRODUCT(('Anh xa'!$A$2:$A$725=A205)*1)</f>
        <v/>
      </c>
      <c r="G205" s="2">
        <f>IF(F205&gt;0,"✓","THIẾU")</f>
        <v/>
      </c>
    </row>
    <row r="206">
      <c r="A206" s="2" t="inlineStr">
        <is>
          <t>A9.2</t>
        </is>
      </c>
      <c r="B206" s="2" t="n">
        <v>2</v>
      </c>
      <c r="C206" s="2" t="inlineStr">
        <is>
          <t>Nạp &amp; verify</t>
        </is>
      </c>
      <c r="D206" s="2" t="inlineStr">
        <is>
          <t>G-FLASH, TL-flash, TL-verify</t>
        </is>
      </c>
      <c r="E206" s="2" t="n">
        <v>3</v>
      </c>
      <c r="F206" s="2">
        <f>SUMPRODUCT(('Anh xa'!$A$2:$A$725=A206)*1)</f>
        <v/>
      </c>
      <c r="G206" s="2">
        <f>IF(F206&gt;0,"✓","THIẾU")</f>
        <v/>
      </c>
    </row>
    <row r="207">
      <c r="A207" s="2" t="inlineStr">
        <is>
          <t>A9.2.1</t>
        </is>
      </c>
      <c r="B207" s="2" t="n">
        <v>3</v>
      </c>
      <c r="C207" s="2" t="inlineStr">
        <is>
          <t>Tóm tắt 'nạp gì (hash, kích thước) vào đâu' → thẻ G-FLASH</t>
        </is>
      </c>
      <c r="D207" s="2" t="inlineStr">
        <is>
          <t>G-FLASH, HA-decide, TL-flash</t>
        </is>
      </c>
      <c r="E207" s="2" t="n">
        <v>3</v>
      </c>
      <c r="F207" s="2">
        <f>SUMPRODUCT(('Anh xa'!$A$2:$A$725=A207)*1)</f>
        <v/>
      </c>
      <c r="G207" s="2">
        <f>IF(F207&gt;0,"✓","THIẾU")</f>
        <v/>
      </c>
    </row>
    <row r="208">
      <c r="A208" s="2" t="inlineStr">
        <is>
          <t>A9.2.2</t>
        </is>
      </c>
      <c r="B208" s="2" t="n">
        <v>3</v>
      </c>
      <c r="C208" s="2" t="inlineStr">
        <is>
          <t>Kết quả verify; rút cáp giữa chừng → trạng thái + hướng khôi phục</t>
        </is>
      </c>
      <c r="D208" s="2" t="inlineStr">
        <is>
          <t>PR5, TL-verify</t>
        </is>
      </c>
      <c r="E208" s="2" t="n">
        <v>2</v>
      </c>
      <c r="F208" s="2">
        <f>SUMPRODUCT(('Anh xa'!$A$2:$A$725=A208)*1)</f>
        <v/>
      </c>
      <c r="G208" s="2">
        <f>IF(F208&gt;0,"✓","THIẾU")</f>
        <v/>
      </c>
    </row>
    <row r="209">
      <c r="A209" s="2" t="inlineStr">
        <is>
          <t>A9.2.3</t>
        </is>
      </c>
      <c r="B209" s="2" t="n">
        <v>3</v>
      </c>
      <c r="C209" s="2" t="inlineStr">
        <is>
          <t>Cảnh báo 'không hoàn tác được' + đề nghị snapshot trước</t>
        </is>
      </c>
      <c r="D209" s="2" t="inlineStr">
        <is>
          <t>CS-irreversible, SN-propose</t>
        </is>
      </c>
      <c r="E209" s="2" t="n">
        <v>2</v>
      </c>
      <c r="F209" s="2">
        <f>SUMPRODUCT(('Anh xa'!$A$2:$A$725=A209)*1)</f>
        <v/>
      </c>
      <c r="G209" s="2">
        <f>IF(F209&gt;0,"✓","THIẾU")</f>
        <v/>
      </c>
    </row>
    <row r="210">
      <c r="A210" s="2" t="inlineStr">
        <is>
          <t>A9.2.4</t>
        </is>
      </c>
      <c r="B210" s="2" t="n">
        <v>3</v>
      </c>
      <c r="C210" s="2" t="inlineStr">
        <is>
          <t>Bo đang chạy bản ≠ mã hiện tại (sau hoàn tác)</t>
        </is>
      </c>
      <c r="D210" s="2" t="inlineStr">
        <is>
          <t>CS-irreversible, PR3</t>
        </is>
      </c>
      <c r="E210" s="2" t="n">
        <v>2</v>
      </c>
      <c r="F210" s="2">
        <f>SUMPRODUCT(('Anh xa'!$A$2:$A$725=A210)*1)</f>
        <v/>
      </c>
      <c r="G210" s="2">
        <f>IF(F210&gt;0,"✓","THIẾU")</f>
        <v/>
      </c>
    </row>
    <row r="211">
      <c r="A211" s="2" t="inlineStr">
        <is>
          <t>A9.3</t>
        </is>
      </c>
      <c r="B211" s="2" t="n">
        <v>2</v>
      </c>
      <c r="C211" s="2" t="inlineStr">
        <is>
          <t>Gỡ lỗi</t>
        </is>
      </c>
      <c r="D211" s="2" t="inlineStr">
        <is>
          <t>TL-debug, TL-log, UC05</t>
        </is>
      </c>
      <c r="E211" s="2" t="n">
        <v>3</v>
      </c>
      <c r="F211" s="2">
        <f>SUMPRODUCT(('Anh xa'!$A$2:$A$725=A211)*1)</f>
        <v/>
      </c>
      <c r="G211" s="2">
        <f>IF(F211&gt;0,"✓","THIẾU")</f>
        <v/>
      </c>
    </row>
    <row r="212">
      <c r="A212" s="2" t="inlineStr">
        <is>
          <t>A9.3.1</t>
        </is>
      </c>
      <c r="B212" s="2" t="n">
        <v>3</v>
      </c>
      <c r="C212" s="2" t="inlineStr">
        <is>
          <t>Log UART/RTT có dấu thời gian</t>
        </is>
      </c>
      <c r="D212" s="2" t="inlineStr">
        <is>
          <t>TL-log, UI-surface.append</t>
        </is>
      </c>
      <c r="E212" s="2" t="n">
        <v>2</v>
      </c>
      <c r="F212" s="2">
        <f>SUMPRODUCT(('Anh xa'!$A$2:$A$725=A212)*1)</f>
        <v/>
      </c>
      <c r="G212" s="2">
        <f>IF(F212&gt;0,"✓","THIẾU")</f>
        <v/>
      </c>
    </row>
    <row r="213">
      <c r="A213" s="2" t="inlineStr">
        <is>
          <t>A9.3.2</t>
        </is>
      </c>
      <c r="B213" s="2" t="n">
        <v>3</v>
      </c>
      <c r="C213" s="2" t="inlineStr">
        <is>
          <t>Breakpoint, thanh ghi (SVD), backtrace</t>
        </is>
      </c>
      <c r="D213" s="2" t="inlineStr">
        <is>
          <t>TL-debug</t>
        </is>
      </c>
      <c r="E213" s="2" t="n">
        <v>1</v>
      </c>
      <c r="F213" s="2">
        <f>SUMPRODUCT(('Anh xa'!$A$2:$A$725=A213)*1)</f>
        <v/>
      </c>
      <c r="G213" s="2">
        <f>IF(F213&gt;0,"✓","THIẾU")</f>
        <v/>
      </c>
    </row>
    <row r="214">
      <c r="A214" s="2" t="inlineStr">
        <is>
          <t>A9.3.3</t>
        </is>
      </c>
      <c r="B214" s="2" t="n">
        <v>3</v>
      </c>
      <c r="C214" s="2" t="inlineStr">
        <is>
          <t>Giả thuyết HW/SW + phép đo đề xuất</t>
        </is>
      </c>
      <c r="D214" s="2" t="inlineStr">
        <is>
          <t>EX-next, UC05</t>
        </is>
      </c>
      <c r="E214" s="2" t="n">
        <v>2</v>
      </c>
      <c r="F214" s="2">
        <f>SUMPRODUCT(('Anh xa'!$A$2:$A$725=A214)*1)</f>
        <v/>
      </c>
      <c r="G214" s="2">
        <f>IF(F214&gt;0,"✓","THIẾU")</f>
        <v/>
      </c>
    </row>
    <row r="215">
      <c r="A215" s="2" t="inlineStr">
        <is>
          <t>A9.4</t>
        </is>
      </c>
      <c r="B215" s="2" t="n">
        <v>2</v>
      </c>
      <c r="C215" s="2" t="inlineStr">
        <is>
          <t>Phân tích</t>
        </is>
      </c>
      <c r="D215" s="2" t="inlineStr">
        <is>
          <t>AR18, UC10</t>
        </is>
      </c>
      <c r="E215" s="2" t="n">
        <v>2</v>
      </c>
      <c r="F215" s="2">
        <f>SUMPRODUCT(('Anh xa'!$A$2:$A$725=A215)*1)</f>
        <v/>
      </c>
      <c r="G215" s="2">
        <f>IF(F215&gt;0,"✓","THIẾU")</f>
        <v/>
      </c>
    </row>
    <row r="216">
      <c r="A216" s="2" t="inlineStr">
        <is>
          <t>A9.4.1</t>
        </is>
      </c>
      <c r="B216" s="2" t="n">
        <v>3</v>
      </c>
      <c r="C216" s="2" t="inlineStr">
        <is>
          <t>Capture đã giải mã (I2C/SPI/UART/CAN) + đối chiếu timing</t>
        </is>
      </c>
      <c r="D216" s="2" t="inlineStr">
        <is>
          <t>N1, TL-capture</t>
        </is>
      </c>
      <c r="E216" s="2" t="n">
        <v>2</v>
      </c>
      <c r="F216" s="2">
        <f>SUMPRODUCT(('Anh xa'!$A$2:$A$725=A216)*1)</f>
        <v/>
      </c>
      <c r="G216" s="2">
        <f>IF(F216&gt;0,"✓","THIẾU")</f>
        <v/>
      </c>
    </row>
    <row r="217">
      <c r="A217" s="2" t="inlineStr">
        <is>
          <t>A9.4.2</t>
        </is>
      </c>
      <c r="B217" s="2" t="n">
        <v>3</v>
      </c>
      <c r="C217" s="2" t="inlineStr">
        <is>
          <t>HardFault: CFSR → loại lỗi, PC → hàm</t>
        </is>
      </c>
      <c r="D217" s="2" t="inlineStr">
        <is>
          <t>TL-hardfault</t>
        </is>
      </c>
      <c r="E217" s="2" t="n">
        <v>1</v>
      </c>
      <c r="F217" s="2">
        <f>SUMPRODUCT(('Anh xa'!$A$2:$A$725=A217)*1)</f>
        <v/>
      </c>
      <c r="G217" s="2">
        <f>IF(F217&gt;0,"✓","THIẾU")</f>
        <v/>
      </c>
    </row>
    <row r="218">
      <c r="A218" s="2" t="inlineStr">
        <is>
          <t>A9.4.3</t>
        </is>
      </c>
      <c r="B218" s="2" t="n">
        <v>3</v>
      </c>
      <c r="C218" s="2" t="inlineStr">
        <is>
          <t>Bảng giả thuyết xếp hạng; 'không đủ dữ liệu' + cách thu thập lại</t>
        </is>
      </c>
      <c r="D218" s="2" t="inlineStr">
        <is>
          <t>PR5, UC10</t>
        </is>
      </c>
      <c r="E218" s="2" t="n">
        <v>2</v>
      </c>
      <c r="F218" s="2">
        <f>SUMPRODUCT(('Anh xa'!$A$2:$A$725=A218)*1)</f>
        <v/>
      </c>
      <c r="G218" s="2">
        <f>IF(F218&gt;0,"✓","THIẾU")</f>
        <v/>
      </c>
    </row>
    <row r="219">
      <c r="A219" s="2" t="inlineStr">
        <is>
          <t>A9.4.4</t>
        </is>
      </c>
      <c r="B219" s="2" t="n">
        <v>3</v>
      </c>
      <c r="C219" s="2" t="inlineStr">
        <is>
          <t>Đánh dấu giả thuyết đã loại; thêm quan sát (→ NGƯỜI)</t>
        </is>
      </c>
      <c r="D219" s="2" t="inlineStr">
        <is>
          <t>HA-confirm, T-NGUOI</t>
        </is>
      </c>
      <c r="E219" s="2" t="n">
        <v>2</v>
      </c>
      <c r="F219" s="2">
        <f>SUMPRODUCT(('Anh xa'!$A$2:$A$725=A219)*1)</f>
        <v/>
      </c>
      <c r="G219" s="2">
        <f>IF(F219&gt;0,"✓","THIẾU")</f>
        <v/>
      </c>
    </row>
    <row r="220">
      <c r="A220" s="2" t="inlineStr">
        <is>
          <t>A9.5</t>
        </is>
      </c>
      <c r="B220" s="2" t="n">
        <v>2</v>
      </c>
      <c r="C220" s="2" t="inlineStr">
        <is>
          <t>Thao tác không đảo ngược</t>
        </is>
      </c>
      <c r="D220" s="2" t="inlineStr">
        <is>
          <t>G-OPS, N5, TL-dangerous</t>
        </is>
      </c>
      <c r="E220" s="2" t="n">
        <v>3</v>
      </c>
      <c r="F220" s="2">
        <f>SUMPRODUCT(('Anh xa'!$A$2:$A$725=A220)*1)</f>
        <v/>
      </c>
      <c r="G220" s="2">
        <f>IF(F220&gt;0,"✓","THIẾU")</f>
        <v/>
      </c>
    </row>
    <row r="221">
      <c r="A221" s="2" t="inlineStr">
        <is>
          <t>A9.5.1</t>
        </is>
      </c>
      <c r="B221" s="2" t="n">
        <v>3</v>
      </c>
      <c r="C221" s="2" t="inlineStr">
        <is>
          <t>Erase all / option bytes / RDP / eFuse → thẻ G-OPS riêng (never_auto)</t>
        </is>
      </c>
      <c r="D221" s="2" t="inlineStr">
        <is>
          <t>G-OPS, HA-decide, I6, N5</t>
        </is>
      </c>
      <c r="E221" s="2" t="n">
        <v>4</v>
      </c>
      <c r="F221" s="2">
        <f>SUMPRODUCT(('Anh xa'!$A$2:$A$725=A221)*1)</f>
        <v/>
      </c>
      <c r="G221" s="2">
        <f>IF(F221&gt;0,"✓","THIẾU")</f>
        <v/>
      </c>
    </row>
    <row r="222">
      <c r="A222" s="2" t="inlineStr">
        <is>
          <t>A9.5.2</t>
        </is>
      </c>
      <c r="B222" s="2" t="n">
        <v>3</v>
      </c>
      <c r="C222" s="2" t="inlineStr">
        <is>
          <t>Chặn nếu chưa có snapshot release</t>
        </is>
      </c>
      <c r="D222" s="2" t="inlineStr">
        <is>
          <t>N9, SN-release</t>
        </is>
      </c>
      <c r="E222" s="2" t="n">
        <v>2</v>
      </c>
      <c r="F222" s="2">
        <f>SUMPRODUCT(('Anh xa'!$A$2:$A$725=A222)*1)</f>
        <v/>
      </c>
      <c r="G222" s="2">
        <f>IF(F222&gt;0,"✓","THIẾU")</f>
        <v/>
      </c>
    </row>
    <row r="223">
      <c r="A223" s="2" t="inlineStr">
        <is>
          <t>A9.6</t>
        </is>
      </c>
      <c r="B223" s="2" t="n">
        <v>2</v>
      </c>
      <c r="C223" s="2" t="inlineStr">
        <is>
          <t>An toàn điện</t>
        </is>
      </c>
      <c r="D223" s="2" t="inlineStr">
        <is>
          <t>G-SAFE, UC18</t>
        </is>
      </c>
      <c r="E223" s="2" t="n">
        <v>2</v>
      </c>
      <c r="F223" s="2">
        <f>SUMPRODUCT(('Anh xa'!$A$2:$A$725=A223)*1)</f>
        <v/>
      </c>
      <c r="G223" s="2">
        <f>IF(F223&gt;0,"✓","THIẾU")</f>
        <v/>
      </c>
    </row>
    <row r="224">
      <c r="A224" s="2" t="inlineStr">
        <is>
          <t>A9.6.1</t>
        </is>
      </c>
      <c r="B224" s="2" t="n">
        <v>3</v>
      </c>
      <c r="C224" s="2" t="inlineStr">
        <is>
          <t>Băng cảnh báo đứng đầu: NGẮT NGUỒN NGAY; điện lưới: cách ly/creepage</t>
        </is>
      </c>
      <c r="D224" s="2" t="inlineStr">
        <is>
          <t>G-SAFE, N5</t>
        </is>
      </c>
      <c r="E224" s="2" t="n">
        <v>2</v>
      </c>
      <c r="F224" s="2">
        <f>SUMPRODUCT(('Anh xa'!$A$2:$A$725=A224)*1)</f>
        <v/>
      </c>
      <c r="G224" s="2">
        <f>IF(F224&gt;0,"✓","THIẾU")</f>
        <v/>
      </c>
    </row>
    <row r="225">
      <c r="A225" s="2" t="inlineStr">
        <is>
          <t>A9.7</t>
        </is>
      </c>
      <c r="B225" s="2" t="n">
        <v>2</v>
      </c>
      <c r="C225" s="2" t="inlineStr">
        <is>
          <t>Tính toán kỹ thuật</t>
        </is>
      </c>
      <c r="D225" s="2" t="inlineStr">
        <is>
          <t>TL-calc, UC13</t>
        </is>
      </c>
      <c r="E225" s="2" t="n">
        <v>2</v>
      </c>
      <c r="F225" s="2">
        <f>SUMPRODUCT(('Anh xa'!$A$2:$A$725=A225)*1)</f>
        <v/>
      </c>
      <c r="G225" s="2">
        <f>IF(F225&gt;0,"✓","THIẾU")</f>
        <v/>
      </c>
    </row>
    <row r="226">
      <c r="A226" s="2" t="inlineStr">
        <is>
          <t>A9.7.1</t>
        </is>
      </c>
      <c r="B226" s="2" t="n">
        <v>3</v>
      </c>
      <c r="C226" s="2" t="inlineStr">
        <is>
          <t>Công thức chạy bằng mã, tham số có nguồn/NGƯỜI, đơn vị, biên an toàn; thiếu tham số → hỏi đúng số</t>
        </is>
      </c>
      <c r="D226" s="2" t="inlineStr">
        <is>
          <t>N1, N4, TL-calc</t>
        </is>
      </c>
      <c r="E226" s="2" t="n">
        <v>3</v>
      </c>
      <c r="F226" s="2">
        <f>SUMPRODUCT(('Anh xa'!$A$2:$A$725=A226)*1)</f>
        <v/>
      </c>
      <c r="G226" s="2">
        <f>IF(F226&gt;0,"✓","THIẾU")</f>
        <v/>
      </c>
    </row>
    <row r="227">
      <c r="A227" s="2" t="inlineStr">
        <is>
          <t>A10.1</t>
        </is>
      </c>
      <c r="B227" s="2" t="n">
        <v>2</v>
      </c>
      <c r="C227" s="2" t="inlineStr">
        <is>
          <t>Sổ cái</t>
        </is>
      </c>
      <c r="D227" s="2" t="inlineStr">
        <is>
          <t>I2, I5, UC17</t>
        </is>
      </c>
      <c r="E227" s="2" t="n">
        <v>3</v>
      </c>
      <c r="F227" s="2">
        <f>SUMPRODUCT(('Anh xa'!$A$2:$A$725=A227)*1)</f>
        <v/>
      </c>
      <c r="G227" s="2">
        <f>IF(F227&gt;0,"✓","THIẾU")</f>
        <v/>
      </c>
    </row>
    <row r="228">
      <c r="A228" s="2" t="inlineStr">
        <is>
          <t>A10.1.1</t>
        </is>
      </c>
      <c r="B228" s="2" t="n">
        <v>3</v>
      </c>
      <c r="C228" s="2" t="inlineStr">
        <is>
          <t>Timeline: HumanAct, tool_use/result, gate.decision, incident, chi phí</t>
        </is>
      </c>
      <c r="D228" s="2" t="inlineStr">
        <is>
          <t>I2, UI-surface.append</t>
        </is>
      </c>
      <c r="E228" s="2" t="n">
        <v>2</v>
      </c>
      <c r="F228" s="2">
        <f>SUMPRODUCT(('Anh xa'!$A$2:$A$725=A228)*1)</f>
        <v/>
      </c>
      <c r="G228" s="2">
        <f>IF(F228&gt;0,"✓","THIẾU")</f>
        <v/>
      </c>
    </row>
    <row r="229">
      <c r="A229" s="2" t="inlineStr">
        <is>
          <t>A10.1.2</t>
        </is>
      </c>
      <c r="B229" s="2" t="n">
        <v>3</v>
      </c>
      <c r="C229" s="2" t="inlineStr">
        <is>
          <t>Lọc theo lượt / tác giả / loại</t>
        </is>
      </c>
      <c r="D229" s="2" t="inlineStr">
        <is>
          <t>HA-attend</t>
        </is>
      </c>
      <c r="E229" s="2" t="n">
        <v>1</v>
      </c>
      <c r="F229" s="2">
        <f>SUMPRODUCT(('Anh xa'!$A$2:$A$725=A229)*1)</f>
        <v/>
      </c>
      <c r="G229" s="2">
        <f>IF(F229&gt;0,"✓","THIẾU")</f>
        <v/>
      </c>
    </row>
    <row r="230">
      <c r="A230" s="2" t="inlineStr">
        <is>
          <t>A10.1.3</t>
        </is>
      </c>
      <c r="B230" s="2" t="n">
        <v>3</v>
      </c>
      <c r="C230" s="2" t="inlineStr">
        <is>
          <t>Xuất sổ cái</t>
        </is>
      </c>
      <c r="D230" s="2" t="inlineStr">
        <is>
          <t>UC16, UC17</t>
        </is>
      </c>
      <c r="E230" s="2" t="n">
        <v>2</v>
      </c>
      <c r="F230" s="2">
        <f>SUMPRODUCT(('Anh xa'!$A$2:$A$725=A230)*1)</f>
        <v/>
      </c>
      <c r="G230" s="2">
        <f>IF(F230&gt;0,"✓","THIẾU")</f>
        <v/>
      </c>
    </row>
    <row r="231">
      <c r="A231" s="2" t="inlineStr">
        <is>
          <t>A10.2</t>
        </is>
      </c>
      <c r="B231" s="2" t="n">
        <v>2</v>
      </c>
      <c r="C231" s="2" t="inlineStr">
        <is>
          <t>Sự cố</t>
        </is>
      </c>
      <c r="D231" s="2" t="inlineStr">
        <is>
          <t>UC19</t>
        </is>
      </c>
      <c r="E231" s="2" t="n">
        <v>1</v>
      </c>
      <c r="F231" s="2">
        <f>SUMPRODUCT(('Anh xa'!$A$2:$A$725=A231)*1)</f>
        <v/>
      </c>
      <c r="G231" s="2">
        <f>IF(F231&gt;0,"✓","THIẾU")</f>
        <v/>
      </c>
    </row>
    <row r="232">
      <c r="A232" s="2" t="inlineStr">
        <is>
          <t>A10.2.1</t>
        </is>
      </c>
      <c r="B232" s="2" t="n">
        <v>3</v>
      </c>
      <c r="C232" s="2" t="inlineStr">
        <is>
          <t>Danh sách sự cố: mạng, LLM, timeout, sandbox — trạng thái đã lưu, nút Tiếp tục</t>
        </is>
      </c>
      <c r="D232" s="2" t="inlineStr">
        <is>
          <t>HA-resume, IN-llm, IN-network, IN-resume, IN-timeout</t>
        </is>
      </c>
      <c r="E232" s="2" t="n">
        <v>5</v>
      </c>
      <c r="F232" s="2">
        <f>SUMPRODUCT(('Anh xa'!$A$2:$A$725=A232)*1)</f>
        <v/>
      </c>
      <c r="G232" s="2">
        <f>IF(F232&gt;0,"✓","THIẾU")</f>
        <v/>
      </c>
    </row>
    <row r="233">
      <c r="A233" s="2" t="inlineStr">
        <is>
          <t>A11.1</t>
        </is>
      </c>
      <c r="B233" s="2" t="n">
        <v>2</v>
      </c>
      <c r="C233" s="2" t="inlineStr">
        <is>
          <t>Dòng thời gian changeset</t>
        </is>
      </c>
      <c r="D233" s="2" t="inlineStr">
        <is>
          <t>AR22, CS-unit, LY-history, UI-history.update</t>
        </is>
      </c>
      <c r="E233" s="2" t="n">
        <v>4</v>
      </c>
      <c r="F233" s="2">
        <f>SUMPRODUCT(('Anh xa'!$A$2:$A$725=A233)*1)</f>
        <v/>
      </c>
      <c r="G233" s="2">
        <f>IF(F233&gt;0,"✓","THIẾU")</f>
        <v/>
      </c>
    </row>
    <row r="234">
      <c r="A234" s="2" t="inlineStr">
        <is>
          <t>A11.1.1</t>
        </is>
      </c>
      <c r="B234" s="2" t="n">
        <v>3</v>
      </c>
      <c r="C234" s="2" t="inlineStr">
        <is>
          <t>Mỗi changeset: ai, cái gì, thuộc lượt nào, hoàn tác được không (lý do), STALE kéo theo</t>
        </is>
      </c>
      <c r="D234" s="2" t="inlineStr">
        <is>
          <t>AR22, CS-irreversible, CS-unit</t>
        </is>
      </c>
      <c r="E234" s="2" t="n">
        <v>3</v>
      </c>
      <c r="F234" s="2">
        <f>SUMPRODUCT(('Anh xa'!$A$2:$A$725=A234)*1)</f>
        <v/>
      </c>
      <c r="G234" s="2">
        <f>IF(F234&gt;0,"✓","THIẾU")</f>
        <v/>
      </c>
    </row>
    <row r="235">
      <c r="A235" s="2" t="inlineStr">
        <is>
          <t>A11.1.2</t>
        </is>
      </c>
      <c r="B235" s="2" t="n">
        <v>3</v>
      </c>
      <c r="C235" s="2" t="inlineStr">
        <is>
          <t>Lọc theo tác giả / hiện vật / lượt</t>
        </is>
      </c>
      <c r="D235" s="2" t="inlineStr">
        <is>
          <t>HA-attend</t>
        </is>
      </c>
      <c r="E235" s="2" t="n">
        <v>1</v>
      </c>
      <c r="F235" s="2">
        <f>SUMPRODUCT(('Anh xa'!$A$2:$A$725=A235)*1)</f>
        <v/>
      </c>
      <c r="G235" s="2">
        <f>IF(F235&gt;0,"✓","THIẾU")</f>
        <v/>
      </c>
    </row>
    <row r="236">
      <c r="A236" s="2" t="inlineStr">
        <is>
          <t>A11.1.3</t>
        </is>
      </c>
      <c r="B236" s="2" t="n">
        <v>3</v>
      </c>
      <c r="C236" s="2" t="inlineStr">
        <is>
          <t>Hoàn tác một changeset (cảnh báo chuỗi chạm cùng hiện vật)</t>
        </is>
      </c>
      <c r="D236" s="2" t="inlineStr">
        <is>
          <t>CS-undo1, HA-undo</t>
        </is>
      </c>
      <c r="E236" s="2" t="n">
        <v>2</v>
      </c>
      <c r="F236" s="2">
        <f>SUMPRODUCT(('Anh xa'!$A$2:$A$725=A236)*1)</f>
        <v/>
      </c>
      <c r="G236" s="2">
        <f>IF(F236&gt;0,"✓","THIẾU")</f>
        <v/>
      </c>
    </row>
    <row r="237">
      <c r="A237" s="2" t="inlineStr">
        <is>
          <t>A11.1.4</t>
        </is>
      </c>
      <c r="B237" s="2" t="n">
        <v>3</v>
      </c>
      <c r="C237" s="2" t="inlineStr">
        <is>
          <t>Hoàn tác cả lượt (thẻ G-HIST liệt kê sẽ mất gì)</t>
        </is>
      </c>
      <c r="D237" s="2" t="inlineStr">
        <is>
          <t>CS-undo2, G-HIST, HA-undo</t>
        </is>
      </c>
      <c r="E237" s="2" t="n">
        <v>3</v>
      </c>
      <c r="F237" s="2">
        <f>SUMPRODUCT(('Anh xa'!$A$2:$A$725=A237)*1)</f>
        <v/>
      </c>
      <c r="G237" s="2">
        <f>IF(F237&gt;0,"✓","THIẾU")</f>
        <v/>
      </c>
    </row>
    <row r="238">
      <c r="A238" s="2" t="inlineStr">
        <is>
          <t>A11.1.5</t>
        </is>
      </c>
      <c r="B238" s="2" t="n">
        <v>3</v>
      </c>
      <c r="C238" s="2" t="inlineStr">
        <is>
          <t>Đặt snapshot tại changeset này</t>
        </is>
      </c>
      <c r="D238" s="2" t="inlineStr">
        <is>
          <t>HA-snapshot, SN-human</t>
        </is>
      </c>
      <c r="E238" s="2" t="n">
        <v>2</v>
      </c>
      <c r="F238" s="2">
        <f>SUMPRODUCT(('Anh xa'!$A$2:$A$725=A238)*1)</f>
        <v/>
      </c>
      <c r="G238" s="2">
        <f>IF(F238&gt;0,"✓","THIẾU")</f>
        <v/>
      </c>
    </row>
    <row r="239">
      <c r="A239" s="2" t="inlineStr">
        <is>
          <t>A11.1.6</t>
        </is>
      </c>
      <c r="B239" s="2" t="n">
        <v>3</v>
      </c>
      <c r="C239" s="2" t="inlineStr">
        <is>
          <t>Xem diff của changeset</t>
        </is>
      </c>
      <c r="D239" s="2" t="inlineStr">
        <is>
          <t>AR14, AR22</t>
        </is>
      </c>
      <c r="E239" s="2" t="n">
        <v>2</v>
      </c>
      <c r="F239" s="2">
        <f>SUMPRODUCT(('Anh xa'!$A$2:$A$725=A239)*1)</f>
        <v/>
      </c>
      <c r="G239" s="2">
        <f>IF(F239&gt;0,"✓","THIẾU")</f>
        <v/>
      </c>
    </row>
    <row r="240">
      <c r="A240" s="2" t="inlineStr">
        <is>
          <t>A11.2</t>
        </is>
      </c>
      <c r="B240" s="2" t="n">
        <v>2</v>
      </c>
      <c r="C240" s="2" t="inlineStr">
        <is>
          <t>Snapshot (bản ưng ý)</t>
        </is>
      </c>
      <c r="D240" s="2" t="inlineStr">
        <is>
          <t>AR23, SN-human, SN-propose</t>
        </is>
      </c>
      <c r="E240" s="2" t="n">
        <v>3</v>
      </c>
      <c r="F240" s="2">
        <f>SUMPRODUCT(('Anh xa'!$A$2:$A$725=A240)*1)</f>
        <v/>
      </c>
      <c r="G240" s="2">
        <f>IF(F240&gt;0,"✓","THIẾU")</f>
        <v/>
      </c>
    </row>
    <row r="241">
      <c r="A241" s="2" t="inlineStr">
        <is>
          <t>A11.2.1</t>
        </is>
      </c>
      <c r="B241" s="2" t="n">
        <v>3</v>
      </c>
      <c r="C241" s="2" t="inlineStr">
        <is>
          <t>Dấu ★: tên, ghi chú, chip, tài liệu, REQ đã đạt, bằng chứng, kind checkpoint/release</t>
        </is>
      </c>
      <c r="D241" s="2" t="inlineStr">
        <is>
          <t>AR23, SN-release</t>
        </is>
      </c>
      <c r="E241" s="2" t="n">
        <v>2</v>
      </c>
      <c r="F241" s="2">
        <f>SUMPRODUCT(('Anh xa'!$A$2:$A$725=A241)*1)</f>
        <v/>
      </c>
      <c r="G241" s="2">
        <f>IF(F241&gt;0,"✓","THIẾU")</f>
        <v/>
      </c>
    </row>
    <row r="242">
      <c r="A242" s="2" t="inlineStr">
        <is>
          <t>A11.2.2</t>
        </is>
      </c>
      <c r="B242" s="2" t="n">
        <v>3</v>
      </c>
      <c r="C242" s="2" t="inlineStr">
        <is>
          <t>Ghi bản ưng ý (đặt tên, ghi chú, chọn gồm gì)</t>
        </is>
      </c>
      <c r="D242" s="2" t="inlineStr">
        <is>
          <t>HA-snapshot, SN-human</t>
        </is>
      </c>
      <c r="E242" s="2" t="n">
        <v>2</v>
      </c>
      <c r="F242" s="2">
        <f>SUMPRODUCT(('Anh xa'!$A$2:$A$725=A242)*1)</f>
        <v/>
      </c>
      <c r="G242" s="2">
        <f>IF(F242&gt;0,"✓","THIẾU")</f>
        <v/>
      </c>
    </row>
    <row r="243">
      <c r="A243" s="2" t="inlineStr">
        <is>
          <t>A11.2.3</t>
        </is>
      </c>
      <c r="B243" s="2" t="n">
        <v>3</v>
      </c>
      <c r="C243" s="2" t="inlineStr">
        <is>
          <t>Khôi phục: thẻ G-HIST 'sẽ mất gì', gợi ý snapshot hiện tại, vào nhánh mới</t>
        </is>
      </c>
      <c r="D243" s="2" t="inlineStr">
        <is>
          <t>CS-undo3, G-HIST, SN-restore</t>
        </is>
      </c>
      <c r="E243" s="2" t="n">
        <v>3</v>
      </c>
      <c r="F243" s="2">
        <f>SUMPRODUCT(('Anh xa'!$A$2:$A$725=A243)*1)</f>
        <v/>
      </c>
      <c r="G243" s="2">
        <f>IF(F243&gt;0,"✓","THIẾU")</f>
        <v/>
      </c>
    </row>
    <row r="244">
      <c r="A244" s="2" t="inlineStr">
        <is>
          <t>A11.2.4</t>
        </is>
      </c>
      <c r="B244" s="2" t="n">
        <v>3</v>
      </c>
      <c r="C244" s="2" t="inlineStr">
        <is>
          <t>So sánh hai snapshot: REQ, Fact, mã, Flash/RAM, sim, tài liệu</t>
        </is>
      </c>
      <c r="D244" s="2" t="inlineStr">
        <is>
          <t>SN-compare</t>
        </is>
      </c>
      <c r="E244" s="2" t="n">
        <v>1</v>
      </c>
      <c r="F244" s="2">
        <f>SUMPRODUCT(('Anh xa'!$A$2:$A$725=A244)*1)</f>
        <v/>
      </c>
      <c r="G244" s="2">
        <f>IF(F244&gt;0,"✓","THIẾU")</f>
        <v/>
      </c>
    </row>
    <row r="245">
      <c r="A245" s="2" t="inlineStr">
        <is>
          <t>A11.2.5</t>
        </is>
      </c>
      <c r="B245" s="2" t="n">
        <v>3</v>
      </c>
      <c r="C245" s="2" t="inlineStr">
        <is>
          <t>Đánh dấu release / Xuất gói</t>
        </is>
      </c>
      <c r="D245" s="2" t="inlineStr">
        <is>
          <t>SN-export, SN-release</t>
        </is>
      </c>
      <c r="E245" s="2" t="n">
        <v>2</v>
      </c>
      <c r="F245" s="2">
        <f>SUMPRODUCT(('Anh xa'!$A$2:$A$725=A245)*1)</f>
        <v/>
      </c>
      <c r="G245" s="2">
        <f>IF(F245&gt;0,"✓","THIẾU")</f>
        <v/>
      </c>
    </row>
    <row r="246">
      <c r="A246" s="2" t="inlineStr">
        <is>
          <t>A11.2.6</t>
        </is>
      </c>
      <c r="B246" s="2" t="n">
        <v>3</v>
      </c>
      <c r="C246" s="2" t="inlineStr">
        <is>
          <t>Checkpoint ngầm (ẩn mặc định, bật hiện)</t>
        </is>
      </c>
      <c r="D246" s="2" t="inlineStr">
        <is>
          <t>SN-checkpoint</t>
        </is>
      </c>
      <c r="E246" s="2" t="n">
        <v>1</v>
      </c>
      <c r="F246" s="2">
        <f>SUMPRODUCT(('Anh xa'!$A$2:$A$725=A246)*1)</f>
        <v/>
      </c>
      <c r="G246" s="2">
        <f>IF(F246&gt;0,"✓","THIẾU")</f>
        <v/>
      </c>
    </row>
    <row r="247">
      <c r="A247" s="2" t="inlineStr">
        <is>
          <t>A11.3</t>
        </is>
      </c>
      <c r="B247" s="2" t="n">
        <v>2</v>
      </c>
      <c r="C247" s="2" t="inlineStr">
        <is>
          <t>Nhánh</t>
        </is>
      </c>
      <c r="D247" s="2" t="inlineStr">
        <is>
          <t>CS-branch, HA-branch</t>
        </is>
      </c>
      <c r="E247" s="2" t="n">
        <v>2</v>
      </c>
      <c r="F247" s="2">
        <f>SUMPRODUCT(('Anh xa'!$A$2:$A$725=A247)*1)</f>
        <v/>
      </c>
      <c r="G247" s="2">
        <f>IF(F247&gt;0,"✓","THIẾU")</f>
        <v/>
      </c>
    </row>
    <row r="248">
      <c r="A248" s="2" t="inlineStr">
        <is>
          <t>A11.3.1</t>
        </is>
      </c>
      <c r="B248" s="2" t="n">
        <v>3</v>
      </c>
      <c r="C248" s="2" t="inlineStr">
        <is>
          <t>Danh sách nhánh; tạo từ snapshot/changeset; chuyển</t>
        </is>
      </c>
      <c r="D248" s="2" t="inlineStr">
        <is>
          <t>CS-branch, HA-branch</t>
        </is>
      </c>
      <c r="E248" s="2" t="n">
        <v>2</v>
      </c>
      <c r="F248" s="2">
        <f>SUMPRODUCT(('Anh xa'!$A$2:$A$725=A248)*1)</f>
        <v/>
      </c>
      <c r="G248" s="2">
        <f>IF(F248&gt;0,"✓","THIẾU")</f>
        <v/>
      </c>
    </row>
    <row r="249">
      <c r="A249" s="2" t="inlineStr">
        <is>
          <t>A11.3.2</t>
        </is>
      </c>
      <c r="B249" s="2" t="n">
        <v>3</v>
      </c>
      <c r="C249" s="2" t="inlineStr">
        <is>
          <t>Gộp: hiện vật không xung đột tự gộp; còn lại chọn từng cái</t>
        </is>
      </c>
      <c r="D249" s="2" t="inlineStr">
        <is>
          <t>CS-branch, ED3</t>
        </is>
      </c>
      <c r="E249" s="2" t="n">
        <v>2</v>
      </c>
      <c r="F249" s="2">
        <f>SUMPRODUCT(('Anh xa'!$A$2:$A$725=A249)*1)</f>
        <v/>
      </c>
      <c r="G249" s="2">
        <f>IF(F249&gt;0,"✓","THIẾU")</f>
        <v/>
      </c>
    </row>
    <row r="250">
      <c r="A250" s="2" t="inlineStr">
        <is>
          <t>A11.4</t>
        </is>
      </c>
      <c r="B250" s="2" t="n">
        <v>2</v>
      </c>
      <c r="C250" s="2" t="inlineStr">
        <is>
          <t>Hiện vật STALE</t>
        </is>
      </c>
      <c r="D250" s="2" t="inlineStr">
        <is>
          <t>CS-stale</t>
        </is>
      </c>
      <c r="E250" s="2" t="n">
        <v>1</v>
      </c>
      <c r="F250" s="2">
        <f>SUMPRODUCT(('Anh xa'!$A$2:$A$725=A250)*1)</f>
        <v/>
      </c>
      <c r="G250" s="2">
        <f>IF(F250&gt;0,"✓","THIẾU")</f>
        <v/>
      </c>
    </row>
    <row r="251">
      <c r="A251" s="2" t="inlineStr">
        <is>
          <t>A11.4.1</t>
        </is>
      </c>
      <c r="B251" s="2" t="n">
        <v>3</v>
      </c>
      <c r="C251" s="2" t="inlineStr">
        <is>
          <t>Danh sách STALE + lý do (changeset) + nút 'Lập kế hoạch cập nhật' / 'Chấp nhận'</t>
        </is>
      </c>
      <c r="D251" s="2" t="inlineStr">
        <is>
          <t>CS-stale, CX-plan, ED6</t>
        </is>
      </c>
      <c r="E251" s="2" t="n">
        <v>3</v>
      </c>
      <c r="F251" s="2">
        <f>SUMPRODUCT(('Anh xa'!$A$2:$A$725=A251)*1)</f>
        <v/>
      </c>
      <c r="G251" s="2">
        <f>IF(F251&gt;0,"✓","THIẾU")</f>
        <v/>
      </c>
    </row>
    <row r="252">
      <c r="A252" s="2" t="inlineStr">
        <is>
          <t>A12.1</t>
        </is>
      </c>
      <c r="B252" s="2" t="n">
        <v>2</v>
      </c>
      <c r="C252" s="2" t="inlineStr">
        <is>
          <t>Thẻ cổng chung</t>
        </is>
      </c>
      <c r="D252" s="2" t="inlineStr">
        <is>
          <t>HA-decide, I6, LY-gatecards</t>
        </is>
      </c>
      <c r="E252" s="2" t="n">
        <v>3</v>
      </c>
      <c r="F252" s="2">
        <f>SUMPRODUCT(('Anh xa'!$A$2:$A$725=A252)*1)</f>
        <v/>
      </c>
      <c r="G252" s="2">
        <f>IF(F252&gt;0,"✓","THIẾU")</f>
        <v/>
      </c>
    </row>
    <row r="253">
      <c r="A253" s="2" t="inlineStr">
        <is>
          <t>A12.1.1</t>
        </is>
      </c>
      <c r="B253" s="2" t="n">
        <v>3</v>
      </c>
      <c r="C253" s="2" t="inlineStr">
        <is>
          <t>Tiêu đề + mã cổng + mức rủi ro + hậu quả (consequences cố định từ hợp đồng tool)</t>
        </is>
      </c>
      <c r="D253" s="2" t="inlineStr">
        <is>
          <t>I6, N5</t>
        </is>
      </c>
      <c r="E253" s="2" t="n">
        <v>2</v>
      </c>
      <c r="F253" s="2">
        <f>SUMPRODUCT(('Anh xa'!$A$2:$A$725=A253)*1)</f>
        <v/>
      </c>
      <c r="G253" s="2">
        <f>IF(F253&gt;0,"✓","THIẾU")</f>
        <v/>
      </c>
    </row>
    <row r="254">
      <c r="A254" s="2" t="inlineStr">
        <is>
          <t>A12.1.2</t>
        </is>
      </c>
      <c r="B254" s="2" t="n">
        <v>3</v>
      </c>
      <c r="C254" s="2" t="inlineStr">
        <is>
          <t>Duyệt / Từ chối (decide)</t>
        </is>
      </c>
      <c r="D254" s="2" t="inlineStr">
        <is>
          <t>HA-decide, I6</t>
        </is>
      </c>
      <c r="E254" s="2" t="n">
        <v>2</v>
      </c>
      <c r="F254" s="2">
        <f>SUMPRODUCT(('Anh xa'!$A$2:$A$725=A254)*1)</f>
        <v/>
      </c>
      <c r="G254" s="2">
        <f>IF(F254&gt;0,"✓","THIẾU")</f>
        <v/>
      </c>
    </row>
    <row r="255">
      <c r="A255" s="2" t="inlineStr">
        <is>
          <t>A12.1.3</t>
        </is>
      </c>
      <c r="B255" s="2" t="n">
        <v>3</v>
      </c>
      <c r="C255" s="2" t="inlineStr">
        <is>
          <t>'Tin' (chỉ R0–R2)</t>
        </is>
      </c>
      <c r="D255" s="2" t="inlineStr">
        <is>
          <t>MM-remember</t>
        </is>
      </c>
      <c r="E255" s="2" t="n">
        <v>1</v>
      </c>
      <c r="F255" s="2">
        <f>SUMPRODUCT(('Anh xa'!$A$2:$A$725=A255)*1)</f>
        <v/>
      </c>
      <c r="G255" s="2">
        <f>IF(F255&gt;0,"✓","THIẾU")</f>
        <v/>
      </c>
    </row>
    <row r="256">
      <c r="A256" s="2" t="inlineStr">
        <is>
          <t>A12.1.4</t>
        </is>
      </c>
      <c r="B256" s="2" t="n">
        <v>3</v>
      </c>
      <c r="C256" s="2" t="inlineStr">
        <is>
          <t>Hết hạn (R4: 10 phút) → mờ</t>
        </is>
      </c>
      <c r="D256" s="2" t="inlineStr">
        <is>
          <t>UI-card.expire</t>
        </is>
      </c>
      <c r="E256" s="2" t="n">
        <v>1</v>
      </c>
      <c r="F256" s="2">
        <f>SUMPRODUCT(('Anh xa'!$A$2:$A$725=A256)*1)</f>
        <v/>
      </c>
      <c r="G256" s="2">
        <f>IF(F256&gt;0,"✓","THIẾU")</f>
        <v/>
      </c>
    </row>
    <row r="257">
      <c r="A257" s="2" t="inlineStr">
        <is>
          <t>A12.1.5</t>
        </is>
      </c>
      <c r="B257" s="2" t="n">
        <v>3</v>
      </c>
      <c r="C257" s="2" t="inlineStr">
        <is>
          <t>Biến thể G-DATA: Danh sách nguồn chọn/từ chối</t>
        </is>
      </c>
      <c r="D257" s="2" t="inlineStr">
        <is>
          <t>G-DATA</t>
        </is>
      </c>
      <c r="E257" s="2" t="n">
        <v>1</v>
      </c>
      <c r="F257" s="2">
        <f>SUMPRODUCT(('Anh xa'!$A$2:$A$725=A257)*1)</f>
        <v/>
      </c>
      <c r="G257" s="2">
        <f>IF(F257&gt;0,"✓","THIẾU")</f>
        <v/>
      </c>
    </row>
    <row r="258">
      <c r="A258" s="2" t="inlineStr">
        <is>
          <t>A12.1.6</t>
        </is>
      </c>
      <c r="B258" s="2" t="n">
        <v>3</v>
      </c>
      <c r="C258" s="2" t="inlineStr">
        <is>
          <t>Biến thể G-DESIGN: Phương án/thiết kế chốt</t>
        </is>
      </c>
      <c r="D258" s="2" t="inlineStr">
        <is>
          <t>G-DESIGN</t>
        </is>
      </c>
      <c r="E258" s="2" t="n">
        <v>1</v>
      </c>
      <c r="F258" s="2">
        <f>SUMPRODUCT(('Anh xa'!$A$2:$A$725=A258)*1)</f>
        <v/>
      </c>
      <c r="G258" s="2">
        <f>IF(F258&gt;0,"✓","THIẾU")</f>
        <v/>
      </c>
    </row>
    <row r="259">
      <c r="A259" s="2" t="inlineStr">
        <is>
          <t>A12.1.7</t>
        </is>
      </c>
      <c r="B259" s="2" t="n">
        <v>3</v>
      </c>
      <c r="C259" s="2" t="inlineStr">
        <is>
          <t>Biến thể G-SCOPE: Kế hoạch bước + chi phí</t>
        </is>
      </c>
      <c r="D259" s="2" t="inlineStr">
        <is>
          <t>G-SCOPE</t>
        </is>
      </c>
      <c r="E259" s="2" t="n">
        <v>1</v>
      </c>
      <c r="F259" s="2">
        <f>SUMPRODUCT(('Anh xa'!$A$2:$A$725=A259)*1)</f>
        <v/>
      </c>
      <c r="G259" s="2">
        <f>IF(F259&gt;0,"✓","THIẾU")</f>
        <v/>
      </c>
    </row>
    <row r="260">
      <c r="A260" s="2" t="inlineStr">
        <is>
          <t>A12.1.8</t>
        </is>
      </c>
      <c r="B260" s="2" t="n">
        <v>3</v>
      </c>
      <c r="C260" s="2" t="inlineStr">
        <is>
          <t>Biến thể G-TOOL: Lệnh cài + nguồn</t>
        </is>
      </c>
      <c r="D260" s="2" t="inlineStr">
        <is>
          <t>G-TOOL</t>
        </is>
      </c>
      <c r="E260" s="2" t="n">
        <v>1</v>
      </c>
      <c r="F260" s="2">
        <f>SUMPRODUCT(('Anh xa'!$A$2:$A$725=A260)*1)</f>
        <v/>
      </c>
      <c r="G260" s="2">
        <f>IF(F260&gt;0,"✓","THIẾU")</f>
        <v/>
      </c>
    </row>
    <row r="261">
      <c r="A261" s="2" t="inlineStr">
        <is>
          <t>A12.1.9</t>
        </is>
      </c>
      <c r="B261" s="2" t="n">
        <v>3</v>
      </c>
      <c r="C261" s="2" t="inlineStr">
        <is>
          <t>Biến thể G-QUAL: Từ – đến – vì sao (bắt buộc)</t>
        </is>
      </c>
      <c r="D261" s="2" t="inlineStr">
        <is>
          <t>G-QUAL</t>
        </is>
      </c>
      <c r="E261" s="2" t="n">
        <v>1</v>
      </c>
      <c r="F261" s="2">
        <f>SUMPRODUCT(('Anh xa'!$A$2:$A$725=A261)*1)</f>
        <v/>
      </c>
      <c r="G261" s="2">
        <f>IF(F261&gt;0,"✓","THIẾU")</f>
        <v/>
      </c>
    </row>
    <row r="262">
      <c r="A262" s="2" t="inlineStr">
        <is>
          <t>A12.1.10</t>
        </is>
      </c>
      <c r="B262" s="2" t="n">
        <v>3</v>
      </c>
      <c r="C262" s="2" t="inlineStr">
        <is>
          <t>Biến thể G-FILE: Diff sẽ ghi đè bản của người</t>
        </is>
      </c>
      <c r="D262" s="2" t="inlineStr">
        <is>
          <t>G-FILE</t>
        </is>
      </c>
      <c r="E262" s="2" t="n">
        <v>1</v>
      </c>
      <c r="F262" s="2">
        <f>SUMPRODUCT(('Anh xa'!$A$2:$A$725=A262)*1)</f>
        <v/>
      </c>
      <c r="G262" s="2">
        <f>IF(F262&gt;0,"✓","THIẾU")</f>
        <v/>
      </c>
    </row>
    <row r="263">
      <c r="A263" s="2" t="inlineStr">
        <is>
          <t>A12.1.11</t>
        </is>
      </c>
      <c r="B263" s="2" t="n">
        <v>3</v>
      </c>
      <c r="C263" s="2" t="inlineStr">
        <is>
          <t>Biến thể G-FLASH: Gì → đâu, hash, có snapshot chưa</t>
        </is>
      </c>
      <c r="D263" s="2" t="inlineStr">
        <is>
          <t>G-FLASH</t>
        </is>
      </c>
      <c r="E263" s="2" t="n">
        <v>1</v>
      </c>
      <c r="F263" s="2">
        <f>SUMPRODUCT(('Anh xa'!$A$2:$A$725=A263)*1)</f>
        <v/>
      </c>
      <c r="G263" s="2">
        <f>IF(F263&gt;0,"✓","THIẾU")</f>
        <v/>
      </c>
    </row>
    <row r="264">
      <c r="A264" s="2" t="inlineStr">
        <is>
          <t>A12.1.12</t>
        </is>
      </c>
      <c r="B264" s="2" t="n">
        <v>3</v>
      </c>
      <c r="C264" s="2" t="inlineStr">
        <is>
          <t>Biến thể G-OPS: Hậu quả vĩnh viễn; không auto; cần release</t>
        </is>
      </c>
      <c r="D264" s="2" t="inlineStr">
        <is>
          <t>G-OPS</t>
        </is>
      </c>
      <c r="E264" s="2" t="n">
        <v>1</v>
      </c>
      <c r="F264" s="2">
        <f>SUMPRODUCT(('Anh xa'!$A$2:$A$725=A264)*1)</f>
        <v/>
      </c>
      <c r="G264" s="2">
        <f>IF(F264&gt;0,"✓","THIẾU")</f>
        <v/>
      </c>
    </row>
    <row r="265">
      <c r="A265" s="2" t="inlineStr">
        <is>
          <t>A12.1.13</t>
        </is>
      </c>
      <c r="B265" s="2" t="n">
        <v>3</v>
      </c>
      <c r="C265" s="2" t="inlineStr">
        <is>
          <t>Biến thể G-SAFE: Cảnh báo đứng đầu, không tắt được</t>
        </is>
      </c>
      <c r="D265" s="2" t="inlineStr">
        <is>
          <t>G-SAFE</t>
        </is>
      </c>
      <c r="E265" s="2" t="n">
        <v>1</v>
      </c>
      <c r="F265" s="2">
        <f>SUMPRODUCT(('Anh xa'!$A$2:$A$725=A265)*1)</f>
        <v/>
      </c>
      <c r="G265" s="2">
        <f>IF(F265&gt;0,"✓","THIẾU")</f>
        <v/>
      </c>
    </row>
    <row r="266">
      <c r="A266" s="2" t="inlineStr">
        <is>
          <t>A12.1.14</t>
        </is>
      </c>
      <c r="B266" s="2" t="n">
        <v>3</v>
      </c>
      <c r="C266" s="2" t="inlineStr">
        <is>
          <t>Biến thể G-HIST: Sẽ mất gì / giữ gì</t>
        </is>
      </c>
      <c r="D266" s="2" t="inlineStr">
        <is>
          <t>G-HIST</t>
        </is>
      </c>
      <c r="E266" s="2" t="n">
        <v>1</v>
      </c>
      <c r="F266" s="2">
        <f>SUMPRODUCT(('Anh xa'!$A$2:$A$725=A266)*1)</f>
        <v/>
      </c>
      <c r="G266" s="2">
        <f>IF(F266&gt;0,"✓","THIẾU")</f>
        <v/>
      </c>
    </row>
    <row r="267">
      <c r="A267" s="2" t="inlineStr">
        <is>
          <t>A12.1.15</t>
        </is>
      </c>
      <c r="B267" s="2" t="n">
        <v>3</v>
      </c>
      <c r="C267" s="2" t="inlineStr">
        <is>
          <t>Biến thể G-SNAP: Người đặt tên/ghi chú</t>
        </is>
      </c>
      <c r="D267" s="2" t="inlineStr">
        <is>
          <t>G-SNAP</t>
        </is>
      </c>
      <c r="E267" s="2" t="n">
        <v>1</v>
      </c>
      <c r="F267" s="2">
        <f>SUMPRODUCT(('Anh xa'!$A$2:$A$725=A267)*1)</f>
        <v/>
      </c>
      <c r="G267" s="2">
        <f>IF(F267&gt;0,"✓","THIẾU")</f>
        <v/>
      </c>
    </row>
    <row r="268">
      <c r="A268" s="2" t="inlineStr">
        <is>
          <t>A13.1</t>
        </is>
      </c>
      <c r="B268" s="2" t="n">
        <v>2</v>
      </c>
      <c r="C268" s="2" t="inlineStr">
        <is>
          <t>Tự chủ &amp; cấp quyền</t>
        </is>
      </c>
      <c r="D268" s="2" t="inlineStr">
        <is>
          <t>MM-autonomy, UC18</t>
        </is>
      </c>
      <c r="E268" s="2" t="n">
        <v>2</v>
      </c>
      <c r="F268" s="2">
        <f>SUMPRODUCT(('Anh xa'!$A$2:$A$725=A268)*1)</f>
        <v/>
      </c>
      <c r="G268" s="2">
        <f>IF(F268&gt;0,"✓","THIẾU")</f>
        <v/>
      </c>
    </row>
    <row r="269">
      <c r="A269" s="2" t="inlineStr">
        <is>
          <t>A13.1.1</t>
        </is>
      </c>
      <c r="B269" s="2" t="n">
        <v>3</v>
      </c>
      <c r="C269" s="2" t="inlineStr">
        <is>
          <t>Mức tự chủ A0–A4 (mô tả từng mức)</t>
        </is>
      </c>
      <c r="D269" s="2" t="inlineStr">
        <is>
          <t>HA-set, MM-autonomy</t>
        </is>
      </c>
      <c r="E269" s="2" t="n">
        <v>2</v>
      </c>
      <c r="F269" s="2">
        <f>SUMPRODUCT(('Anh xa'!$A$2:$A$725=A269)*1)</f>
        <v/>
      </c>
      <c r="G269" s="2">
        <f>IF(F269&gt;0,"✓","THIẾU")</f>
        <v/>
      </c>
    </row>
    <row r="270">
      <c r="A270" s="2" t="inlineStr">
        <is>
          <t>A13.1.2</t>
        </is>
      </c>
      <c r="B270" s="2" t="n">
        <v>3</v>
      </c>
      <c r="C270" s="2" t="inlineStr">
        <is>
          <t>Danh sách 'đã tin' theo tool/gói/nguồn — xoá được</t>
        </is>
      </c>
      <c r="D270" s="2" t="inlineStr">
        <is>
          <t>HA-set, MM-remember</t>
        </is>
      </c>
      <c r="E270" s="2" t="n">
        <v>2</v>
      </c>
      <c r="F270" s="2">
        <f>SUMPRODUCT(('Anh xa'!$A$2:$A$725=A270)*1)</f>
        <v/>
      </c>
      <c r="G270" s="2">
        <f>IF(F270&gt;0,"✓","THIẾU")</f>
        <v/>
      </c>
    </row>
    <row r="271">
      <c r="A271" s="2" t="inlineStr">
        <is>
          <t>A13.1.3</t>
        </is>
      </c>
      <c r="B271" s="2" t="n">
        <v>3</v>
      </c>
      <c r="C271" s="2" t="inlineStr">
        <is>
          <t>Nguồn tin cậy (tên miền nhà sản xuất)</t>
        </is>
      </c>
      <c r="D271" s="2" t="inlineStr">
        <is>
          <t>HA-set, MM-trusted</t>
        </is>
      </c>
      <c r="E271" s="2" t="n">
        <v>2</v>
      </c>
      <c r="F271" s="2">
        <f>SUMPRODUCT(('Anh xa'!$A$2:$A$725=A271)*1)</f>
        <v/>
      </c>
      <c r="G271" s="2">
        <f>IF(F271&gt;0,"✓","THIẾU")</f>
        <v/>
      </c>
    </row>
    <row r="272">
      <c r="A272" s="2" t="inlineStr">
        <is>
          <t>A13.2</t>
        </is>
      </c>
      <c r="B272" s="2" t="n">
        <v>2</v>
      </c>
      <c r="C272" s="2" t="inlineStr">
        <is>
          <t>Mô hình</t>
        </is>
      </c>
      <c r="D272" s="2" t="inlineStr">
        <is>
          <t>MM-model</t>
        </is>
      </c>
      <c r="E272" s="2" t="n">
        <v>1</v>
      </c>
      <c r="F272" s="2">
        <f>SUMPRODUCT(('Anh xa'!$A$2:$A$725=A272)*1)</f>
        <v/>
      </c>
      <c r="G272" s="2">
        <f>IF(F272&gt;0,"✓","THIẾU")</f>
        <v/>
      </c>
    </row>
    <row r="273">
      <c r="A273" s="2" t="inlineStr">
        <is>
          <t>A13.2.1</t>
        </is>
      </c>
      <c r="B273" s="2" t="n">
        <v>3</v>
      </c>
      <c r="C273" s="2" t="inlineStr">
        <is>
          <t>Chọn mô hình theo vai trò (chính, subagent, tóm tắt, embed)</t>
        </is>
      </c>
      <c r="D273" s="2" t="inlineStr">
        <is>
          <t>HA-set, MM-model</t>
        </is>
      </c>
      <c r="E273" s="2" t="n">
        <v>2</v>
      </c>
      <c r="F273" s="2">
        <f>SUMPRODUCT(('Anh xa'!$A$2:$A$725=A273)*1)</f>
        <v/>
      </c>
      <c r="G273" s="2">
        <f>IF(F273&gt;0,"✓","THIẾU")</f>
        <v/>
      </c>
    </row>
    <row r="274">
      <c r="A274" s="2" t="inlineStr">
        <is>
          <t>A13.3</t>
        </is>
      </c>
      <c r="B274" s="2" t="n">
        <v>2</v>
      </c>
      <c r="C274" s="2" t="inlineStr">
        <is>
          <t>Trình bày</t>
        </is>
      </c>
      <c r="D274" s="2" t="inlineStr">
        <is>
          <t>EX-habit, MM-habit</t>
        </is>
      </c>
      <c r="E274" s="2" t="n">
        <v>2</v>
      </c>
      <c r="F274" s="2">
        <f>SUMPRODUCT(('Anh xa'!$A$2:$A$725=A274)*1)</f>
        <v/>
      </c>
      <c r="G274" s="2">
        <f>IF(F274&gt;0,"✓","THIẾU")</f>
        <v/>
      </c>
    </row>
    <row r="275">
      <c r="A275" s="2" t="inlineStr">
        <is>
          <t>A13.3.1</t>
        </is>
      </c>
      <c r="B275" s="2" t="n">
        <v>3</v>
      </c>
      <c r="C275" s="2" t="inlineStr">
        <is>
          <t>Mức chi tiết mặc định; diff nguyên văn?; thuật ngữ; tab mở theo chặng</t>
        </is>
      </c>
      <c r="D275" s="2" t="inlineStr">
        <is>
          <t>EX-habit, HA-set, MM-habit</t>
        </is>
      </c>
      <c r="E275" s="2" t="n">
        <v>3</v>
      </c>
      <c r="F275" s="2">
        <f>SUMPRODUCT(('Anh xa'!$A$2:$A$725=A275)*1)</f>
        <v/>
      </c>
      <c r="G275" s="2">
        <f>IF(F275&gt;0,"✓","THIẾU")</f>
        <v/>
      </c>
    </row>
    <row r="276">
      <c r="A276" s="2" t="inlineStr">
        <is>
          <t>A13.5</t>
        </is>
      </c>
      <c r="B276" s="2" t="n">
        <v>2</v>
      </c>
      <c r="C276" s="2" t="inlineStr">
        <is>
          <t>Chẩn đoán giao thức (dành cho phát triển)</t>
        </is>
      </c>
      <c r="D276" s="2" t="inlineStr">
        <is>
          <t>I3, I4, I5</t>
        </is>
      </c>
      <c r="E276" s="2" t="n">
        <v>3</v>
      </c>
      <c r="F276" s="2">
        <f>SUMPRODUCT(('Anh xa'!$A$2:$A$725=A276)*1)</f>
        <v/>
      </c>
      <c r="G276" s="2">
        <f>IF(F276&gt;0,"✓","THIẾU")</f>
        <v/>
      </c>
    </row>
    <row r="277">
      <c r="A277" s="2" t="inlineStr">
        <is>
          <t>A13.5.1</t>
        </is>
      </c>
      <c r="B277" s="2" t="n">
        <v>3</v>
      </c>
      <c r="C277" s="2" t="inlineStr">
        <is>
          <t>Bộ xem UAP: HumanAct đã gửi / UICommand đã nhận (id, seq, surface.set/patch/append…)</t>
        </is>
      </c>
      <c r="D277" s="2" t="inlineStr">
        <is>
          <t>I3, I4, I5, UI-surface.patch, UI-surface.set</t>
        </is>
      </c>
      <c r="E277" s="2" t="n">
        <v>5</v>
      </c>
      <c r="F277" s="2">
        <f>SUMPRODUCT(('Anh xa'!$A$2:$A$725=A277)*1)</f>
        <v/>
      </c>
      <c r="G277" s="2">
        <f>IF(F277&gt;0,"✓","THIẾU")</f>
        <v/>
      </c>
    </row>
    <row r="278">
      <c r="A278" s="2" t="inlineStr">
        <is>
          <t>A13.5.2</t>
        </is>
      </c>
      <c r="B278" s="2" t="n">
        <v>3</v>
      </c>
      <c r="C278" s="2" t="inlineStr">
        <is>
          <t>Chế độ truy vết: hiện mã UI (Ax.y.z) và yêu cầu ánh xạ trên mọi phần tử</t>
        </is>
      </c>
      <c r="D278" s="2" t="inlineStr">
        <is>
          <t>I3, N8</t>
        </is>
      </c>
      <c r="E278" s="2" t="n">
        <v>2</v>
      </c>
      <c r="F278" s="2">
        <f>SUMPRODUCT(('Anh xa'!$A$2:$A$725=A278)*1)</f>
        <v/>
      </c>
      <c r="G278" s="2">
        <f>IF(F278&gt;0,"✓","THIẾU")</f>
        <v/>
      </c>
    </row>
    <row r="279">
      <c r="A279" s="2" t="inlineStr">
        <is>
          <t>A13.4</t>
        </is>
      </c>
      <c r="B279" s="2" t="n">
        <v>2</v>
      </c>
      <c r="C279" s="2" t="inlineStr">
        <is>
          <t>Sandbox &amp; ngân sách</t>
        </is>
      </c>
      <c r="D279" s="2" t="inlineStr">
        <is>
          <t>CX-budget, UC18</t>
        </is>
      </c>
      <c r="E279" s="2" t="n">
        <v>2</v>
      </c>
      <c r="F279" s="2">
        <f>SUMPRODUCT(('Anh xa'!$A$2:$A$725=A279)*1)</f>
        <v/>
      </c>
      <c r="G279" s="2">
        <f>IF(F279&gt;0,"✓","THIẾU")</f>
        <v/>
      </c>
    </row>
    <row r="280">
      <c r="A280" s="2" t="inlineStr">
        <is>
          <t>A13.4.1</t>
        </is>
      </c>
      <c r="B280" s="2" t="n">
        <v>3</v>
      </c>
      <c r="C280" s="2" t="inlineStr">
        <is>
          <t>Thư mục cho phép; mạng theo tool; tool/lượt; giây/lượt</t>
        </is>
      </c>
      <c r="D280" s="2" t="inlineStr">
        <is>
          <t>CX-budget, HA-set, UC18</t>
        </is>
      </c>
      <c r="E280" s="2" t="n">
        <v>3</v>
      </c>
      <c r="F280" s="2">
        <f>SUMPRODUCT(('Anh xa'!$A$2:$A$725=A280)*1)</f>
        <v/>
      </c>
      <c r="G280" s="2">
        <f>IF(F280&gt;0,"✓","THIẾU")</f>
        <v/>
      </c>
    </row>
    <row r="281">
      <c r="A281" s="2" t="inlineStr">
        <is>
          <t>A13.4.2</t>
        </is>
      </c>
      <c r="B281" s="2" t="n">
        <v>3</v>
      </c>
      <c r="C281" s="2" t="inlineStr">
        <is>
          <t>Cờ tính năng: features.schematic (mặc định tắt)</t>
        </is>
      </c>
      <c r="D281" s="2" t="inlineStr">
        <is>
          <t>HA-set, SCH-17</t>
        </is>
      </c>
      <c r="E281" s="2" t="n">
        <v>2</v>
      </c>
      <c r="F281" s="2">
        <f>SUMPRODUCT(('Anh xa'!$A$2:$A$725=A281)*1)</f>
        <v/>
      </c>
      <c r="G281" s="2">
        <f>IF(F281&gt;0,"✓","THIẾU")</f>
        <v/>
      </c>
    </row>
    <row r="282">
      <c r="A282" s="2" t="inlineStr">
        <is>
          <t>A14.1</t>
        </is>
      </c>
      <c r="B282" s="2" t="n">
        <v>2</v>
      </c>
      <c r="C282" s="2" t="inlineStr">
        <is>
          <t>Dự án</t>
        </is>
      </c>
      <c r="D282" s="2" t="inlineStr">
        <is>
          <t>UC17</t>
        </is>
      </c>
      <c r="E282" s="2" t="n">
        <v>1</v>
      </c>
      <c r="F282" s="2">
        <f>SUMPRODUCT(('Anh xa'!$A$2:$A$725=A282)*1)</f>
        <v/>
      </c>
      <c r="G282" s="2">
        <f>IF(F282&gt;0,"✓","THIẾU")</f>
        <v/>
      </c>
    </row>
    <row r="283">
      <c r="A283" s="2" t="inlineStr">
        <is>
          <t>A14.1.1</t>
        </is>
      </c>
      <c r="B283" s="2" t="n">
        <v>3</v>
      </c>
      <c r="C283" s="2" t="inlineStr">
        <is>
          <t>Mở / tạo dự án; không tạo lồng khi đang mở</t>
        </is>
      </c>
      <c r="D283" s="2" t="inlineStr">
        <is>
          <t>N3, UC17</t>
        </is>
      </c>
      <c r="E283" s="2" t="n">
        <v>2</v>
      </c>
      <c r="F283" s="2">
        <f>SUMPRODUCT(('Anh xa'!$A$2:$A$725=A283)*1)</f>
        <v/>
      </c>
      <c r="G283" s="2">
        <f>IF(F283&gt;0,"✓","THIẾU")</f>
        <v/>
      </c>
    </row>
    <row r="284">
      <c r="A284" s="2" t="inlineStr">
        <is>
          <t>A14.1.2</t>
        </is>
      </c>
      <c r="B284" s="2" t="n">
        <v>3</v>
      </c>
      <c r="C284" s="2" t="inlineStr">
        <is>
          <t>Mở lại: tác tử tự thuật 'đang ở đâu, đã quyết gì, làm gì tiếp' + snapshot gần nhất</t>
        </is>
      </c>
      <c r="D284" s="2" t="inlineStr">
        <is>
          <t>HA-resume, SN-resume-info, UC17</t>
        </is>
      </c>
      <c r="E284" s="2" t="n">
        <v>3</v>
      </c>
      <c r="F284" s="2">
        <f>SUMPRODUCT(('Anh xa'!$A$2:$A$725=A284)*1)</f>
        <v/>
      </c>
      <c r="G284" s="2">
        <f>IF(F284&gt;0,"✓","THIẾU")</f>
        <v/>
      </c>
    </row>
    <row r="285">
      <c r="A285" s="2" t="inlineStr">
        <is>
          <t>A14.1.3</t>
        </is>
      </c>
      <c r="B285" s="2" t="n">
        <v>3</v>
      </c>
      <c r="C285" s="2" t="inlineStr">
        <is>
          <t>Xuất toàn bộ dự án</t>
        </is>
      </c>
      <c r="D285" s="2" t="inlineStr">
        <is>
          <t>SN-export, UC17</t>
        </is>
      </c>
      <c r="E285" s="2" t="n">
        <v>2</v>
      </c>
      <c r="F285" s="2">
        <f>SUMPRODUCT(('Anh xa'!$A$2:$A$725=A285)*1)</f>
        <v/>
      </c>
      <c r="G285" s="2">
        <f>IF(F285&gt;0,"✓","THIẾU")</f>
        <v/>
      </c>
    </row>
    <row r="286">
      <c r="A286" s="2" t="inlineStr">
        <is>
          <t>A14.2</t>
        </is>
      </c>
      <c r="B286" s="2" t="n">
        <v>2</v>
      </c>
      <c r="C286" s="2" t="inlineStr">
        <is>
          <t>EIDE.md</t>
        </is>
      </c>
      <c r="D286" s="2" t="inlineStr">
        <is>
          <t>CX-eide-md</t>
        </is>
      </c>
      <c r="E286" s="2" t="n">
        <v>1</v>
      </c>
      <c r="F286" s="2">
        <f>SUMPRODUCT(('Anh xa'!$A$2:$A$725=A286)*1)</f>
        <v/>
      </c>
      <c r="G286" s="2">
        <f>IF(F286&gt;0,"✓","THIẾU")</f>
        <v/>
      </c>
    </row>
    <row r="287">
      <c r="A287" s="2" t="inlineStr">
        <is>
          <t>A14.2.1</t>
        </is>
      </c>
      <c r="B287" s="2" t="n">
        <v>3</v>
      </c>
      <c r="C287" s="2" t="inlineStr">
        <is>
          <t>Xem/sửa EIDE.md (mục tiêu, chip, ADR, giả định, quy ước, Đừng, Người vừa sửa)</t>
        </is>
      </c>
      <c r="D287" s="2" t="inlineStr">
        <is>
          <t>CX-eide-md, ED5, HA-edit</t>
        </is>
      </c>
      <c r="E287" s="2" t="n">
        <v>3</v>
      </c>
      <c r="F287" s="2">
        <f>SUMPRODUCT(('Anh xa'!$A$2:$A$725=A287)*1)</f>
        <v/>
      </c>
      <c r="G287" s="2">
        <f>IF(F287&gt;0,"✓","THIẾU")</f>
        <v/>
      </c>
    </row>
    <row r="288">
      <c r="A288" s="2" t="inlineStr">
        <is>
          <t>A14.2.2</t>
        </is>
      </c>
      <c r="B288" s="2" t="n">
        <v>3</v>
      </c>
      <c r="C288" s="2" t="inlineStr">
        <is>
          <t>§'Người vừa sửa' — tác tử đã nhắc chưa (acknowledged)</t>
        </is>
      </c>
      <c r="D288" s="2" t="inlineStr">
        <is>
          <t>ED5, ED6, N9</t>
        </is>
      </c>
      <c r="E288" s="2" t="n">
        <v>3</v>
      </c>
      <c r="F288" s="2">
        <f>SUMPRODUCT(('Anh xa'!$A$2:$A$725=A288)*1)</f>
        <v/>
      </c>
      <c r="G288" s="2">
        <f>IF(F288&gt;0,"✓","THIẾU")</f>
        <v/>
      </c>
    </row>
    <row r="289">
      <c r="A289" s="2" t="inlineStr">
        <is>
          <t>A14.3</t>
        </is>
      </c>
      <c r="B289" s="2" t="n">
        <v>2</v>
      </c>
      <c r="C289" s="2" t="inlineStr">
        <is>
          <t>Kiểm kê (inventory) &amp; giả định</t>
        </is>
      </c>
      <c r="D289" s="2" t="inlineStr">
        <is>
          <t>CX-assumptions, CX-inventory</t>
        </is>
      </c>
      <c r="E289" s="2" t="n">
        <v>2</v>
      </c>
      <c r="F289" s="2">
        <f>SUMPRODUCT(('Anh xa'!$A$2:$A$725=A289)*1)</f>
        <v/>
      </c>
      <c r="G289" s="2">
        <f>IF(F289&gt;0,"✓","THIẾU")</f>
        <v/>
      </c>
    </row>
    <row r="290">
      <c r="A290" s="2" t="inlineStr">
        <is>
          <t>A14.3.1</t>
        </is>
      </c>
      <c r="B290" s="2" t="n">
        <v>3</v>
      </c>
      <c r="C290" s="2" t="inlineStr">
        <is>
          <t>Bảng &lt;inventory&gt; đúng như tác tử thấy</t>
        </is>
      </c>
      <c r="D290" s="2" t="inlineStr">
        <is>
          <t>CX-inventory, N3</t>
        </is>
      </c>
      <c r="E290" s="2" t="n">
        <v>2</v>
      </c>
      <c r="F290" s="2">
        <f>SUMPRODUCT(('Anh xa'!$A$2:$A$725=A290)*1)</f>
        <v/>
      </c>
      <c r="G290" s="2">
        <f>IF(F290&gt;0,"✓","THIẾU")</f>
        <v/>
      </c>
    </row>
    <row r="291">
      <c r="A291" s="2" t="inlineStr">
        <is>
          <t>A14.3.2</t>
        </is>
      </c>
      <c r="B291" s="2" t="n">
        <v>3</v>
      </c>
      <c r="C291" s="2" t="inlineStr">
        <is>
          <t>Giả định đang dùng: xác nhận thành sự thật / bác bỏ</t>
        </is>
      </c>
      <c r="D291" s="2" t="inlineStr">
        <is>
          <t>AR20, CX-assumptions, HA-confirm</t>
        </is>
      </c>
      <c r="E291" s="2" t="n">
        <v>3</v>
      </c>
      <c r="F291" s="2">
        <f>SUMPRODUCT(('Anh xa'!$A$2:$A$725=A291)*1)</f>
        <v/>
      </c>
      <c r="G291" s="2">
        <f>IF(F291&gt;0,"✓","THIẾU")</f>
        <v/>
      </c>
    </row>
    <row r="292">
      <c r="A292" s="2" t="inlineStr">
        <is>
          <t>A14.4</t>
        </is>
      </c>
      <c r="B292" s="2" t="n">
        <v>2</v>
      </c>
      <c r="C292" s="2" t="inlineStr">
        <is>
          <t>Kế hoạch (plan mode)</t>
        </is>
      </c>
      <c r="D292" s="2" t="inlineStr">
        <is>
          <t>CX-plan, G-SCOPE</t>
        </is>
      </c>
      <c r="E292" s="2" t="n">
        <v>2</v>
      </c>
      <c r="F292" s="2">
        <f>SUMPRODUCT(('Anh xa'!$A$2:$A$725=A292)*1)</f>
        <v/>
      </c>
      <c r="G292" s="2">
        <f>IF(F292&gt;0,"✓","THIẾU")</f>
        <v/>
      </c>
    </row>
    <row r="293">
      <c r="A293" s="2" t="inlineStr">
        <is>
          <t>A14.4.1</t>
        </is>
      </c>
      <c r="B293" s="2" t="n">
        <v>3</v>
      </c>
      <c r="C293" s="2" t="inlineStr">
        <is>
          <t>Kế hoạch đã duyệt: bước ✓/đang/chưa; đối chiếu 'đã làm'</t>
        </is>
      </c>
      <c r="D293" s="2" t="inlineStr">
        <is>
          <t>AR12, CX-plan</t>
        </is>
      </c>
      <c r="E293" s="2" t="n">
        <v>2</v>
      </c>
      <c r="F293" s="2">
        <f>SUMPRODUCT(('Anh xa'!$A$2:$A$725=A293)*1)</f>
        <v/>
      </c>
      <c r="G293" s="2">
        <f>IF(F293&gt;0,"✓","THIẾU")</f>
        <v/>
      </c>
    </row>
    <row r="294">
      <c r="A294" s="2" t="inlineStr">
        <is>
          <t>A14.4.2</t>
        </is>
      </c>
      <c r="B294" s="2" t="n">
        <v>3</v>
      </c>
      <c r="C294" s="2" t="inlineStr">
        <is>
          <t>Bỏ/thêm bước; sửa giả định</t>
        </is>
      </c>
      <c r="D294" s="2" t="inlineStr">
        <is>
          <t>CX-plan, HA-edit</t>
        </is>
      </c>
      <c r="E294" s="2" t="n">
        <v>2</v>
      </c>
      <c r="F294" s="2">
        <f>SUMPRODUCT(('Anh xa'!$A$2:$A$725=A294)*1)</f>
        <v/>
      </c>
      <c r="G294" s="2">
        <f>IF(F294&gt;0,"✓","THIẾU")</f>
        <v/>
      </c>
    </row>
    <row r="295">
      <c r="A295" s="2" t="inlineStr">
        <is>
          <t>A14.6</t>
        </is>
      </c>
      <c r="B295" s="2" t="n">
        <v>2</v>
      </c>
      <c r="C295" s="2" t="inlineStr">
        <is>
          <t>Bộ nhớ tác tử (MEM-42)</t>
        </is>
      </c>
      <c r="D295" s="2" t="inlineStr">
        <is>
          <t>MEM-02, MEM-12</t>
        </is>
      </c>
      <c r="E295" s="2" t="n">
        <v>2</v>
      </c>
      <c r="F295" s="2">
        <f>SUMPRODUCT(('Anh xa'!$A$2:$A$725=A295)*1)</f>
        <v/>
      </c>
      <c r="G295" s="2">
        <f>IF(F295&gt;0,"✓","THIẾU")</f>
        <v/>
      </c>
    </row>
    <row r="296">
      <c r="A296" s="2" t="inlineStr">
        <is>
          <t>A14.6.1</t>
        </is>
      </c>
      <c r="B296" s="2" t="n">
        <v>3</v>
      </c>
      <c r="C296" s="2" t="inlineStr">
        <is>
          <t>Đồng hồ ngữ cảnh theo 10 khối (% và token, màu theo ngưỡng 60/70/85/95)</t>
        </is>
      </c>
      <c r="D296" s="2" t="inlineStr">
        <is>
          <t>CX-budget, MEM-01, MEM-02</t>
        </is>
      </c>
      <c r="E296" s="2" t="n">
        <v>3</v>
      </c>
      <c r="F296" s="2">
        <f>SUMPRODUCT(('Anh xa'!$A$2:$A$725=A296)*1)</f>
        <v/>
      </c>
      <c r="G296" s="2">
        <f>IF(F296&gt;0,"✓","THIẾU")</f>
        <v/>
      </c>
    </row>
    <row r="297">
      <c r="A297" s="2" t="inlineStr">
        <is>
          <t>A14.6.2</t>
        </is>
      </c>
      <c r="B297" s="2" t="n">
        <v>3</v>
      </c>
      <c r="C297" s="2" t="inlineStr">
        <is>
          <t>Bản tóm tắt phiên hiện tại (10 mục): xem, sửa, ghim mục</t>
        </is>
      </c>
      <c r="D297" s="2" t="inlineStr">
        <is>
          <t>HA-edit, MEM-06, MEM-11</t>
        </is>
      </c>
      <c r="E297" s="2" t="n">
        <v>3</v>
      </c>
      <c r="F297" s="2">
        <f>SUMPRODUCT(('Anh xa'!$A$2:$A$725=A297)*1)</f>
        <v/>
      </c>
      <c r="G297" s="2">
        <f>IF(F297&gt;0,"✓","THIẾU")</f>
        <v/>
      </c>
    </row>
    <row r="298">
      <c r="A298" s="2" t="inlineStr">
        <is>
          <t>A14.6.3</t>
        </is>
      </c>
      <c r="B298" s="2" t="n">
        <v>3</v>
      </c>
      <c r="C298" s="2" t="inlineStr">
        <is>
          <t>Danh sách message ghim; ghim/bỏ ghim thủ công</t>
        </is>
      </c>
      <c r="D298" s="2" t="inlineStr">
        <is>
          <t>HA-set, MEM-07</t>
        </is>
      </c>
      <c r="E298" s="2" t="n">
        <v>2</v>
      </c>
      <c r="F298" s="2">
        <f>SUMPRODUCT(('Anh xa'!$A$2:$A$725=A298)*1)</f>
        <v/>
      </c>
      <c r="G298" s="2">
        <f>IF(F298&gt;0,"✓","THIẾU")</f>
        <v/>
      </c>
    </row>
    <row r="299">
      <c r="A299" s="2" t="inlineStr">
        <is>
          <t>A14.6.4</t>
        </is>
      </c>
      <c r="B299" s="2" t="n">
        <v>3</v>
      </c>
      <c r="C299" s="2" t="inlineStr">
        <is>
          <t>Nén ngay (C1/C2) · Huỷ nén gần nhất (24 h)</t>
        </is>
      </c>
      <c r="D299" s="2" t="inlineStr">
        <is>
          <t>HA-say, MEM-05, MEM-09</t>
        </is>
      </c>
      <c r="E299" s="2" t="n">
        <v>3</v>
      </c>
      <c r="F299" s="2">
        <f>SUMPRODUCT(('Anh xa'!$A$2:$A$725=A299)*1)</f>
        <v/>
      </c>
      <c r="G299" s="2">
        <f>IF(F299&gt;0,"✓","THIẾU")</f>
        <v/>
      </c>
    </row>
    <row r="300">
      <c r="A300" s="2" t="inlineStr">
        <is>
          <t>A14.6.5</t>
        </is>
      </c>
      <c r="B300" s="2" t="n">
        <v>3</v>
      </c>
      <c r="C300" s="2" t="inlineStr">
        <is>
          <t>Nhật ký nén: trước/sau, kiểm 3/3, chuỗi tóm tắt (C3)</t>
        </is>
      </c>
      <c r="D300" s="2" t="inlineStr">
        <is>
          <t>MEM-08, MEM-09, MEM-18</t>
        </is>
      </c>
      <c r="E300" s="2" t="n">
        <v>3</v>
      </c>
      <c r="F300" s="2">
        <f>SUMPRODUCT(('Anh xa'!$A$2:$A$725=A300)*1)</f>
        <v/>
      </c>
      <c r="G300" s="2">
        <f>IF(F300&gt;0,"✓","THIẾU")</f>
        <v/>
      </c>
    </row>
    <row r="301">
      <c r="A301" s="2" t="inlineStr">
        <is>
          <t>A14.6.6</t>
        </is>
      </c>
      <c r="B301" s="2" t="n">
        <v>3</v>
      </c>
      <c r="C301" s="2" t="inlineStr">
        <is>
          <t>Bộ nhớ người dùng (memory.md): xem, sửa, quên từng dòng, xoá toàn bộ</t>
        </is>
      </c>
      <c r="D301" s="2" t="inlineStr">
        <is>
          <t>MEM-13, MEM-14, MM-habit, MM-remember</t>
        </is>
      </c>
      <c r="E301" s="2" t="n">
        <v>4</v>
      </c>
      <c r="F301" s="2">
        <f>SUMPRODUCT(('Anh xa'!$A$2:$A$725=A301)*1)</f>
        <v/>
      </c>
      <c r="G301" s="2">
        <f>IF(F301&gt;0,"✓","THIẾU")</f>
        <v/>
      </c>
    </row>
    <row r="302">
      <c r="A302" s="2" t="inlineStr">
        <is>
          <t>A14.6.7</t>
        </is>
      </c>
      <c r="B302" s="2" t="n">
        <v>3</v>
      </c>
      <c r="C302" s="2" t="inlineStr">
        <is>
          <t>Đề xuất ghi nhớ của tác tử — Đồng ý / Không</t>
        </is>
      </c>
      <c r="D302" s="2" t="inlineStr">
        <is>
          <t>HA-choose, MEM-14</t>
        </is>
      </c>
      <c r="E302" s="2" t="n">
        <v>2</v>
      </c>
      <c r="F302" s="2">
        <f>SUMPRODUCT(('Anh xa'!$A$2:$A$725=A302)*1)</f>
        <v/>
      </c>
      <c r="G302" s="2">
        <f>IF(F302&gt;0,"✓","THIẾU")</f>
        <v/>
      </c>
    </row>
    <row r="303">
      <c r="A303" s="2" t="inlineStr">
        <is>
          <t>A14.6.8</t>
        </is>
      </c>
      <c r="B303" s="2" t="n">
        <v>3</v>
      </c>
      <c r="C303" s="2" t="inlineStr">
        <is>
          <t>Tìm trong lịch sử (ledger.query) — kết quả có ref</t>
        </is>
      </c>
      <c r="D303" s="2" t="inlineStr">
        <is>
          <t>MEM-16, UC17</t>
        </is>
      </c>
      <c r="E303" s="2" t="n">
        <v>2</v>
      </c>
      <c r="F303" s="2">
        <f>SUMPRODUCT(('Anh xa'!$A$2:$A$725=A303)*1)</f>
        <v/>
      </c>
      <c r="G303" s="2">
        <f>IF(F303&gt;0,"✓","THIẾU")</f>
        <v/>
      </c>
    </row>
    <row r="304">
      <c r="A304" s="2" t="inlineStr">
        <is>
          <t>A14.6.9</t>
        </is>
      </c>
      <c r="B304" s="2" t="n">
        <v>3</v>
      </c>
      <c r="C304" s="2" t="inlineStr">
        <is>
          <t>Cảnh báo EIDE.md vượt trần + đề xuất lược (memory.prune) — duyệt</t>
        </is>
      </c>
      <c r="D304" s="2" t="inlineStr">
        <is>
          <t>CX-eide-md, MEM-03, MEM-10</t>
        </is>
      </c>
      <c r="E304" s="2" t="n">
        <v>3</v>
      </c>
      <c r="F304" s="2">
        <f>SUMPRODUCT(('Anh xa'!$A$2:$A$725=A304)*1)</f>
        <v/>
      </c>
      <c r="G304" s="2">
        <f>IF(F304&gt;0,"✓","THIẾU")</f>
        <v/>
      </c>
    </row>
    <row r="305">
      <c r="A305" s="2" t="inlineStr">
        <is>
          <t>A14.6.10</t>
        </is>
      </c>
      <c r="B305" s="2" t="n">
        <v>3</v>
      </c>
      <c r="C305" s="2" t="inlineStr">
        <is>
          <t>Dòng [Hệ thống] sau mỗi lần nén; tool_result lớn hiện 'đã cắt, xem blob'</t>
        </is>
      </c>
      <c r="D305" s="2" t="inlineStr">
        <is>
          <t>MEM-04, MEM-09, UI-notice</t>
        </is>
      </c>
      <c r="E305" s="2" t="n">
        <v>3</v>
      </c>
      <c r="F305" s="2">
        <f>SUMPRODUCT(('Anh xa'!$A$2:$A$725=A305)*1)</f>
        <v/>
      </c>
      <c r="G305" s="2">
        <f>IF(F305&gt;0,"✓","THIẾU")</f>
        <v/>
      </c>
    </row>
    <row r="306">
      <c r="A306" s="2" t="inlineStr">
        <is>
          <t>A14.6.11</t>
        </is>
      </c>
      <c r="B306" s="2" t="n">
        <v>3</v>
      </c>
      <c r="C306" s="2" t="inlineStr">
        <is>
          <t>Khoá dự án khi phiên khác đang mở (chỉ đọc)</t>
        </is>
      </c>
      <c r="D306" s="2" t="inlineStr">
        <is>
          <t>MEM-23, UC17</t>
        </is>
      </c>
      <c r="E306" s="2" t="n">
        <v>2</v>
      </c>
      <c r="F306" s="2">
        <f>SUMPRODUCT(('Anh xa'!$A$2:$A$725=A306)*1)</f>
        <v/>
      </c>
      <c r="G306" s="2">
        <f>IF(F306&gt;0,"✓","THIẾU")</f>
        <v/>
      </c>
    </row>
    <row r="307">
      <c r="A307" s="2" t="inlineStr">
        <is>
          <t>A14.6.12</t>
        </is>
      </c>
      <c r="B307" s="2" t="n">
        <v>3</v>
      </c>
      <c r="C307" s="2" t="inlineStr">
        <is>
          <t>Chỉ số bộ nhớ: token/lượt, tần suất nén, kiểm đạt, số lần 'quên'</t>
        </is>
      </c>
      <c r="D307" s="2" t="inlineStr">
        <is>
          <t>CX-budget, MEM-24</t>
        </is>
      </c>
      <c r="E307" s="2" t="n">
        <v>2</v>
      </c>
      <c r="F307" s="2">
        <f>SUMPRODUCT(('Anh xa'!$A$2:$A$725=A307)*1)</f>
        <v/>
      </c>
      <c r="G307" s="2">
        <f>IF(F307&gt;0,"✓","THIẾU")</f>
        <v/>
      </c>
    </row>
    <row r="308">
      <c r="A308" s="2" t="inlineStr">
        <is>
          <t>A14.6.13</t>
        </is>
      </c>
      <c r="B308" s="2" t="n">
        <v>3</v>
      </c>
      <c r="C308" s="2" t="inlineStr">
        <is>
          <t>Resume: tác tử tự thuật + snapshot gần nhất + thẻ chờ (không summary rỗng)</t>
        </is>
      </c>
      <c r="D308" s="2" t="inlineStr">
        <is>
          <t>MEM-17, SN-resume-info</t>
        </is>
      </c>
      <c r="E308" s="2" t="n">
        <v>2</v>
      </c>
      <c r="F308" s="2">
        <f>SUMPRODUCT(('Anh xa'!$A$2:$A$725=A308)*1)</f>
        <v/>
      </c>
      <c r="G308" s="2">
        <f>IF(F308&gt;0,"✓","THIẾU")</f>
        <v/>
      </c>
    </row>
    <row r="309">
      <c r="A309" s="2" t="inlineStr">
        <is>
          <t>A14.6.14</t>
        </is>
      </c>
      <c r="B309" s="2" t="n">
        <v>3</v>
      </c>
      <c r="C309" s="2" t="inlineStr">
        <is>
          <t>Subagent: báo cáo ≤ 800 token, trạng thái 'dở dang' nếu chạm ngân sách</t>
        </is>
      </c>
      <c r="D309" s="2" t="inlineStr">
        <is>
          <t>CX-subagent, MEM-15</t>
        </is>
      </c>
      <c r="E309" s="2" t="n">
        <v>2</v>
      </c>
      <c r="F309" s="2">
        <f>SUMPRODUCT(('Anh xa'!$A$2:$A$725=A309)*1)</f>
        <v/>
      </c>
      <c r="G309" s="2">
        <f>IF(F309&gt;0,"✓","THIẾU")</f>
        <v/>
      </c>
    </row>
    <row r="310">
      <c r="A310" s="2" t="inlineStr">
        <is>
          <t>A14.6.15</t>
        </is>
      </c>
      <c r="B310" s="2" t="n">
        <v>3</v>
      </c>
      <c r="C310" s="2" t="inlineStr">
        <is>
          <t>Dùng lại Fact đã xác nhận từ dự án khác (→ BẠC có nguồn gốc); retention/gc blob</t>
        </is>
      </c>
      <c r="D310" s="2" t="inlineStr">
        <is>
          <t>HA-confirm, MEM-19, MEM-20</t>
        </is>
      </c>
      <c r="E310" s="2" t="n">
        <v>3</v>
      </c>
      <c r="F310" s="2">
        <f>SUMPRODUCT(('Anh xa'!$A$2:$A$725=A310)*1)</f>
        <v/>
      </c>
      <c r="G310" s="2">
        <f>IF(F310&gt;0,"✓","THIẾU")</f>
        <v/>
      </c>
    </row>
    <row r="311">
      <c r="A311" s="2" t="inlineStr">
        <is>
          <t>A14.6.16</t>
        </is>
      </c>
      <c r="B311" s="2" t="n">
        <v>3</v>
      </c>
      <c r="C311" s="2" t="inlineStr">
        <is>
          <t>Cửa sổ &lt;facts&gt; hiện thực thể được chọn và lý do; skill hết hạn 5 lượt được báo</t>
        </is>
      </c>
      <c r="D311" s="2" t="inlineStr">
        <is>
          <t>CX-skills, MEM-21, MEM-22</t>
        </is>
      </c>
      <c r="E311" s="2" t="n">
        <v>3</v>
      </c>
      <c r="F311" s="2">
        <f>SUMPRODUCT(('Anh xa'!$A$2:$A$725=A311)*1)</f>
        <v/>
      </c>
      <c r="G311" s="2">
        <f>IF(F311&gt;0,"✓","THIẾU")</f>
        <v/>
      </c>
    </row>
    <row r="312">
      <c r="A312" s="2" t="inlineStr">
        <is>
          <t>A14.5</t>
        </is>
      </c>
      <c r="B312" s="2" t="n">
        <v>2</v>
      </c>
      <c r="C312" s="2" t="inlineStr">
        <is>
          <t>Tài liệu &amp; truy vết</t>
        </is>
      </c>
      <c r="D312" s="2" t="inlineStr">
        <is>
          <t>UC16</t>
        </is>
      </c>
      <c r="E312" s="2" t="n">
        <v>1</v>
      </c>
      <c r="F312" s="2">
        <f>SUMPRODUCT(('Anh xa'!$A$2:$A$725=A312)*1)</f>
        <v/>
      </c>
      <c r="G312" s="2">
        <f>IF(F312&gt;0,"✓","THIẾU")</f>
        <v/>
      </c>
    </row>
    <row r="313">
      <c r="A313" s="2" t="inlineStr">
        <is>
          <t>A14.5.1</t>
        </is>
      </c>
      <c r="B313" s="2" t="n">
        <v>3</v>
      </c>
      <c r="C313" s="2" t="inlineStr">
        <is>
          <t>Sinh tài liệu thiết kế/hướng dẫn; đánh dấu phần lỗi thời sau khi sửa</t>
        </is>
      </c>
      <c r="D313" s="2" t="inlineStr">
        <is>
          <t>CS-stale, TL-trace, UC16</t>
        </is>
      </c>
      <c r="E313" s="2" t="n">
        <v>3</v>
      </c>
      <c r="F313" s="2">
        <f>SUMPRODUCT(('Anh xa'!$A$2:$A$725=A313)*1)</f>
        <v/>
      </c>
      <c r="G313" s="2">
        <f>IF(F313&gt;0,"✓","THIẾU")</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4" customWidth="1" min="4" max="4"/>
  </cols>
  <sheetData>
    <row r="1" ht="30" customHeight="1">
      <c r="A1" s="1" t="inlineStr">
        <is>
          <t>Nhóm yêu cầu</t>
        </is>
      </c>
      <c r="B1" s="1" t="inlineStr">
        <is>
          <t>Số yêu cầu</t>
        </is>
      </c>
      <c r="C1" s="1" t="inlineStr">
        <is>
          <t>Số yêu cầu đã phủ</t>
        </is>
      </c>
      <c r="D1" s="1" t="inlineStr">
        <is>
          <t>Số cặp ánh xạ</t>
        </is>
      </c>
    </row>
    <row r="2">
      <c r="A2" s="2" t="inlineStr">
        <is>
          <t>Nguyên tắc</t>
        </is>
      </c>
      <c r="B2" s="2">
        <f>COUNTIF('Yeu cau'!B2:B283,A2)</f>
        <v/>
      </c>
      <c r="C2" s="2">
        <f>COUNTIFS('Yeu cau'!B2:B283,A2,'Yeu cau'!F2:F283,"Đã phủ")</f>
        <v/>
      </c>
      <c r="D2" s="2">
        <f>COUNTIF('Anh xa'!E2:E725,A2)</f>
        <v/>
      </c>
    </row>
    <row r="3">
      <c r="A3" s="2" t="inlineStr">
        <is>
          <t>Bất biến giao thức</t>
        </is>
      </c>
      <c r="B3" s="2">
        <f>COUNTIF('Yeu cau'!B2:B283,A3)</f>
        <v/>
      </c>
      <c r="C3" s="2">
        <f>COUNTIFS('Yeu cau'!B2:B283,A3,'Yeu cau'!F2:F283,"Đã phủ")</f>
        <v/>
      </c>
      <c r="D3" s="2">
        <f>COUNTIF('Anh xa'!E2:E725,A3)</f>
        <v/>
      </c>
    </row>
    <row r="4">
      <c r="A4" s="2" t="inlineStr">
        <is>
          <t>Chặng</t>
        </is>
      </c>
      <c r="B4" s="2">
        <f>COUNTIF('Yeu cau'!B2:B283,A4)</f>
        <v/>
      </c>
      <c r="C4" s="2">
        <f>COUNTIFS('Yeu cau'!B2:B283,A4,'Yeu cau'!F2:F283,"Đã phủ")</f>
        <v/>
      </c>
      <c r="D4" s="2">
        <f>COUNTIF('Anh xa'!E2:E725,A4)</f>
        <v/>
      </c>
    </row>
    <row r="5">
      <c r="A5" s="2" t="inlineStr">
        <is>
          <t>Usecase</t>
        </is>
      </c>
      <c r="B5" s="2">
        <f>COUNTIF('Yeu cau'!B2:B283,A5)</f>
        <v/>
      </c>
      <c r="C5" s="2">
        <f>COUNTIFS('Yeu cau'!B2:B283,A5,'Yeu cau'!F2:F283,"Đã phủ")</f>
        <v/>
      </c>
      <c r="D5" s="2">
        <f>COUNTIF('Anh xa'!E2:E725,A5)</f>
        <v/>
      </c>
    </row>
    <row r="6">
      <c r="A6" s="2" t="inlineStr">
        <is>
          <t>HumanAct</t>
        </is>
      </c>
      <c r="B6" s="2">
        <f>COUNTIF('Yeu cau'!B2:B283,A6)</f>
        <v/>
      </c>
      <c r="C6" s="2">
        <f>COUNTIFS('Yeu cau'!B2:B283,A6,'Yeu cau'!F2:F283,"Đã phủ")</f>
        <v/>
      </c>
      <c r="D6" s="2">
        <f>COUNTIF('Anh xa'!E2:E725,A6)</f>
        <v/>
      </c>
    </row>
    <row r="7">
      <c r="A7" s="2" t="inlineStr">
        <is>
          <t>UICommand</t>
        </is>
      </c>
      <c r="B7" s="2">
        <f>COUNTIF('Yeu cau'!B2:B283,A7)</f>
        <v/>
      </c>
      <c r="C7" s="2">
        <f>COUNTIFS('Yeu cau'!B2:B283,A7,'Yeu cau'!F2:F283,"Đã phủ")</f>
        <v/>
      </c>
      <c r="D7" s="2">
        <f>COUNTIF('Anh xa'!E2:E725,A7)</f>
        <v/>
      </c>
    </row>
    <row r="8">
      <c r="A8" s="2" t="inlineStr">
        <is>
          <t>Cổng</t>
        </is>
      </c>
      <c r="B8" s="2">
        <f>COUNTIF('Yeu cau'!B2:B283,A8)</f>
        <v/>
      </c>
      <c r="C8" s="2">
        <f>COUNTIFS('Yeu cau'!B2:B283,A8,'Yeu cau'!F2:F283,"Đã phủ")</f>
        <v/>
      </c>
      <c r="D8" s="2">
        <f>COUNTIF('Anh xa'!E2:E725,A8)</f>
        <v/>
      </c>
    </row>
    <row r="9">
      <c r="A9" s="2" t="inlineStr">
        <is>
          <t>Hiện vật (E2)</t>
        </is>
      </c>
      <c r="B9" s="2">
        <f>COUNTIF('Yeu cau'!B2:B283,A9)</f>
        <v/>
      </c>
      <c r="C9" s="2">
        <f>COUNTIFS('Yeu cau'!B2:B283,A9,'Yeu cau'!F2:F283,"Đã phủ")</f>
        <v/>
      </c>
      <c r="D9" s="2">
        <f>COUNTIF('Anh xa'!E2:E725,A9)</f>
        <v/>
      </c>
    </row>
    <row r="10">
      <c r="A10" s="2" t="inlineStr">
        <is>
          <t>Lớp giải thích</t>
        </is>
      </c>
      <c r="B10" s="2">
        <f>COUNTIF('Yeu cau'!B2:B283,A10)</f>
        <v/>
      </c>
      <c r="C10" s="2">
        <f>COUNTIFS('Yeu cau'!B2:B283,A10,'Yeu cau'!F2:F283,"Đã phủ")</f>
        <v/>
      </c>
      <c r="D10" s="2">
        <f>COUNTIF('Anh xa'!E2:E725,A10)</f>
        <v/>
      </c>
    </row>
    <row r="11">
      <c r="A11" s="2" t="inlineStr">
        <is>
          <t>Quy tắc trình bày</t>
        </is>
      </c>
      <c r="B11" s="2">
        <f>COUNTIF('Yeu cau'!B2:B283,A11)</f>
        <v/>
      </c>
      <c r="C11" s="2">
        <f>COUNTIFS('Yeu cau'!B2:B283,A11,'Yeu cau'!F2:F283,"Đã phủ")</f>
        <v/>
      </c>
      <c r="D11" s="2">
        <f>COUNTIF('Anh xa'!E2:E725,A11)</f>
        <v/>
      </c>
    </row>
    <row r="12">
      <c r="A12" s="2" t="inlineStr">
        <is>
          <t>Đồng bộ khi người sửa</t>
        </is>
      </c>
      <c r="B12" s="2">
        <f>COUNTIF('Yeu cau'!B2:B283,A12)</f>
        <v/>
      </c>
      <c r="C12" s="2">
        <f>COUNTIFS('Yeu cau'!B2:B283,A12,'Yeu cau'!F2:F283,"Đã phủ")</f>
        <v/>
      </c>
      <c r="D12" s="2">
        <f>COUNTIF('Anh xa'!E2:E725,A12)</f>
        <v/>
      </c>
    </row>
    <row r="13">
      <c r="A13" s="2" t="inlineStr">
        <is>
          <t>Loại sửa của người</t>
        </is>
      </c>
      <c r="B13" s="2">
        <f>COUNTIF('Yeu cau'!B2:B283,A13)</f>
        <v/>
      </c>
      <c r="C13" s="2">
        <f>COUNTIFS('Yeu cau'!B2:B283,A13,'Yeu cau'!F2:F283,"Đã phủ")</f>
        <v/>
      </c>
      <c r="D13" s="2">
        <f>COUNTIF('Anh xa'!E2:E725,A13)</f>
        <v/>
      </c>
    </row>
    <row r="14">
      <c r="A14" s="2" t="inlineStr">
        <is>
          <t>Changeset &amp; rollback</t>
        </is>
      </c>
      <c r="B14" s="2">
        <f>COUNTIF('Yeu cau'!B2:B283,A14)</f>
        <v/>
      </c>
      <c r="C14" s="2">
        <f>COUNTIFS('Yeu cau'!B2:B283,A14,'Yeu cau'!F2:F283,"Đã phủ")</f>
        <v/>
      </c>
      <c r="D14" s="2">
        <f>COUNTIF('Anh xa'!E2:E725,A14)</f>
        <v/>
      </c>
    </row>
    <row r="15">
      <c r="A15" s="2" t="inlineStr">
        <is>
          <t>Snapshot</t>
        </is>
      </c>
      <c r="B15" s="2">
        <f>COUNTIF('Yeu cau'!B2:B283,A15)</f>
        <v/>
      </c>
      <c r="C15" s="2">
        <f>COUNTIFS('Yeu cau'!B2:B283,A15,'Yeu cau'!F2:F283,"Đã phủ")</f>
        <v/>
      </c>
      <c r="D15" s="2">
        <f>COUNTIF('Anh xa'!E2:E725,A15)</f>
        <v/>
      </c>
    </row>
    <row r="16">
      <c r="A16" s="2" t="inlineStr">
        <is>
          <t>Tầng dữ liệu</t>
        </is>
      </c>
      <c r="B16" s="2">
        <f>COUNTIF('Yeu cau'!B2:B283,A16)</f>
        <v/>
      </c>
      <c r="C16" s="2">
        <f>COUNTIFS('Yeu cau'!B2:B283,A16,'Yeu cau'!F2:F283,"Đã phủ")</f>
        <v/>
      </c>
      <c r="D16" s="2">
        <f>COUNTIF('Anh xa'!E2:E725,A16)</f>
        <v/>
      </c>
    </row>
    <row r="17">
      <c r="A17" s="2" t="inlineStr">
        <is>
          <t>Luồng datasheet</t>
        </is>
      </c>
      <c r="B17" s="2">
        <f>COUNTIF('Yeu cau'!B2:B283,A17)</f>
        <v/>
      </c>
      <c r="C17" s="2">
        <f>COUNTIFS('Yeu cau'!B2:B283,A17,'Yeu cau'!F2:F283,"Đã phủ")</f>
        <v/>
      </c>
      <c r="D17" s="2">
        <f>COUNTIF('Anh xa'!E2:E725,A17)</f>
        <v/>
      </c>
    </row>
    <row r="18">
      <c r="A18" s="2" t="inlineStr">
        <is>
          <t>Bố cục</t>
        </is>
      </c>
      <c r="B18" s="2">
        <f>COUNTIF('Yeu cau'!B2:B283,A18)</f>
        <v/>
      </c>
      <c r="C18" s="2">
        <f>COUNTIFS('Yeu cau'!B2:B283,A18,'Yeu cau'!F2:F283,"Đã phủ")</f>
        <v/>
      </c>
      <c r="D18" s="2">
        <f>COUNTIF('Anh xa'!E2:E725,A18)</f>
        <v/>
      </c>
    </row>
    <row r="19">
      <c r="A19" s="2" t="inlineStr">
        <is>
          <t>Ngữ cảnh tác tử</t>
        </is>
      </c>
      <c r="B19" s="2">
        <f>COUNTIF('Yeu cau'!B2:B283,A19)</f>
        <v/>
      </c>
      <c r="C19" s="2">
        <f>COUNTIFS('Yeu cau'!B2:B283,A19,'Yeu cau'!F2:F283,"Đã phủ")</f>
        <v/>
      </c>
      <c r="D19" s="2">
        <f>COUNTIF('Anh xa'!E2:E725,A19)</f>
        <v/>
      </c>
    </row>
    <row r="20">
      <c r="A20" s="2" t="inlineStr">
        <is>
          <t>Bộ nhớ người dùng</t>
        </is>
      </c>
      <c r="B20" s="2">
        <f>COUNTIF('Yeu cau'!B2:B283,A20)</f>
        <v/>
      </c>
      <c r="C20" s="2">
        <f>COUNTIFS('Yeu cau'!B2:B283,A20,'Yeu cau'!F2:F283,"Đã phủ")</f>
        <v/>
      </c>
      <c r="D20" s="2">
        <f>COUNTIF('Anh xa'!E2:E725,A20)</f>
        <v/>
      </c>
    </row>
    <row r="21">
      <c r="A21" s="2" t="inlineStr">
        <is>
          <t>Sự cố (UC19)</t>
        </is>
      </c>
      <c r="B21" s="2">
        <f>COUNTIF('Yeu cau'!B2:B283,A21)</f>
        <v/>
      </c>
      <c r="C21" s="2">
        <f>COUNTIFS('Yeu cau'!B2:B283,A21,'Yeu cau'!F2:F283,"Đã phủ")</f>
        <v/>
      </c>
      <c r="D21" s="2">
        <f>COUNTIF('Anh xa'!E2:E725,A21)</f>
        <v/>
      </c>
    </row>
    <row r="22">
      <c r="A22" s="2" t="inlineStr">
        <is>
          <t>Năng lực chuyên môn</t>
        </is>
      </c>
      <c r="B22" s="2">
        <f>COUNTIF('Yeu cau'!B2:B283,A22)</f>
        <v/>
      </c>
      <c r="C22" s="2">
        <f>COUNTIFS('Yeu cau'!B2:B283,A22,'Yeu cau'!F2:F283,"Đã phủ")</f>
        <v/>
      </c>
      <c r="D22" s="2">
        <f>COUNTIF('Anh xa'!E2:E725,A22)</f>
        <v/>
      </c>
    </row>
    <row r="23">
      <c r="A23" s="2" t="inlineStr">
        <is>
          <t>Bộ nhớ &amp; nén (MEM-42)</t>
        </is>
      </c>
      <c r="B23" s="2">
        <f>COUNTIF('Yeu cau'!B2:B283,A23)</f>
        <v/>
      </c>
      <c r="C23" s="2">
        <f>COUNTIFS('Yeu cau'!B2:B283,A23,'Yeu cau'!F2:F283,"Đã phủ")</f>
        <v/>
      </c>
      <c r="D23" s="2">
        <f>COUNTIF('Anh xa'!E2:E725,A23)</f>
        <v/>
      </c>
    </row>
    <row r="24">
      <c r="A24" s="2" t="inlineStr">
        <is>
          <t>Nạp &amp; trích xuất (ING-43)</t>
        </is>
      </c>
      <c r="B24" s="2">
        <f>COUNTIF('Yeu cau'!B2:B283,A24)</f>
        <v/>
      </c>
      <c r="C24" s="2">
        <f>COUNTIFS('Yeu cau'!B2:B283,A24,'Yeu cau'!F2:F283,"Đã phủ")</f>
        <v/>
      </c>
      <c r="D24" s="2">
        <f>COUNTIF('Anh xa'!E2:E725,A24)</f>
        <v/>
      </c>
    </row>
    <row r="25">
      <c r="A25" s="2" t="inlineStr">
        <is>
          <t>Sơ đồ KiCad (SCH-44)</t>
        </is>
      </c>
      <c r="B25" s="2">
        <f>COUNTIF('Yeu cau'!B2:B283,A25)</f>
        <v/>
      </c>
      <c r="C25" s="2">
        <f>COUNTIFS('Yeu cau'!B2:B283,A25,'Yeu cau'!F2:F283,"Đã phủ")</f>
        <v/>
      </c>
      <c r="D25" s="2">
        <f>COUNTIF('Anh xa'!E2:E725,A25)</f>
        <v/>
      </c>
    </row>
    <row r="26">
      <c r="A26" s="2" t="inlineStr">
        <is>
          <t>Cây khối phân cấp (HIER-45)</t>
        </is>
      </c>
      <c r="B26" s="2">
        <f>COUNTIF('Yeu cau'!B2:B283,A26)</f>
        <v/>
      </c>
      <c r="C26" s="2">
        <f>COUNTIFS('Yeu cau'!B2:B283,A26,'Yeu cau'!F2:F283,"Đã phủ")</f>
        <v/>
      </c>
      <c r="D26" s="2">
        <f>COUNTIF('Anh xa'!E2:E725,A26)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2026-09-26T03:39:19Z</dcterms:created>
  <dcterms:modified xmlns:dcterms="http://purl.org/dc/terms/" xmlns:xsi="http://www.w3.org/2001/XMLSchema-instance" xsi:type="dcterms:W3CDTF">2026-09-26T03:39:20Z</dcterms:modified>
</cp:coreProperties>
</file>
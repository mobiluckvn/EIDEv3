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iem tra" sheetId="1" state="visible" r:id="rId3"/>
    <sheet name="Huong dan" sheetId="2" state="visible" r:id="rId4"/>
    <sheet name="Anh xa" sheetId="3" state="visible" r:id="rId5"/>
    <sheet name="Yeu cau" sheetId="4" state="visible" r:id="rId6"/>
    <sheet name="UI 3 cap" sheetId="5" state="visible" r:id="rId7"/>
    <sheet name="REQ -&gt; UI" sheetId="6" state="visible" r:id="rId8"/>
    <sheet name="UI -&gt; REQ" sheetId="7" state="visible" r:id="rId9"/>
    <sheet name="Theo nhom"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<sst xmlns="http://schemas.openxmlformats.org/spreadsheetml/2006/main" count="7757" uniqueCount="1385">
  <si>
    <t xml:space="preserve">Chỉ số</t>
  </si>
  <si>
    <t xml:space="preserve">Giá trị</t>
  </si>
  <si>
    <t xml:space="preserve">Ghi chú</t>
  </si>
  <si>
    <t xml:space="preserve">Tổng số yêu cầu (MDD-40)</t>
  </si>
  <si>
    <t xml:space="preserve">Sheet Yeu cau</t>
  </si>
  <si>
    <t xml:space="preserve">Yêu cầu CHƯA được UI nào phủ</t>
  </si>
  <si>
    <t xml:space="preserve">Phải = 0 (chiều Yêu cầu → UI)</t>
  </si>
  <si>
    <t xml:space="preserve">Tổng số vùng (cấp 1)</t>
  </si>
  <si>
    <t xml:space="preserve">Tổng số khối (cấp 2)</t>
  </si>
  <si>
    <t xml:space="preserve">Tổng số widget/hành động (cấp 3)</t>
  </si>
  <si>
    <t xml:space="preserve">Widget cấp 3 CHƯA ánh xạ yêu cầu</t>
  </si>
  <si>
    <t xml:space="preserve">Phải = 0 (chiều UI → Yêu cầu)</t>
  </si>
  <si>
    <t xml:space="preserve">Khối cấp 2 CHƯA ánh xạ</t>
  </si>
  <si>
    <t xml:space="preserve">Phải = 0</t>
  </si>
  <si>
    <t xml:space="preserve">Vùng cấp 1 CHƯA ánh xạ</t>
  </si>
  <si>
    <t xml:space="preserve">Tổng số cặp ánh xạ</t>
  </si>
  <si>
    <t xml:space="preserve">Cặp có mã yêu cầu không tồn tại</t>
  </si>
  <si>
    <t xml:space="preserve">KẾT LUẬN</t>
  </si>
  <si>
    <t xml:space="preserve">Yêu cầu theo trạng thái hiện thực: Đã làm</t>
  </si>
  <si>
    <t xml:space="preserve">Cột vàng do người điền</t>
  </si>
  <si>
    <t xml:space="preserve">Yêu cầu theo trạng thái hiện thực: Đang làm</t>
  </si>
  <si>
    <t xml:space="preserve">Yêu cầu theo trạng thái hiện thực: Chưa làm</t>
  </si>
  <si>
    <t xml:space="preserve">MA TRẬN ÁNH XẠ HAI CHIỀU — YÊU CẦU (EIDE-MDD-40 v3.0) ↔ GIAO DIỆN (EIDE_v3.0_UI_prototype.html)</t>
  </si>
  <si>
    <t xml:space="preserve">1. Nguồn: cả HTML và Excel này được sinh từ CÙNG một mô hình (ui_model.py). Mã UI trong HTML (bật 'Chế độ truy vết') trùng với cột 'Mã UI' ở đây.</t>
  </si>
  <si>
    <t xml:space="preserve">2. Cấp UI: Cấp 1 = Vùng (A0–A14: thanh trạng thái, Console, 10 tab, thẻ cổng, thiết lập, dự án) · Cấp 2 = Khối (Ax.y) · Cấp 3 = Widget/Hành động (Ax.y.z).</t>
  </si>
  <si>
    <t xml:space="preserve">3. Sheet 'Yeu cau': 198 yêu cầu rút từ MDD-40 (nguyên tắc, bất biến, chặng, UC, HumanAct, UICommand, cổng, hiện vật, lớp giải thích, quy tắc trình bày, đồng bộ khi sửa, changeset, snapshot, tầng, luồng datasheet, bố cục, ngữ cảnh, bộ nhớ, sự cố, năng lực). Cột 'Số UI ánh xạ' là CÔNG THỨC đếm từ sheet 'Anh xa'; = 0 → THIẾU.</t>
  </si>
  <si>
    <t xml:space="preserve">4. Sheet 'UI 3 cap': toàn bộ cây UI. Cột 'Số yêu cầu' là công thức; widget cấp 3 = 0 → THIẾU (khối cấp 2 và vùng cấp 1 được phủ qua widget con hoặc yêu cầu gán trực tiếp).</t>
  </si>
  <si>
    <t xml:space="preserve">5. Sheet 'Anh xa' (dạng dài): mỗi dòng một cặp (UI, yêu cầu). Đây là bảng gốc cho hai chiều; sửa ở đây thì hai sheet kiểm tra tự cập nhật.</t>
  </si>
  <si>
    <t xml:space="preserve">6. Sheet 'REQ -&gt; UI' và 'UI -&gt; REQ': bảng đọc nhanh, mỗi dòng một ID với danh sách ID phía kia (chuỗi do trình sinh ghép) + công thức đếm để đối chiếu.</t>
  </si>
  <si>
    <t xml:space="preserve">7. Sheet 'Kiem tra': tổng hợp; ô 'KẾT LUẬN' phải là ĐẠT (0 yêu cầu chưa phủ, 0 widget chưa ánh xạ).</t>
  </si>
  <si>
    <t xml:space="preserve">8. Chỉ điền cột nền vàng (Ghi chú rà soát, Trạng thái hiện thực) khi dùng để theo dõi hiện thực; các cột khác do trình sinh quản lý.</t>
  </si>
  <si>
    <t xml:space="preserve">Ngày sinh: 25/09/2026 · Nguồn yêu cầu: EIDE-MDD-40 v3.0 · Tác giả: Vũ Trí Công (Đề án ThS Kỹ thuật Điện tử — PTIT, GVHD TS. Nguyễn Trung Hiếu)</t>
  </si>
  <si>
    <t xml:space="preserve">Mã UI</t>
  </si>
  <si>
    <t xml:space="preserve">Tên UI</t>
  </si>
  <si>
    <t xml:space="preserve">Cấp</t>
  </si>
  <si>
    <t xml:space="preserve">Mã yêu cầu</t>
  </si>
  <si>
    <t xml:space="preserve">Nhóm yêu cầu</t>
  </si>
  <si>
    <t xml:space="preserve">Mô tả yêu cầu</t>
  </si>
  <si>
    <t xml:space="preserve">Nguồn §</t>
  </si>
  <si>
    <t xml:space="preserve">Ghi chú rà soát</t>
  </si>
  <si>
    <t xml:space="preserve">A0.1</t>
  </si>
  <si>
    <t xml:space="preserve">Trạng thái dự án</t>
  </si>
  <si>
    <t xml:space="preserve">LY-statusbar</t>
  </si>
  <si>
    <t xml:space="preserve">Bố cục</t>
  </si>
  <si>
    <t xml:space="preserve">Thanh trạng thái: dự án, nhánh, chip, Fact theo tầng, chặng, snapshot + khoảng cách, STALE</t>
  </si>
  <si>
    <t xml:space="preserve">MDD-40 E7</t>
  </si>
  <si>
    <t xml:space="preserve">N3</t>
  </si>
  <si>
    <t xml:space="preserve">Nguyên tắc</t>
  </si>
  <si>
    <t xml:space="preserve">Kiểm kê xác định — tình trạng dự án do mã dựng, hiển thị cho người</t>
  </si>
  <si>
    <t xml:space="preserve">MDD-40 A3</t>
  </si>
  <si>
    <t xml:space="preserve">A0.1.1</t>
  </si>
  <si>
    <t xml:space="preserve">Tên dự án + nhánh hiện tại</t>
  </si>
  <si>
    <t xml:space="preserve">CS-branch</t>
  </si>
  <si>
    <t xml:space="preserve">Changeset &amp; rollback</t>
  </si>
  <si>
    <t xml:space="preserve">Rẽ nhánh phương án; so sánh; gộp</t>
  </si>
  <si>
    <t xml:space="preserve">MDD-40 E5</t>
  </si>
  <si>
    <t xml:space="preserve">UC17</t>
  </si>
  <si>
    <t xml:space="preserve">Usecase</t>
  </si>
  <si>
    <t xml:space="preserve">Quản lý phiên/dự án</t>
  </si>
  <si>
    <t xml:space="preserve">Excel 76 TC</t>
  </si>
  <si>
    <t xml:space="preserve">A0.1.2</t>
  </si>
  <si>
    <t xml:space="preserve">Chip đã ghim (ns.part@semver) + ISA</t>
  </si>
  <si>
    <t xml:space="preserve">AR05</t>
  </si>
  <si>
    <t xml:space="preserve">Hiện vật (E2)</t>
  </si>
  <si>
    <t xml:space="preserve">Hộ chiếu chip</t>
  </si>
  <si>
    <t xml:space="preserve">MDD-40 E2</t>
  </si>
  <si>
    <t xml:space="preserve">DS6</t>
  </si>
  <si>
    <t xml:space="preserve">Luồng datasheet</t>
  </si>
  <si>
    <t xml:space="preserve">Ghim hộ chiếu; đối chiếu ISA</t>
  </si>
  <si>
    <t xml:space="preserve">MDD-40 C3</t>
  </si>
  <si>
    <t xml:space="preserve">A0.1.3</t>
  </si>
  <si>
    <t xml:space="preserve">Fact theo tầng (VÀNG/BẠC/NGƯỜI/ĐỒNG)</t>
  </si>
  <si>
    <t xml:space="preserve">T-VANG</t>
  </si>
  <si>
    <t xml:space="preserve">Tầng dữ liệu</t>
  </si>
  <si>
    <t xml:space="preserve">Tầng VÀNG — nền vàng, khoá, mở trang nguồn</t>
  </si>
  <si>
    <t xml:space="preserve">MDD-40 C1</t>
  </si>
  <si>
    <t xml:space="preserve">T-BAC</t>
  </si>
  <si>
    <t xml:space="preserve">Tầng BẠC — nền xám, nút Xác nhận</t>
  </si>
  <si>
    <t xml:space="preserve">T-NGUOI</t>
  </si>
  <si>
    <t xml:space="preserve">Tầng NGƯỜI — 'anh cho, chưa có tài liệu', nút Tìm tài liệu</t>
  </si>
  <si>
    <t xml:space="preserve">T-DONG</t>
  </si>
  <si>
    <t xml:space="preserve">Tầng ĐỒNG — nghiêng, 'chưa kiểm chứng'</t>
  </si>
  <si>
    <t xml:space="preserve">N2</t>
  </si>
  <si>
    <t xml:space="preserve">Bốn tầng tin cậy VÀNG/BẠC/NGƯỜI/ĐỒNG; ĐỒNG không là vế so sánh</t>
  </si>
  <si>
    <t xml:space="preserve">A0.1.4</t>
  </si>
  <si>
    <t xml:space="preserve">Chặng hiện tại C1–C7</t>
  </si>
  <si>
    <t xml:space="preserve">C1</t>
  </si>
  <si>
    <t xml:space="preserve">Chặng</t>
  </si>
  <si>
    <t xml:space="preserve">Làm rõ ý tưởng &amp; đề xuất giải pháp</t>
  </si>
  <si>
    <t xml:space="preserve">MDD-40 A4</t>
  </si>
  <si>
    <t xml:space="preserve">C2</t>
  </si>
  <si>
    <t xml:space="preserve">Tài liệu &amp; Bản đồ tri thức mạch</t>
  </si>
  <si>
    <t xml:space="preserve">C3</t>
  </si>
  <si>
    <t xml:space="preserve">Môi trường công cụ</t>
  </si>
  <si>
    <t xml:space="preserve">C4</t>
  </si>
  <si>
    <t xml:space="preserve">Firmware</t>
  </si>
  <si>
    <t xml:space="preserve">C5</t>
  </si>
  <si>
    <t xml:space="preserve">Mô phỏng</t>
  </si>
  <si>
    <t xml:space="preserve">C6</t>
  </si>
  <si>
    <t xml:space="preserve">Mạch thật</t>
  </si>
  <si>
    <t xml:space="preserve">C7</t>
  </si>
  <si>
    <t xml:space="preserve">Xuyên suốt (lịch sử, snapshot, sổ cái, tài liệu, báo cáo)</t>
  </si>
  <si>
    <t xml:space="preserve">CX-inventory</t>
  </si>
  <si>
    <t xml:space="preserve">Ngữ cảnh tác tử</t>
  </si>
  <si>
    <t xml:space="preserve">&lt;inventory&gt; hiển thị cho người</t>
  </si>
  <si>
    <t xml:space="preserve">MDD-40 B2/B5</t>
  </si>
  <si>
    <t xml:space="preserve">A0.1.5</t>
  </si>
  <si>
    <t xml:space="preserve">Snapshot gần nhất + khoảng cách (changeset)</t>
  </si>
  <si>
    <t xml:space="preserve">SN-resume-info</t>
  </si>
  <si>
    <t xml:space="preserve">Snapshot</t>
  </si>
  <si>
    <t xml:space="preserve">Mở lại dự án nêu snapshot gần nhất + khoảng cách</t>
  </si>
  <si>
    <t xml:space="preserve">MDD-40 E6</t>
  </si>
  <si>
    <t xml:space="preserve">A0.1.6</t>
  </si>
  <si>
    <t xml:space="preserve">Số hiện vật STALE (bấm → Lịch sử)</t>
  </si>
  <si>
    <t xml:space="preserve">CS-stale</t>
  </si>
  <si>
    <t xml:space="preserve">Đồ thị phụ thuộc + STALE + chấp nhận STALE</t>
  </si>
  <si>
    <t xml:space="preserve">PR3</t>
  </si>
  <si>
    <t xml:space="preserve">Quy tắc trình bày</t>
  </si>
  <si>
    <t xml:space="preserve">Luôn nói khác biệt; băng STALE</t>
  </si>
  <si>
    <t xml:space="preserve">MDD-40 E3.2</t>
  </si>
  <si>
    <t xml:space="preserve">A0.1.7</t>
  </si>
  <si>
    <t xml:space="preserve">Mức tự chủ hiện tại (A0–A4) + mô hình</t>
  </si>
  <si>
    <t xml:space="preserve">MM-autonomy</t>
  </si>
  <si>
    <t xml:space="preserve">Bộ nhớ người dùng</t>
  </si>
  <si>
    <t xml:space="preserve">Mức tự chủ A0–A4</t>
  </si>
  <si>
    <t xml:space="preserve">MDD-40 B6/E3.4</t>
  </si>
  <si>
    <t xml:space="preserve">MM-model</t>
  </si>
  <si>
    <t xml:space="preserve">Chọn mô hình theo vai trò</t>
  </si>
  <si>
    <t xml:space="preserve">A0.1.8</t>
  </si>
  <si>
    <t xml:space="preserve">Ngân sách lượt: tool/40 · giây/300 · ngữ cảnh %</t>
  </si>
  <si>
    <t xml:space="preserve">CX-budget</t>
  </si>
  <si>
    <t xml:space="preserve">Ngân sách: tool/lượt, thời gian, ngữ cảnh</t>
  </si>
  <si>
    <t xml:space="preserve">IN-timeout</t>
  </si>
  <si>
    <t xml:space="preserve">Sự cố (UC19)</t>
  </si>
  <si>
    <t xml:space="preserve">Quá 300 s: thả người, nói thật</t>
  </si>
  <si>
    <t xml:space="preserve">MDD-40 B1/UC19</t>
  </si>
  <si>
    <t xml:space="preserve">A0.1.9</t>
  </si>
  <si>
    <t xml:space="preserve">Trạng thái kết nối lõi/mạng</t>
  </si>
  <si>
    <t xml:space="preserve">IN-network</t>
  </si>
  <si>
    <t xml:space="preserve">Mất mạng: báo đúng lỗi mạng, lưu trạng thái</t>
  </si>
  <si>
    <t xml:space="preserve">I5</t>
  </si>
  <si>
    <t xml:space="preserve">Bất biến giao thức</t>
  </si>
  <si>
    <t xml:space="preserve">Có thứ tự, không trùng, khôi phục được (seq/resume)</t>
  </si>
  <si>
    <t xml:space="preserve">MDD-40 D1</t>
  </si>
  <si>
    <t xml:space="preserve">A1.1</t>
  </si>
  <si>
    <t xml:space="preserve">Dòng hội thoại (transcript)</t>
  </si>
  <si>
    <t xml:space="preserve">I2</t>
  </si>
  <si>
    <t xml:space="preserve">Một dòng hội thoại: mọi HumanAct và lời tác tử trong transcript</t>
  </si>
  <si>
    <t xml:space="preserve">UI-console.post</t>
  </si>
  <si>
    <t xml:space="preserve">UICommand</t>
  </si>
  <si>
    <t xml:space="preserve">Đăng lời tác tử + thẻ</t>
  </si>
  <si>
    <t xml:space="preserve">MDD-40 D2</t>
  </si>
  <si>
    <t xml:space="preserve">UI-console.stream</t>
  </si>
  <si>
    <t xml:space="preserve">Stream văn bản</t>
  </si>
  <si>
    <t xml:space="preserve">A1.1.1</t>
  </si>
  <si>
    <t xml:space="preserve">Dòng [Tác tử] (stream, markdown, liên kết mở tab)</t>
  </si>
  <si>
    <t xml:space="preserve">PR2</t>
  </si>
  <si>
    <t xml:space="preserve">Mọi con số là liên kết ra nguồn</t>
  </si>
  <si>
    <t xml:space="preserve">A1.1.2</t>
  </si>
  <si>
    <t xml:space="preserve">Dòng [Bạn] cho MỌI HumanAct (kể cả thao tác trên tab)</t>
  </si>
  <si>
    <t xml:space="preserve">I1</t>
  </si>
  <si>
    <t xml:space="preserve">Một cửa vào: console.act / HumanAct</t>
  </si>
  <si>
    <t xml:space="preserve">ED2</t>
  </si>
  <si>
    <t xml:space="preserve">Đồng bộ khi người sửa</t>
  </si>
  <si>
    <t xml:space="preserve">Lưu → HumanAct edit qua Console; dòng '[Bạn] Sửa…'</t>
  </si>
  <si>
    <t xml:space="preserve">MDD-40 E4</t>
  </si>
  <si>
    <t xml:space="preserve">A1.1.3</t>
  </si>
  <si>
    <t xml:space="preserve">Dòng [Hệ thống] sự cố/thông báo</t>
  </si>
  <si>
    <t xml:space="preserve">UI-notice</t>
  </si>
  <si>
    <t xml:space="preserve">Thông báo ngắn</t>
  </si>
  <si>
    <t xml:space="preserve">IN-llm</t>
  </si>
  <si>
    <t xml:space="preserve">LLM lỗi/quá tải: retry rồi báo</t>
  </si>
  <si>
    <t xml:space="preserve">A1.1.4</t>
  </si>
  <si>
    <t xml:space="preserve">Báo cáo lượt (đã làm / bỏ / giả định / hoàn tác tới đâu / chi phí)</t>
  </si>
  <si>
    <t xml:space="preserve">AR21</t>
  </si>
  <si>
    <t xml:space="preserve">Báo cáo lượt</t>
  </si>
  <si>
    <t xml:space="preserve">N4</t>
  </si>
  <si>
    <t xml:space="preserve">Hỏi một cụm, ≤ 2 lần/lượt, nói ra giả định</t>
  </si>
  <si>
    <t xml:space="preserve">A1.1.5</t>
  </si>
  <si>
    <t xml:space="preserve">Phát lại (replay) transcript từ sổ cái</t>
  </si>
  <si>
    <t xml:space="preserve">A1.2</t>
  </si>
  <si>
    <t xml:space="preserve">Ô nhập</t>
  </si>
  <si>
    <t xml:space="preserve">HA-say</t>
  </si>
  <si>
    <t xml:space="preserve">HumanAct</t>
  </si>
  <si>
    <t xml:space="preserve">Gõ tự do</t>
  </si>
  <si>
    <t xml:space="preserve">A1.2.1</t>
  </si>
  <si>
    <t xml:space="preserve">Gõ tự do (say) + Enter gửi</t>
  </si>
  <si>
    <t xml:space="preserve">A1.2.2</t>
  </si>
  <si>
    <t xml:space="preserve">Đính kèm tệp (upload)</t>
  </si>
  <si>
    <t xml:space="preserve">HA-upload</t>
  </si>
  <si>
    <t xml:space="preserve">Kéo thả/chọn tệp</t>
  </si>
  <si>
    <t xml:space="preserve">DS1</t>
  </si>
  <si>
    <t xml:space="preserve">Kích hoạt: nạp tệp hoặc thẻ đề nghị 3 lựa chọn</t>
  </si>
  <si>
    <t xml:space="preserve">A1.2.3</t>
  </si>
  <si>
    <t xml:space="preserve">Lệnh nhanh: /dung /tiep-tuc /hoan-tac /snapshot /nhanh</t>
  </si>
  <si>
    <t xml:space="preserve">HA-stop</t>
  </si>
  <si>
    <t xml:space="preserve">Dừng khẩn</t>
  </si>
  <si>
    <t xml:space="preserve">HA-resume</t>
  </si>
  <si>
    <t xml:space="preserve">Tiếp tục sau sự cố/mở lại</t>
  </si>
  <si>
    <t xml:space="preserve">HA-undo</t>
  </si>
  <si>
    <t xml:space="preserve">Hoàn tác</t>
  </si>
  <si>
    <t xml:space="preserve">HA-snapshot</t>
  </si>
  <si>
    <t xml:space="preserve">Ghi bản ưng ý</t>
  </si>
  <si>
    <t xml:space="preserve">HA-branch</t>
  </si>
  <si>
    <t xml:space="preserve">Rẽ/chuyển/gộp nhánh</t>
  </si>
  <si>
    <t xml:space="preserve">A1.2.4</t>
  </si>
  <si>
    <t xml:space="preserve">Gợi ý điền sẵn từ ngữ cảnh (chip, tệp, run vừa nhắc)</t>
  </si>
  <si>
    <t xml:space="preserve">A1.3</t>
  </si>
  <si>
    <t xml:space="preserve">Thẻ đang chờ (Card)</t>
  </si>
  <si>
    <t xml:space="preserve">HA-choose</t>
  </si>
  <si>
    <t xml:space="preserve">Chọn mục trong thẻ</t>
  </si>
  <si>
    <t xml:space="preserve">UI-card.resolve</t>
  </si>
  <si>
    <t xml:space="preserve">Đóng thẻ</t>
  </si>
  <si>
    <t xml:space="preserve">UI-card.expire</t>
  </si>
  <si>
    <t xml:space="preserve">Thẻ hết hạn</t>
  </si>
  <si>
    <t xml:space="preserve">A1.3.1</t>
  </si>
  <si>
    <t xml:space="preserve">Thẻ làm rõ (clarify) nhiều mục, mục bắt buộc/tuỳ chọn có default</t>
  </si>
  <si>
    <t xml:space="preserve">UC01</t>
  </si>
  <si>
    <t xml:space="preserve">Làm rõ ý tưởng và đề xuất phương án</t>
  </si>
  <si>
    <t xml:space="preserve">A1.3.2</t>
  </si>
  <si>
    <t xml:space="preserve">Thẻ đề nghị (proposal) 3 lựa chọn — ví dụ datasheet chip</t>
  </si>
  <si>
    <t xml:space="preserve">UC02</t>
  </si>
  <si>
    <t xml:space="preserve">Từ phương án đến thiết kế mạch</t>
  </si>
  <si>
    <t xml:space="preserve">A1.3.3</t>
  </si>
  <si>
    <t xml:space="preserve">Thẻ kế hoạch (plan) có checkbox bước + chi phí + giả định</t>
  </si>
  <si>
    <t xml:space="preserve">CX-plan</t>
  </si>
  <si>
    <t xml:space="preserve">Plan mode: kế hoạch có checkbox, duyệt</t>
  </si>
  <si>
    <t xml:space="preserve">G-SCOPE</t>
  </si>
  <si>
    <t xml:space="preserve">Cổng</t>
  </si>
  <si>
    <t xml:space="preserve">Duyệt kế hoạch việc lớn</t>
  </si>
  <si>
    <t xml:space="preserve">MDD-40 B4/E7</t>
  </si>
  <si>
    <t xml:space="preserve">AR12</t>
  </si>
  <si>
    <t xml:space="preserve">Kế hoạch (plan mode)</t>
  </si>
  <si>
    <t xml:space="preserve">A1.3.4</t>
  </si>
  <si>
    <t xml:space="preserve">Thẻ tiêu chí (criteria) form assert</t>
  </si>
  <si>
    <t xml:space="preserve">TL-criteria</t>
  </si>
  <si>
    <t xml:space="preserve">Năng lực chuyên môn</t>
  </si>
  <si>
    <t xml:space="preserve">Tiêu chí mô phỏng nêu trước</t>
  </si>
  <si>
    <t xml:space="preserve">MDD-40 B3/UC</t>
  </si>
  <si>
    <t xml:space="preserve">AR16</t>
  </si>
  <si>
    <t xml:space="preserve">Tiêu chí mô phỏng</t>
  </si>
  <si>
    <t xml:space="preserve">N6</t>
  </si>
  <si>
    <t xml:space="preserve">Không đạt giả — tiêu chí của người; log rỗng ≠ đạt; phần chưa mô phỏng nói rõ</t>
  </si>
  <si>
    <t xml:space="preserve">A1.3.5</t>
  </si>
  <si>
    <t xml:space="preserve">Thẻ báo cáo (report) + Mở tab / Hoàn tác</t>
  </si>
  <si>
    <t xml:space="preserve">CS-undo30s</t>
  </si>
  <si>
    <t xml:space="preserve">Hoàn tác lượt vừa xong trong 30 s không cần thẻ</t>
  </si>
  <si>
    <t xml:space="preserve">A1.3.6</t>
  </si>
  <si>
    <t xml:space="preserve">Thẻ đã đóng/hết hạn (mờ, giữ nội dung)</t>
  </si>
  <si>
    <t xml:space="preserve">A1.4</t>
  </si>
  <si>
    <t xml:space="preserve">Thẻ Run (lượt đang chạy)</t>
  </si>
  <si>
    <t xml:space="preserve">UI-run.update</t>
  </si>
  <si>
    <t xml:space="preserve">Thẻ Run</t>
  </si>
  <si>
    <t xml:space="preserve">LY-runcard</t>
  </si>
  <si>
    <t xml:space="preserve">Thẻ Run: tiến trình, Hoàn tác 30 s, Ghi bản ưng ý</t>
  </si>
  <si>
    <t xml:space="preserve">A1.4.1</t>
  </si>
  <si>
    <t xml:space="preserve">Tiến trình theo bước/tool (đang chạy, xong, bỏ, chờ cổng)</t>
  </si>
  <si>
    <t xml:space="preserve">PR5</t>
  </si>
  <si>
    <t xml:space="preserve">Không giấu thất bại — khối riêng</t>
  </si>
  <si>
    <t xml:space="preserve">A1.4.2</t>
  </si>
  <si>
    <t xml:space="preserve">Subagent đang chạy (tên, tool được phép, trạng thái)</t>
  </si>
  <si>
    <t xml:space="preserve">CX-subagent</t>
  </si>
  <si>
    <t xml:space="preserve">Subagent đang chạy hiển thị trong Run</t>
  </si>
  <si>
    <t xml:space="preserve">A1.4.3</t>
  </si>
  <si>
    <t xml:space="preserve">Nút Dừng khẩn</t>
  </si>
  <si>
    <t xml:space="preserve">N5</t>
  </si>
  <si>
    <t xml:space="preserve">Cổng an toàn đứng trước phép đoán (S0, G-OPS never_auto)</t>
  </si>
  <si>
    <t xml:space="preserve">UC19</t>
  </si>
  <si>
    <t xml:space="preserve">Sự cố của chính tác tử</t>
  </si>
  <si>
    <t xml:space="preserve">A1.4.4</t>
  </si>
  <si>
    <t xml:space="preserve">Nút Hoàn tác lượt (30 s không cần thẻ)</t>
  </si>
  <si>
    <t xml:space="preserve">A1.4.5</t>
  </si>
  <si>
    <t xml:space="preserve">Nút Ghi bản ưng ý</t>
  </si>
  <si>
    <t xml:space="preserve">SN-human</t>
  </si>
  <si>
    <t xml:space="preserve">Người ghi bản ưng ý bất cứ lúc nào</t>
  </si>
  <si>
    <t xml:space="preserve">A1.4.6</t>
  </si>
  <si>
    <t xml:space="preserve">Giả định đang dùng của lượt</t>
  </si>
  <si>
    <t xml:space="preserve">AR20</t>
  </si>
  <si>
    <t xml:space="preserve">Giả định đang dùng</t>
  </si>
  <si>
    <t xml:space="preserve">CX-assumptions</t>
  </si>
  <si>
    <t xml:space="preserve">Giả định đang dùng: xác nhận/bác bỏ</t>
  </si>
  <si>
    <t xml:space="preserve">A1.4.7</t>
  </si>
  <si>
    <t xml:space="preserve">Chi phí token/giây đến hiện tại</t>
  </si>
  <si>
    <t xml:space="preserve">A1.4.8</t>
  </si>
  <si>
    <t xml:space="preserve">Nút Tiếp tục (sau sự cố/dừng)</t>
  </si>
  <si>
    <t xml:space="preserve">IN-resume</t>
  </si>
  <si>
    <t xml:space="preserve">Tiếp tục sau sự cố</t>
  </si>
  <si>
    <t xml:space="preserve">A1.5</t>
  </si>
  <si>
    <t xml:space="preserve">Kích cỡ Console</t>
  </si>
  <si>
    <t xml:space="preserve">LY-console3</t>
  </si>
  <si>
    <t xml:space="preserve">Console 3 cỡ</t>
  </si>
  <si>
    <t xml:space="preserve">A1.5.1</t>
  </si>
  <si>
    <t xml:space="preserve">Chuyển 3 cỡ (hẹp/vừa/rộng)</t>
  </si>
  <si>
    <t xml:space="preserve">HA-set</t>
  </si>
  <si>
    <t xml:space="preserve">Đổi thiết lập</t>
  </si>
  <si>
    <t xml:space="preserve">UI-ui.set</t>
  </si>
  <si>
    <t xml:space="preserve">Thiết lập UI do lõi</t>
  </si>
  <si>
    <t xml:space="preserve">A2.1</t>
  </si>
  <si>
    <t xml:space="preserve">Đặc tả yêu cầu (có phiên bản)</t>
  </si>
  <si>
    <t xml:space="preserve">AR01</t>
  </si>
  <si>
    <t xml:space="preserve">Đặc tả yêu cầu (REQ set)</t>
  </si>
  <si>
    <t xml:space="preserve">N7</t>
  </si>
  <si>
    <t xml:space="preserve">Chỉ thị cho tác tử ≠ yêu cầu sản phẩm; rủi ro tách riêng</t>
  </si>
  <si>
    <t xml:space="preserve">A2.1.1</t>
  </si>
  <si>
    <t xml:space="preserve">Tóm tắt + Vì sao? + Giải thích thêm (lớp giải thích)</t>
  </si>
  <si>
    <t xml:space="preserve">EX-summary</t>
  </si>
  <si>
    <t xml:space="preserve">Lớp giải thích</t>
  </si>
  <si>
    <t xml:space="preserve">Tóm tắt 1 câu</t>
  </si>
  <si>
    <t xml:space="preserve">MDD-40 E3.1</t>
  </si>
  <si>
    <t xml:space="preserve">EX-why</t>
  </si>
  <si>
    <t xml:space="preserve">Vì sao</t>
  </si>
  <si>
    <t xml:space="preserve">EX-why-button</t>
  </si>
  <si>
    <t xml:space="preserve">Nút 'Vì sao?' (0 token)</t>
  </si>
  <si>
    <t xml:space="preserve">MDD-40 E3.3–3.4</t>
  </si>
  <si>
    <t xml:space="preserve">EX-explain-more</t>
  </si>
  <si>
    <t xml:space="preserve">Nút 'Giải thích thêm' → tác tử trả lời</t>
  </si>
  <si>
    <t xml:space="preserve">N8</t>
  </si>
  <si>
    <t xml:space="preserve">Mọi thứ tác tử làm ra có dạng người hiểu được (lớp giải thích 6 trường)</t>
  </si>
  <si>
    <t xml:space="preserve">UI-explain.show</t>
  </si>
  <si>
    <t xml:space="preserve">Hiện lớp giải thích</t>
  </si>
  <si>
    <t xml:space="preserve">A2.1.0</t>
  </si>
  <si>
    <t xml:space="preserve">Khối chuẩn: gập/mở chi tiết; một hành động tiếp theo nổi bật (next)</t>
  </si>
  <si>
    <t xml:space="preserve">PR1</t>
  </si>
  <si>
    <t xml:space="preserve">Tóm tắt trước, chi tiết sau (gập)</t>
  </si>
  <si>
    <t xml:space="preserve">PR4</t>
  </si>
  <si>
    <t xml:space="preserve">Chỉ ra đúng một việc cần người</t>
  </si>
  <si>
    <t xml:space="preserve">EX-next</t>
  </si>
  <si>
    <t xml:space="preserve">Việc tiếp theo</t>
  </si>
  <si>
    <t xml:space="preserve">A2.1.2</t>
  </si>
  <si>
    <t xml:space="preserve">Bảng REQ (FR/NFR/UR): mô tả, tiêu chí đo, cột 'trích lời anh' (source_quote)</t>
  </si>
  <si>
    <t xml:space="preserve">A2.1.3</t>
  </si>
  <si>
    <t xml:space="preserve">Sửa mô tả/tiêu chí inline + ô 'vì sao'</t>
  </si>
  <si>
    <t xml:space="preserve">HA-edit</t>
  </si>
  <si>
    <t xml:space="preserve">Sửa hiện vật rồi lưu</t>
  </si>
  <si>
    <t xml:space="preserve">ED1</t>
  </si>
  <si>
    <t xml:space="preserve">Sửa trên Surface bằng widget đúng loại; cảnh báo soft-lock</t>
  </si>
  <si>
    <t xml:space="preserve">EDK-content</t>
  </si>
  <si>
    <t xml:space="preserve">Loại sửa của người</t>
  </si>
  <si>
    <t xml:space="preserve">Sửa nội dung → STALE + đề nghị</t>
  </si>
  <si>
    <t xml:space="preserve">MDD-40 E4.1</t>
  </si>
  <si>
    <t xml:space="preserve">A2.1.4</t>
  </si>
  <si>
    <t xml:space="preserve">Thêm / xoá REQ</t>
  </si>
  <si>
    <t xml:space="preserve">A2.1.5</t>
  </si>
  <si>
    <t xml:space="preserve">Đánh dấu 'không đúng ý tôi'</t>
  </si>
  <si>
    <t xml:space="preserve">EDK-reject</t>
  </si>
  <si>
    <t xml:space="preserve">Bác bỏ → EIDE.md §Đừng</t>
  </si>
  <si>
    <t xml:space="preserve">HA-confirm</t>
  </si>
  <si>
    <t xml:space="preserve">Xác nhận/từ chối/sửa Fact hoặc nguồn</t>
  </si>
  <si>
    <t xml:space="preserve">A2.1.6</t>
  </si>
  <si>
    <t xml:space="preserve">Chọn phiên bản v1/v2… và diff bằng lời + tô màu</t>
  </si>
  <si>
    <t xml:space="preserve">EX-diff_prev</t>
  </si>
  <si>
    <t xml:space="preserve">Khác bản trước</t>
  </si>
  <si>
    <t xml:space="preserve">A2.1.7</t>
  </si>
  <si>
    <t xml:space="preserve">Băng STALE (hạ nguồn cần cập nhật) + nút Chấp nhận STALE</t>
  </si>
  <si>
    <t xml:space="preserve">ED4</t>
  </si>
  <si>
    <t xml:space="preserve">Changeset author=human; STALE hạ nguồn</t>
  </si>
  <si>
    <t xml:space="preserve">A2.1.8</t>
  </si>
  <si>
    <t xml:space="preserve">Thanh tác giả (người/tác tử) + changeset</t>
  </si>
  <si>
    <t xml:space="preserve">N9</t>
  </si>
  <si>
    <t xml:space="preserve">Mọi thay đổi là changeset hoàn tác được; sửa của người được tác tử biết; snapshot bất biến</t>
  </si>
  <si>
    <t xml:space="preserve">AR22</t>
  </si>
  <si>
    <t xml:space="preserve">Changeset</t>
  </si>
  <si>
    <t xml:space="preserve">LY-tabs</t>
  </si>
  <si>
    <t xml:space="preserve">Tab 1–9 với summary + Vì sao + băng STALE + thanh tác giả</t>
  </si>
  <si>
    <t xml:space="preserve">A2.2</t>
  </si>
  <si>
    <t xml:space="preserve">Rủi ro (tách riêng khỏi FR)</t>
  </si>
  <si>
    <t xml:space="preserve">A2.2.1</t>
  </si>
  <si>
    <t xml:space="preserve">Bảng rủi ro: mô tả, mức, đề xuất, nguồn</t>
  </si>
  <si>
    <t xml:space="preserve">EX-sources</t>
  </si>
  <si>
    <t xml:space="preserve">Nguồn bấm được + tầng</t>
  </si>
  <si>
    <t xml:space="preserve">A2.2.2</t>
  </si>
  <si>
    <t xml:space="preserve">Chấp nhận rủi ro có lý do</t>
  </si>
  <si>
    <t xml:space="preserve">A2.3</t>
  </si>
  <si>
    <t xml:space="preserve">Phương án (2–4) so sánh</t>
  </si>
  <si>
    <t xml:space="preserve">AR02</t>
  </si>
  <si>
    <t xml:space="preserve">Phương án + phương án chọn</t>
  </si>
  <si>
    <t xml:space="preserve">G-DESIGN</t>
  </si>
  <si>
    <t xml:space="preserve">Chốt phương án/thiết kế</t>
  </si>
  <si>
    <t xml:space="preserve">A2.3.1</t>
  </si>
  <si>
    <t xml:space="preserve">Bảng so sánh: kiến trúc, linh kiện, chi phí, độ khó, rủi ro, nguồn; điểm theo ràng buộc</t>
  </si>
  <si>
    <t xml:space="preserve">EX-confidence</t>
  </si>
  <si>
    <t xml:space="preserve">Tin được đến đâu</t>
  </si>
  <si>
    <t xml:space="preserve">A2.3.2</t>
  </si>
  <si>
    <t xml:space="preserve">Số ước lượng (ĐỒNG) tô nghiêng vs số có nguồn</t>
  </si>
  <si>
    <t xml:space="preserve">A2.3.3</t>
  </si>
  <si>
    <t xml:space="preserve">Chọn phương án (→ thẻ G-DESIGN)</t>
  </si>
  <si>
    <t xml:space="preserve">EDK-decision</t>
  </si>
  <si>
    <t xml:space="preserve">Sửa quyết định → ADR mới, hỏi nhánh</t>
  </si>
  <si>
    <t xml:space="preserve">A2.3.4</t>
  </si>
  <si>
    <t xml:space="preserve">Sửa chi phí/độ khó; thêm phương án bằng lời</t>
  </si>
  <si>
    <t xml:space="preserve">A2.3.5</t>
  </si>
  <si>
    <t xml:space="preserve">Rẽ nhánh để thử phương án khác song song</t>
  </si>
  <si>
    <t xml:space="preserve">A2.4</t>
  </si>
  <si>
    <t xml:space="preserve">Quyết định (ADR)</t>
  </si>
  <si>
    <t xml:space="preserve">AR03</t>
  </si>
  <si>
    <t xml:space="preserve">ADR</t>
  </si>
  <si>
    <t xml:space="preserve">A2.4.1</t>
  </si>
  <si>
    <t xml:space="preserve">Thẻ ADR: context, options, choice, consequences, ai quyết</t>
  </si>
  <si>
    <t xml:space="preserve">A2.4.2</t>
  </si>
  <si>
    <t xml:space="preserve">Sửa/ghi đè quyết định (→ ADR mới có human_act_ref)</t>
  </si>
  <si>
    <t xml:space="preserve">A2.5</t>
  </si>
  <si>
    <t xml:space="preserve">Mâu thuẫn &amp; khả thi vật lý</t>
  </si>
  <si>
    <t xml:space="preserve">N1</t>
  </si>
  <si>
    <t xml:space="preserve">Datasheet là nguồn sự thật — mọi con số truy vết tới tài liệu/trang</t>
  </si>
  <si>
    <t xml:space="preserve">A2.5.1</t>
  </si>
  <si>
    <t xml:space="preserve">Khối 'Mâu thuẫn phát hiện' bằng số có nguồn (băng thông, pin…)</t>
  </si>
  <si>
    <t xml:space="preserve">A2.5.2</t>
  </si>
  <si>
    <t xml:space="preserve">Đề xuất nới ràng buộc nào</t>
  </si>
  <si>
    <t xml:space="preserve">A2.6</t>
  </si>
  <si>
    <t xml:space="preserve">Ma trận truy vết</t>
  </si>
  <si>
    <t xml:space="preserve">TL-trace</t>
  </si>
  <si>
    <t xml:space="preserve">Ma trận truy vết yêu cầu↔thiết kế↔mã↔test</t>
  </si>
  <si>
    <t xml:space="preserve">UC16</t>
  </si>
  <si>
    <t xml:space="preserve">Tài liệu &amp; truy vết</t>
  </si>
  <si>
    <t xml:space="preserve">A2.6.1</t>
  </si>
  <si>
    <t xml:space="preserve">REQ ↔ module ↔ mã ↔ test, cột 'đứt ở đâu'</t>
  </si>
  <si>
    <t xml:space="preserve">A3.1</t>
  </si>
  <si>
    <t xml:space="preserve">Nạp tài liệu</t>
  </si>
  <si>
    <t xml:space="preserve">A3.1.1</t>
  </si>
  <si>
    <t xml:space="preserve">Kéo thả / chọn tệp (PDF, zip, ảnh, netlist, mã)</t>
  </si>
  <si>
    <t xml:space="preserve">UC04</t>
  </si>
  <si>
    <t xml:space="preserve">Nhập thiết kế có sẵn → mô phỏng → sửa code</t>
  </si>
  <si>
    <t xml:space="preserve">A3.1.2</t>
  </si>
  <si>
    <t xml:space="preserve">Dán URL nguồn riêng</t>
  </si>
  <si>
    <t xml:space="preserve">DS3</t>
  </si>
  <si>
    <t xml:space="preserve">Duyệt nguồn (G-DATA)</t>
  </si>
  <si>
    <t xml:space="preserve">A3.1.3</t>
  </si>
  <si>
    <t xml:space="preserve">Phân loại tệp theo nội dung + lý do lỗi đúng (Altium không hỗ trợ, tệp hỏng)</t>
  </si>
  <si>
    <t xml:space="preserve">A3.2</t>
  </si>
  <si>
    <t xml:space="preserve">Ứng viên tìm được</t>
  </si>
  <si>
    <t xml:space="preserve">DS2</t>
  </si>
  <si>
    <t xml:space="preserve">Tìm: ứng viên có nguồn/phiên bản/hash</t>
  </si>
  <si>
    <t xml:space="preserve">A3.2.1</t>
  </si>
  <si>
    <t xml:space="preserve">Bảng: tiêu đề, URL, nhà phát hành (nhãn nhà sản xuất/bên thứ ba), phiên bản, kích thước, hash</t>
  </si>
  <si>
    <t xml:space="preserve">MM-trusted</t>
  </si>
  <si>
    <t xml:space="preserve">Danh sách nguồn tin cậy</t>
  </si>
  <si>
    <t xml:space="preserve">A3.2.2</t>
  </si>
  <si>
    <t xml:space="preserve">Duyệt / Từ chối từng nguồn (→ thẻ G-DATA)</t>
  </si>
  <si>
    <t xml:space="preserve">G-DATA</t>
  </si>
  <si>
    <t xml:space="preserve">Duyệt nguồn tài liệu</t>
  </si>
  <si>
    <t xml:space="preserve">A3.2.3</t>
  </si>
  <si>
    <t xml:space="preserve">Không tìm thấy — khối riêng, đề xuất thay thế/xin tệp</t>
  </si>
  <si>
    <t xml:space="preserve">DS7</t>
  </si>
  <si>
    <t xml:space="preserve">Phòng thủ: cảnh báo P-INJ; không tìm thấy nói thẳng</t>
  </si>
  <si>
    <t xml:space="preserve">A3.3</t>
  </si>
  <si>
    <t xml:space="preserve">Trích xuất</t>
  </si>
  <si>
    <t xml:space="preserve">DS4</t>
  </si>
  <si>
    <t xml:space="preserve">Trích xuất: tiến trình, Fact ứng viên</t>
  </si>
  <si>
    <t xml:space="preserve">A3.3.1</t>
  </si>
  <si>
    <t xml:space="preserve">Tiến trình: trang, bảng, OCR (điểm tin cậy), Fact ứng viên</t>
  </si>
  <si>
    <t xml:space="preserve">UI-surface.append</t>
  </si>
  <si>
    <t xml:space="preserve">Nối log/timeline</t>
  </si>
  <si>
    <t xml:space="preserve">A3.3.2</t>
  </si>
  <si>
    <t xml:space="preserve">Cảnh báo đỏ P-INJ (nội dung chứa chỉ dẫn lạ)</t>
  </si>
  <si>
    <t xml:space="preserve">A3.4</t>
  </si>
  <si>
    <t xml:space="preserve">Phiên bản tài liệu</t>
  </si>
  <si>
    <t xml:space="preserve">A3.4.1</t>
  </si>
  <si>
    <t xml:space="preserve">Bảng khác biệt giữa hai phiên bản theo key; chọn bản dùng</t>
  </si>
  <si>
    <t xml:space="preserve">A3.4.2</t>
  </si>
  <si>
    <t xml:space="preserve">Errata áp dụng (supersedes)</t>
  </si>
  <si>
    <t xml:space="preserve">AR04</t>
  </si>
  <si>
    <t xml:space="preserve">Fact</t>
  </si>
  <si>
    <t xml:space="preserve">A3.5</t>
  </si>
  <si>
    <t xml:space="preserve">Hỏi đáp tài liệu</t>
  </si>
  <si>
    <t xml:space="preserve">UC07</t>
  </si>
  <si>
    <t xml:space="preserve">Hỏi đáp datasheet có trích trang</t>
  </si>
  <si>
    <t xml:space="preserve">A3.5.1</t>
  </si>
  <si>
    <t xml:space="preserve">Hỏi → trả lời kèm trang/mục/phiên bản; 'không có trong tài liệu' tách rõ tri thức chung</t>
  </si>
  <si>
    <t xml:space="preserve">A4.1</t>
  </si>
  <si>
    <t xml:space="preserve">A4.1.1</t>
  </si>
  <si>
    <t xml:space="preserve">kv: họ, ISA, Flash/RAM, VDD, gói, tài liệu (phiên bản), số Fact theo tầng; ISA có toolchain chưa</t>
  </si>
  <si>
    <t xml:space="preserve">TL-inventory</t>
  </si>
  <si>
    <t xml:space="preserve">Kiểm kê toolchain/ISA/simulator/probe</t>
  </si>
  <si>
    <t xml:space="preserve">A4.1.2</t>
  </si>
  <si>
    <t xml:space="preserve">Đổi phiên bản tài liệu dùng; thêm bí danh</t>
  </si>
  <si>
    <t xml:space="preserve">A4.1.3</t>
  </si>
  <si>
    <t xml:space="preserve">Thẻ đề nghị khi chưa có datasheet: Tìm mạng / Nạp tệp / Tri thức chung</t>
  </si>
  <si>
    <t xml:space="preserve">A4.2</t>
  </si>
  <si>
    <t xml:space="preserve">Bảng Fact</t>
  </si>
  <si>
    <t xml:space="preserve">A4.2.1</t>
  </si>
  <si>
    <t xml:space="preserve">Cột: khoá, giá trị, đơn vị, điều kiện, Tầng (màu), Nguồn (mở trang PDF đúng bbox)</t>
  </si>
  <si>
    <t xml:space="preserve">A4.2.2</t>
  </si>
  <si>
    <t xml:space="preserve">Xác nhận (BẠC→VÀNG) hàng loạt / từng dòng</t>
  </si>
  <si>
    <t xml:space="preserve">DS5</t>
  </si>
  <si>
    <t xml:space="preserve">Rà soát Fact: xác nhận hàng loạt/từng dòng</t>
  </si>
  <si>
    <t xml:space="preserve">A4.2.3</t>
  </si>
  <si>
    <t xml:space="preserve">Từ chối / sửa giá trị (→ NGƯỜI nếu không kèm tài liệu)</t>
  </si>
  <si>
    <t xml:space="preserve">ED3</t>
  </si>
  <si>
    <t xml:space="preserve">Kiểm lược đồ + 3-way merge; xung đột → thẻ hai bản</t>
  </si>
  <si>
    <t xml:space="preserve">A4.2.4</t>
  </si>
  <si>
    <t xml:space="preserve">Nút 'Tìm tài liệu chứng thực' trên Fact NGƯỜI</t>
  </si>
  <si>
    <t xml:space="preserve">A4.2.5</t>
  </si>
  <si>
    <t xml:space="preserve">Hàng đợi rà soát Fact ứng viên + trích đoạn gốc bên cạnh</t>
  </si>
  <si>
    <t xml:space="preserve">A4.3</t>
  </si>
  <si>
    <t xml:space="preserve">Đồ thị tri thức mạch</t>
  </si>
  <si>
    <t xml:space="preserve">AR06</t>
  </si>
  <si>
    <t xml:space="preserve">Bản đồ tri thức mạch (KG)</t>
  </si>
  <si>
    <t xml:space="preserve">A4.3.1</t>
  </si>
  <si>
    <t xml:space="preserve">Đồ thị tương tác: chip, chân, net, bus, nguồn; chọn nút → panel Fact + nguồn</t>
  </si>
  <si>
    <t xml:space="preserve">HA-attend</t>
  </si>
  <si>
    <t xml:space="preserve">Chuyển tab/chọn hiện vật</t>
  </si>
  <si>
    <t xml:space="preserve">UI-surface.focus</t>
  </si>
  <si>
    <t xml:space="preserve">Đưa mắt tới vị trí</t>
  </si>
  <si>
    <t xml:space="preserve">A4.3.2</t>
  </si>
  <si>
    <t xml:space="preserve">Lọc theo bus/nguồn; chỗ 'đứt' (chưa có Fact) tô đỏ</t>
  </si>
  <si>
    <t xml:space="preserve">A4.3.3</t>
  </si>
  <si>
    <t xml:space="preserve">Kéo nối net–chân → sinh đề xuất sửa netlist (không sửa KG trực tiếp)</t>
  </si>
  <si>
    <t xml:space="preserve">AR09</t>
  </si>
  <si>
    <t xml:space="preserve">Schematic/netlist</t>
  </si>
  <si>
    <t xml:space="preserve">A4.4</t>
  </si>
  <si>
    <t xml:space="preserve">Kết quả so sánh (fact.compare)</t>
  </si>
  <si>
    <t xml:space="preserve">UC06</t>
  </si>
  <si>
    <t xml:space="preserve">Rà soát thiết kế</t>
  </si>
  <si>
    <t xml:space="preserve">A4.4.1</t>
  </si>
  <si>
    <t xml:space="preserve">Bảng: luật, vế A, vế B, kết luận, mức, hai trích dẫn; nhãn CHƯA KIỂM CHỨNG nếu có vế ĐỒNG</t>
  </si>
  <si>
    <t xml:space="preserve">A4.5</t>
  </si>
  <si>
    <t xml:space="preserve">Thay thế linh kiện</t>
  </si>
  <si>
    <t xml:space="preserve">UC08</t>
  </si>
  <si>
    <t xml:space="preserve">TL-replace</t>
  </si>
  <si>
    <t xml:space="preserve">Thay thế linh kiện có phân tích ảnh hưởng</t>
  </si>
  <si>
    <t xml:space="preserve">A4.5.1</t>
  </si>
  <si>
    <t xml:space="preserve">Danh sách thay thế xếp hạng: pin-to-pin/cần sửa mạch, khác biệt thông số, vòng đời (nếu có nguồn), ảnh hưởng</t>
  </si>
  <si>
    <t xml:space="preserve">A5.1</t>
  </si>
  <si>
    <t xml:space="preserve">Sơ đồ khối</t>
  </si>
  <si>
    <t xml:space="preserve">AR08</t>
  </si>
  <si>
    <t xml:space="preserve">A5.1.1</t>
  </si>
  <si>
    <t xml:space="preserve">Hình + danh sách khối ↔ REQ</t>
  </si>
  <si>
    <t xml:space="preserve">A5.1.2</t>
  </si>
  <si>
    <t xml:space="preserve">Đổi tên/ghép/tách khối (form module_graph); đổi tên = sửa trình bày, không STALE</t>
  </si>
  <si>
    <t xml:space="preserve">EDK-presentation</t>
  </si>
  <si>
    <t xml:space="preserve">Sửa trình bày → không STALE</t>
  </si>
  <si>
    <t xml:space="preserve">A5.2</t>
  </si>
  <si>
    <t xml:space="preserve">Pinout</t>
  </si>
  <si>
    <t xml:space="preserve">AR07</t>
  </si>
  <si>
    <t xml:space="preserve">A5.2.1</t>
  </si>
  <si>
    <t xml:space="preserve">Bảng chân: chức năng, AF, net, xung đột; hình chip</t>
  </si>
  <si>
    <t xml:space="preserve">A5.2.2</t>
  </si>
  <si>
    <t xml:space="preserve">Đổi chức năng chân — dropdown chỉ AF có trong Fact</t>
  </si>
  <si>
    <t xml:space="preserve">A5.3</t>
  </si>
  <si>
    <t xml:space="preserve">Schematic / netlist</t>
  </si>
  <si>
    <t xml:space="preserve">A5.3.1</t>
  </si>
  <si>
    <t xml:space="preserve">Netlist viewer + bảng net + hình (nếu có)</t>
  </si>
  <si>
    <t xml:space="preserve">A5.3.2</t>
  </si>
  <si>
    <t xml:space="preserve">Sửa netlist trong editor có kiểm lược đồ / nạp tệp mới</t>
  </si>
  <si>
    <t xml:space="preserve">A5.3.3</t>
  </si>
  <si>
    <t xml:space="preserve">Mã ≠ schematic: chỉ ra từng điểm, hỏi đâu là nguồn đúng</t>
  </si>
  <si>
    <t xml:space="preserve">A5.4</t>
  </si>
  <si>
    <t xml:space="preserve">BOM</t>
  </si>
  <si>
    <t xml:space="preserve">AR10</t>
  </si>
  <si>
    <t xml:space="preserve">A5.4.1</t>
  </si>
  <si>
    <t xml:space="preserve">Bảng: linh kiện, số lượng, datasheet (nút), lý do chọn, tình trạng</t>
  </si>
  <si>
    <t xml:space="preserve">A5.4.2</t>
  </si>
  <si>
    <t xml:space="preserve">Thay linh kiện / sửa số lượng</t>
  </si>
  <si>
    <t xml:space="preserve">A5.5</t>
  </si>
  <si>
    <t xml:space="preserve">Phát hiện ERC / rà soát</t>
  </si>
  <si>
    <t xml:space="preserve">AR11</t>
  </si>
  <si>
    <t xml:space="preserve">Phát hiện ERC/rà soát</t>
  </si>
  <si>
    <t xml:space="preserve">A5.5.1</t>
  </si>
  <si>
    <t xml:space="preserve">Bảng theo mức: bằng chứng (số + nguồn), hậu quả, cách sửa; bấm → tô sáng net/dòng</t>
  </si>
  <si>
    <t xml:space="preserve">UI-surface.highlight</t>
  </si>
  <si>
    <t xml:space="preserve">Tô sáng</t>
  </si>
  <si>
    <t xml:space="preserve">A5.5.2</t>
  </si>
  <si>
    <t xml:space="preserve">'0 phát hiện' nêu checklist đã rà</t>
  </si>
  <si>
    <t xml:space="preserve">A5.5.3</t>
  </si>
  <si>
    <t xml:space="preserve">Chấp nhận rủi ro có lý do / 'không phải lỗi'</t>
  </si>
  <si>
    <t xml:space="preserve">A5.5.4</t>
  </si>
  <si>
    <t xml:space="preserve">Chốt thiết kế (→ thẻ G-DESIGN)</t>
  </si>
  <si>
    <t xml:space="preserve">HA-decide</t>
  </si>
  <si>
    <t xml:space="preserve">Quyết định cổng</t>
  </si>
  <si>
    <t xml:space="preserve">A5.7</t>
  </si>
  <si>
    <t xml:space="preserve">Chuẩn bị sản xuất</t>
  </si>
  <si>
    <t xml:space="preserve">UC15</t>
  </si>
  <si>
    <t xml:space="preserve">Chuẩn bị sản xuất (NGOÀI PHẠM VI)</t>
  </si>
  <si>
    <t xml:space="preserve">A5.7.1</t>
  </si>
  <si>
    <t xml:space="preserve">Nút Gerber/DRC/file gắp đặt hiển thị 'ngoài phạm vi v3' (không giả vờ có)</t>
  </si>
  <si>
    <t xml:space="preserve">A5.6</t>
  </si>
  <si>
    <t xml:space="preserve">Bảo mật &amp; OTA (thiết kế)</t>
  </si>
  <si>
    <t xml:space="preserve">UC14</t>
  </si>
  <si>
    <t xml:space="preserve">Bảo mật &amp; OTA</t>
  </si>
  <si>
    <t xml:space="preserve">TL-ota</t>
  </si>
  <si>
    <t xml:space="preserve">OTA A/B, chữ ký, rollback</t>
  </si>
  <si>
    <t xml:space="preserve">A5.6.1</t>
  </si>
  <si>
    <t xml:space="preserve">Phân vùng A/B, chữ ký, rollback; kịch bản mất điện/gói sai chữ ký</t>
  </si>
  <si>
    <t xml:space="preserve">A6.1</t>
  </si>
  <si>
    <t xml:space="preserve">Kiểm kê công cụ</t>
  </si>
  <si>
    <t xml:space="preserve">A6.1.1</t>
  </si>
  <si>
    <t xml:space="preserve">kv: toolchain theo ISA, phiên bản, mô phỏng, bộ nạp; khớp ISA chip; thiếu manifest nói thẳng</t>
  </si>
  <si>
    <t xml:space="preserve">A6.2</t>
  </si>
  <si>
    <t xml:space="preserve">Cài đặt</t>
  </si>
  <si>
    <t xml:space="preserve">TL-install</t>
  </si>
  <si>
    <t xml:space="preserve">Đề nghị cài (lệnh cụ thể) → G-TOOL</t>
  </si>
  <si>
    <t xml:space="preserve">G-TOOL</t>
  </si>
  <si>
    <t xml:space="preserve">Cài công cụ</t>
  </si>
  <si>
    <t xml:space="preserve">A6.2.1</t>
  </si>
  <si>
    <t xml:space="preserve">Đề nghị cài: lệnh cụ thể theo HĐH, nguồn, kích thước → thẻ G-TOOL</t>
  </si>
  <si>
    <t xml:space="preserve">A6.2.2</t>
  </si>
  <si>
    <t xml:space="preserve">'Tin' gói này lần sau (R0–R2)</t>
  </si>
  <si>
    <t xml:space="preserve">MM-remember</t>
  </si>
  <si>
    <t xml:space="preserve">'Tin' theo tool (R0–R2)</t>
  </si>
  <si>
    <t xml:space="preserve">A6.2.3</t>
  </si>
  <si>
    <t xml:space="preserve">Log cài đặt</t>
  </si>
  <si>
    <t xml:space="preserve">A6.3</t>
  </si>
  <si>
    <t xml:space="preserve">Skill &amp; subagent</t>
  </si>
  <si>
    <t xml:space="preserve">CX-skills</t>
  </si>
  <si>
    <t xml:space="preserve">Skill đang nạp / gợi ý</t>
  </si>
  <si>
    <t xml:space="preserve">A6.3.1</t>
  </si>
  <si>
    <t xml:space="preserve">Skill đang nạp / gợi ý (mở SKILL.md)</t>
  </si>
  <si>
    <t xml:space="preserve">A6.3.2</t>
  </si>
  <si>
    <t xml:space="preserve">Danh sách subagent + tool được phép</t>
  </si>
  <si>
    <t xml:space="preserve">A7.1</t>
  </si>
  <si>
    <t xml:space="preserve">Editor</t>
  </si>
  <si>
    <t xml:space="preserve">AR13</t>
  </si>
  <si>
    <t xml:space="preserve">Mã nguồn</t>
  </si>
  <si>
    <t xml:space="preserve">UC03</t>
  </si>
  <si>
    <t xml:space="preserve">Sinh firmware, biên dịch, mô phỏng</t>
  </si>
  <si>
    <t xml:space="preserve">A7.1.1</t>
  </si>
  <si>
    <t xml:space="preserve">Cây dự án + editor; hằng số gạch chân nguồn (hover → Fact)</t>
  </si>
  <si>
    <t xml:space="preserve">A7.1.2</t>
  </si>
  <si>
    <t xml:space="preserve">Sửa tự do; Lưu = HumanAct edit (luôn tự duyệt)</t>
  </si>
  <si>
    <t xml:space="preserve">A7.1.3</t>
  </si>
  <si>
    <t xml:space="preserve">Thanh soft-lock 'tác tử đang sửa' + cảnh báo lock_broken</t>
  </si>
  <si>
    <t xml:space="preserve">UI-surface.lock</t>
  </si>
  <si>
    <t xml:space="preserve">Soft-lock khối tác tử đang sửa</t>
  </si>
  <si>
    <t xml:space="preserve">UI-surface.unlock</t>
  </si>
  <si>
    <t xml:space="preserve">Bỏ khoá</t>
  </si>
  <si>
    <t xml:space="preserve">EDK-lockbroken</t>
  </si>
  <si>
    <t xml:space="preserve">Sửa tệp đang khoá → merge, không ghi đè</t>
  </si>
  <si>
    <t xml:space="preserve">A7.1.4</t>
  </si>
  <si>
    <t xml:space="preserve">Xung đột → hai bản cạnh nhau, chọn từng đoạn</t>
  </si>
  <si>
    <t xml:space="preserve">G-FILE</t>
  </si>
  <si>
    <t xml:space="preserve">Ghi đè tệp người đã sửa</t>
  </si>
  <si>
    <t xml:space="preserve">A7.2</t>
  </si>
  <si>
    <t xml:space="preserve">Thay đổi của tác tử (diff)</t>
  </si>
  <si>
    <t xml:space="preserve">AR14</t>
  </si>
  <si>
    <t xml:space="preserve">Diff của tác tử</t>
  </si>
  <si>
    <t xml:space="preserve">A7.2.1</t>
  </si>
  <si>
    <t xml:space="preserve">Diff viewer ≤ 200 dòng nguyên văn / tóm tắt; lý do; hằng số mới có nguồn?</t>
  </si>
  <si>
    <t xml:space="preserve">A7.2.2</t>
  </si>
  <si>
    <t xml:space="preserve">Hoàn tác từng diff</t>
  </si>
  <si>
    <t xml:space="preserve">CS-undo1</t>
  </si>
  <si>
    <t xml:space="preserve">Hoàn tác một changeset</t>
  </si>
  <si>
    <t xml:space="preserve">A7.2.3</t>
  </si>
  <si>
    <t xml:space="preserve">Duyệt ghi đè tệp người đã sửa (thẻ G-FILE)</t>
  </si>
  <si>
    <t xml:space="preserve">A7.3</t>
  </si>
  <si>
    <t xml:space="preserve">Kết quả build</t>
  </si>
  <si>
    <t xml:space="preserve">AR15</t>
  </si>
  <si>
    <t xml:space="preserve">TL-build</t>
  </si>
  <si>
    <t xml:space="preserve">Biên dịch; warning giải thích; Flash/RAM vs Fact</t>
  </si>
  <si>
    <t xml:space="preserve">A7.3.1</t>
  </si>
  <si>
    <t xml:space="preserve">kv đạt/không; warning có giải thích; thanh Flash/RAM so với Fact budget</t>
  </si>
  <si>
    <t xml:space="preserve">A7.3.2</t>
  </si>
  <si>
    <t xml:space="preserve">Vòng tự sửa: diff + lỗi cuối sau 3 lần</t>
  </si>
  <si>
    <t xml:space="preserve">A7.4</t>
  </si>
  <si>
    <t xml:space="preserve">Porting &amp; tối ưu</t>
  </si>
  <si>
    <t xml:space="preserve">UC09</t>
  </si>
  <si>
    <t xml:space="preserve">Porting</t>
  </si>
  <si>
    <t xml:space="preserve">UC12</t>
  </si>
  <si>
    <t xml:space="preserve">Tối ưu bộ nhớ/hiệu năng/điện</t>
  </si>
  <si>
    <t xml:space="preserve">A7.4.1</t>
  </si>
  <si>
    <t xml:space="preserve">Bảng ánh xạ ngoại vi cũ→mới; điểm không port được</t>
  </si>
  <si>
    <t xml:space="preserve">TL-port</t>
  </si>
  <si>
    <t xml:space="preserve">Bảng ánh xạ ngoại vi khi porting</t>
  </si>
  <si>
    <t xml:space="preserve">A7.4.2</t>
  </si>
  <si>
    <t xml:space="preserve">Số đo trước/sau tối ưu; hồi quy</t>
  </si>
  <si>
    <t xml:space="preserve">TL-opt</t>
  </si>
  <si>
    <t xml:space="preserve">Tối ưu: số đo trước/sau</t>
  </si>
  <si>
    <t xml:space="preserve">A7.5</t>
  </si>
  <si>
    <t xml:space="preserve">Kiểm thử tự động</t>
  </si>
  <si>
    <t xml:space="preserve">UC11</t>
  </si>
  <si>
    <t xml:space="preserve">Kiểm thử tự động / HIL</t>
  </si>
  <si>
    <t xml:space="preserve">TL-test</t>
  </si>
  <si>
    <t xml:space="preserve">Unit test/HIL: đạt/không, độ phủ</t>
  </si>
  <si>
    <t xml:space="preserve">A7.5.1</t>
  </si>
  <si>
    <t xml:space="preserve">Kết quả unit test/HIL: đạt/không, độ phủ, flaky</t>
  </si>
  <si>
    <t xml:space="preserve">A8.1</t>
  </si>
  <si>
    <t xml:space="preserve">Tiêu chí (nêu trước)</t>
  </si>
  <si>
    <t xml:space="preserve">A8.1.1</t>
  </si>
  <si>
    <t xml:space="preserve">Form assert: loại, ngưỡng (đơn vị), timeout; mỗi assert đo REQ nào; ngưỡng từ đâu</t>
  </si>
  <si>
    <t xml:space="preserve">A8.1.2</t>
  </si>
  <si>
    <t xml:space="preserve">Xác nhận tiêu chí (choose)</t>
  </si>
  <si>
    <t xml:space="preserve">A8.1.3</t>
  </si>
  <si>
    <t xml:space="preserve">Sửa ngưỡng sau khi có kết quả → thẻ G-QUAL (từ–đến–vì sao)</t>
  </si>
  <si>
    <t xml:space="preserve">G-QUAL</t>
  </si>
  <si>
    <t xml:space="preserve">Đổi tiêu chí/test</t>
  </si>
  <si>
    <t xml:space="preserve">A8.2</t>
  </si>
  <si>
    <t xml:space="preserve">Kết quả mô phỏng</t>
  </si>
  <si>
    <t xml:space="preserve">AR17</t>
  </si>
  <si>
    <t xml:space="preserve">TL-simrun</t>
  </si>
  <si>
    <t xml:space="preserve">Chạy mô phỏng: log/VCD/verdict/không mô phỏng được</t>
  </si>
  <si>
    <t xml:space="preserve">A8.2.1</t>
  </si>
  <si>
    <t xml:space="preserve">Verdict theo từng assert + bằng chứng (dòng log/thời điểm VCD)</t>
  </si>
  <si>
    <t xml:space="preserve">A8.2.2</t>
  </si>
  <si>
    <t xml:space="preserve">Log có dấu thời gian (follow)</t>
  </si>
  <si>
    <t xml:space="preserve">A8.2.3</t>
  </si>
  <si>
    <t xml:space="preserve">VCD viewer / ảnh</t>
  </si>
  <si>
    <t xml:space="preserve">A8.2.4</t>
  </si>
  <si>
    <t xml:space="preserve">Khối 'KHÔNG mô phỏng được' + đề xuất mock/HIL</t>
  </si>
  <si>
    <t xml:space="preserve">A8.2.5</t>
  </si>
  <si>
    <t xml:space="preserve">Timeout/treo: vị trí vòng chờ</t>
  </si>
  <si>
    <t xml:space="preserve">A8.2.6</t>
  </si>
  <si>
    <t xml:space="preserve">Log rỗng → 'không kết luận được'</t>
  </si>
  <si>
    <t xml:space="preserve">A8.2.7</t>
  </si>
  <si>
    <t xml:space="preserve">Chạy lại / Dừng</t>
  </si>
  <si>
    <t xml:space="preserve">A8.2.8</t>
  </si>
  <si>
    <t xml:space="preserve">Đề xuất snapshot sau khi đạt (thẻ G-SNAP)</t>
  </si>
  <si>
    <t xml:space="preserve">SN-propose</t>
  </si>
  <si>
    <t xml:space="preserve">Tác tử đề xuất sau mốc (G-SNAP)</t>
  </si>
  <si>
    <t xml:space="preserve">G-SNAP</t>
  </si>
  <si>
    <t xml:space="preserve">Tác tử đề xuất snapshot</t>
  </si>
  <si>
    <t xml:space="preserve">A9.1</t>
  </si>
  <si>
    <t xml:space="preserve">Dò board</t>
  </si>
  <si>
    <t xml:space="preserve">AR19</t>
  </si>
  <si>
    <t xml:space="preserve">Dò board/nạp/verify</t>
  </si>
  <si>
    <t xml:space="preserve">TL-detect</t>
  </si>
  <si>
    <t xml:space="preserve">Dò board: cổng, probe, ID chip ↔ hộ chiếu; checklist khi không thấy</t>
  </si>
  <si>
    <t xml:space="preserve">UC05</t>
  </si>
  <si>
    <t xml:space="preserve">Nạp mạch thật và gỡ lỗi</t>
  </si>
  <si>
    <t xml:space="preserve">A9.1.1</t>
  </si>
  <si>
    <t xml:space="preserve">kv: cổng, probe, ID chip đọc được ↔ hộ chiếu (khớp/không)</t>
  </si>
  <si>
    <t xml:space="preserve">A9.1.2</t>
  </si>
  <si>
    <t xml:space="preserve">Không thấy: checklist nguồn/cáp/driver/BOOT/NRST + nút Dò lại</t>
  </si>
  <si>
    <t xml:space="preserve">A9.2</t>
  </si>
  <si>
    <t xml:space="preserve">Nạp &amp; verify</t>
  </si>
  <si>
    <t xml:space="preserve">TL-flash</t>
  </si>
  <si>
    <t xml:space="preserve">Nạp: tóm tắt gì→đâu, hash → G-FLASH</t>
  </si>
  <si>
    <t xml:space="preserve">TL-verify</t>
  </si>
  <si>
    <t xml:space="preserve">Verify; rút cáp giữa chừng → hướng khôi phục</t>
  </si>
  <si>
    <t xml:space="preserve">G-FLASH</t>
  </si>
  <si>
    <t xml:space="preserve">Nạp firmware</t>
  </si>
  <si>
    <t xml:space="preserve">A9.2.1</t>
  </si>
  <si>
    <t xml:space="preserve">Tóm tắt 'nạp gì (hash, kích thước) vào đâu' → thẻ G-FLASH</t>
  </si>
  <si>
    <t xml:space="preserve">A9.2.2</t>
  </si>
  <si>
    <t xml:space="preserve">Kết quả verify; rút cáp giữa chừng → trạng thái + hướng khôi phục</t>
  </si>
  <si>
    <t xml:space="preserve">A9.2.3</t>
  </si>
  <si>
    <t xml:space="preserve">Cảnh báo 'không hoàn tác được' + đề nghị snapshot trước</t>
  </si>
  <si>
    <t xml:space="preserve">CS-irreversible</t>
  </si>
  <si>
    <t xml:space="preserve">Hành động không hoàn tác được — cảnh báo, đề nghị snapshot</t>
  </si>
  <si>
    <t xml:space="preserve">A9.2.4</t>
  </si>
  <si>
    <t xml:space="preserve">Bo đang chạy bản ≠ mã hiện tại (sau hoàn tác)</t>
  </si>
  <si>
    <t xml:space="preserve">A9.3</t>
  </si>
  <si>
    <t xml:space="preserve">Gỡ lỗi</t>
  </si>
  <si>
    <t xml:space="preserve">TL-log</t>
  </si>
  <si>
    <t xml:space="preserve">Log UART/RTT có dấu thời gian</t>
  </si>
  <si>
    <t xml:space="preserve">TL-debug</t>
  </si>
  <si>
    <t xml:space="preserve">Breakpoint, thanh ghi, backtrace</t>
  </si>
  <si>
    <t xml:space="preserve">A9.3.1</t>
  </si>
  <si>
    <t xml:space="preserve">A9.3.2</t>
  </si>
  <si>
    <t xml:space="preserve">Breakpoint, thanh ghi (SVD), backtrace</t>
  </si>
  <si>
    <t xml:space="preserve">A9.3.3</t>
  </si>
  <si>
    <t xml:space="preserve">Giả thuyết HW/SW + phép đo đề xuất</t>
  </si>
  <si>
    <t xml:space="preserve">A9.4</t>
  </si>
  <si>
    <t xml:space="preserve">Phân tích</t>
  </si>
  <si>
    <t xml:space="preserve">AR18</t>
  </si>
  <si>
    <t xml:space="preserve">Phân tích capture/log/HardFault</t>
  </si>
  <si>
    <t xml:space="preserve">UC10</t>
  </si>
  <si>
    <t xml:space="preserve">Phân tích log/crash/capture</t>
  </si>
  <si>
    <t xml:space="preserve">A9.4.1</t>
  </si>
  <si>
    <t xml:space="preserve">Capture đã giải mã (I2C/SPI/UART/CAN) + đối chiếu timing</t>
  </si>
  <si>
    <t xml:space="preserve">TL-capture</t>
  </si>
  <si>
    <t xml:space="preserve">Giải mã capture I2C/SPI/UART/CAN</t>
  </si>
  <si>
    <t xml:space="preserve">A9.4.2</t>
  </si>
  <si>
    <t xml:space="preserve">HardFault: CFSR → loại lỗi, PC → hàm</t>
  </si>
  <si>
    <t xml:space="preserve">TL-hardfault</t>
  </si>
  <si>
    <t xml:space="preserve">Phân tích HardFault CFSR/PC → hàm</t>
  </si>
  <si>
    <t xml:space="preserve">A9.4.3</t>
  </si>
  <si>
    <t xml:space="preserve">Bảng giả thuyết xếp hạng; 'không đủ dữ liệu' + cách thu thập lại</t>
  </si>
  <si>
    <t xml:space="preserve">A9.4.4</t>
  </si>
  <si>
    <t xml:space="preserve">Đánh dấu giả thuyết đã loại; thêm quan sát (→ NGƯỜI)</t>
  </si>
  <si>
    <t xml:space="preserve">A9.5</t>
  </si>
  <si>
    <t xml:space="preserve">Thao tác không đảo ngược</t>
  </si>
  <si>
    <t xml:space="preserve">G-OPS</t>
  </si>
  <si>
    <t xml:space="preserve">Không đảo ngược (RDP/eFuse/erase)</t>
  </si>
  <si>
    <t xml:space="preserve">TL-dangerous</t>
  </si>
  <si>
    <t xml:space="preserve">Erase/option bytes/RDP/eFuse → G-OPS</t>
  </si>
  <si>
    <t xml:space="preserve">A9.5.1</t>
  </si>
  <si>
    <t xml:space="preserve">Erase all / option bytes / RDP / eFuse → thẻ G-OPS riêng (never_auto)</t>
  </si>
  <si>
    <t xml:space="preserve">I6</t>
  </si>
  <si>
    <t xml:space="preserve">Cổng là thẻ riêng — text 'có' không mở cổng</t>
  </si>
  <si>
    <t xml:space="preserve">A9.5.2</t>
  </si>
  <si>
    <t xml:space="preserve">Chặn nếu chưa có snapshot release</t>
  </si>
  <si>
    <t xml:space="preserve">SN-release</t>
  </si>
  <si>
    <t xml:space="preserve">Snapshot release — điều kiện cho RDP/eFuse</t>
  </si>
  <si>
    <t xml:space="preserve">A9.6</t>
  </si>
  <si>
    <t xml:space="preserve">An toàn điện</t>
  </si>
  <si>
    <t xml:space="preserve">G-SAFE</t>
  </si>
  <si>
    <t xml:space="preserve">Điện lưới/nhiệt — cảnh báo đứng đầu</t>
  </si>
  <si>
    <t xml:space="preserve">UC18</t>
  </si>
  <si>
    <t xml:space="preserve">An toàn thao tác &amp; kiểm soát quyền</t>
  </si>
  <si>
    <t xml:space="preserve">A9.6.1</t>
  </si>
  <si>
    <t xml:space="preserve">Băng cảnh báo đứng đầu: NGẮT NGUỒN NGAY; điện lưới: cách ly/creepage</t>
  </si>
  <si>
    <t xml:space="preserve">A9.7</t>
  </si>
  <si>
    <t xml:space="preserve">Tính toán kỹ thuật</t>
  </si>
  <si>
    <t xml:space="preserve">UC13</t>
  </si>
  <si>
    <t xml:space="preserve">TL-calc</t>
  </si>
  <si>
    <t xml:space="preserve">Tính toán bằng mã, tham số có nguồn</t>
  </si>
  <si>
    <t xml:space="preserve">A9.7.1</t>
  </si>
  <si>
    <t xml:space="preserve">Công thức chạy bằng mã, tham số có nguồn/NGƯỜI, đơn vị, biên an toàn; thiếu tham số → hỏi đúng số</t>
  </si>
  <si>
    <t xml:space="preserve">A10.1</t>
  </si>
  <si>
    <t xml:space="preserve">Sổ cái</t>
  </si>
  <si>
    <t xml:space="preserve">A10.1.1</t>
  </si>
  <si>
    <t xml:space="preserve">Timeline: HumanAct, tool_use/result, gate.decision, incident, chi phí</t>
  </si>
  <si>
    <t xml:space="preserve">A10.1.2</t>
  </si>
  <si>
    <t xml:space="preserve">Lọc theo lượt / tác giả / loại</t>
  </si>
  <si>
    <t xml:space="preserve">A10.1.3</t>
  </si>
  <si>
    <t xml:space="preserve">Xuất sổ cái</t>
  </si>
  <si>
    <t xml:space="preserve">A10.2</t>
  </si>
  <si>
    <t xml:space="preserve">Sự cố</t>
  </si>
  <si>
    <t xml:space="preserve">A10.2.1</t>
  </si>
  <si>
    <t xml:space="preserve">Danh sách sự cố: mạng, LLM, timeout, sandbox — trạng thái đã lưu, nút Tiếp tục</t>
  </si>
  <si>
    <t xml:space="preserve">A11.1</t>
  </si>
  <si>
    <t xml:space="preserve">Dòng thời gian changeset</t>
  </si>
  <si>
    <t xml:space="preserve">CS-unit</t>
  </si>
  <si>
    <t xml:space="preserve">Changeset: tác giả, inverse ops, reversible</t>
  </si>
  <si>
    <t xml:space="preserve">LY-history</t>
  </si>
  <si>
    <t xml:space="preserve">Tab 10 Lịch sử</t>
  </si>
  <si>
    <t xml:space="preserve">UI-history.update</t>
  </si>
  <si>
    <t xml:space="preserve">Cập nhật changeset/snapshot/STALE</t>
  </si>
  <si>
    <t xml:space="preserve">A11.1.1</t>
  </si>
  <si>
    <t xml:space="preserve">Mỗi changeset: ai, cái gì, thuộc lượt nào, hoàn tác được không (lý do), STALE kéo theo</t>
  </si>
  <si>
    <t xml:space="preserve">A11.1.2</t>
  </si>
  <si>
    <t xml:space="preserve">Lọc theo tác giả / hiện vật / lượt</t>
  </si>
  <si>
    <t xml:space="preserve">A11.1.3</t>
  </si>
  <si>
    <t xml:space="preserve">Hoàn tác một changeset (cảnh báo chuỗi chạm cùng hiện vật)</t>
  </si>
  <si>
    <t xml:space="preserve">A11.1.4</t>
  </si>
  <si>
    <t xml:space="preserve">Hoàn tác cả lượt (thẻ G-HIST liệt kê sẽ mất gì)</t>
  </si>
  <si>
    <t xml:space="preserve">CS-undo2</t>
  </si>
  <si>
    <t xml:space="preserve">Hoàn tác cả lượt (G-HIST)</t>
  </si>
  <si>
    <t xml:space="preserve">G-HIST</t>
  </si>
  <si>
    <t xml:space="preserve">Hoàn tác lượt / khôi phục snapshot</t>
  </si>
  <si>
    <t xml:space="preserve">A11.1.5</t>
  </si>
  <si>
    <t xml:space="preserve">Đặt snapshot tại changeset này</t>
  </si>
  <si>
    <t xml:space="preserve">A11.1.6</t>
  </si>
  <si>
    <t xml:space="preserve">Xem diff của changeset</t>
  </si>
  <si>
    <t xml:space="preserve">A11.2</t>
  </si>
  <si>
    <t xml:space="preserve">Snapshot (bản ưng ý)</t>
  </si>
  <si>
    <t xml:space="preserve">AR23</t>
  </si>
  <si>
    <t xml:space="preserve">A11.2.1</t>
  </si>
  <si>
    <t xml:space="preserve">Dấu ★: tên, ghi chú, chip, tài liệu, REQ đã đạt, bằng chứng, kind checkpoint/release</t>
  </si>
  <si>
    <t xml:space="preserve">A11.2.2</t>
  </si>
  <si>
    <t xml:space="preserve">Ghi bản ưng ý (đặt tên, ghi chú, chọn gồm gì)</t>
  </si>
  <si>
    <t xml:space="preserve">A11.2.3</t>
  </si>
  <si>
    <t xml:space="preserve">Khôi phục: thẻ G-HIST 'sẽ mất gì', gợi ý snapshot hiện tại, vào nhánh mới</t>
  </si>
  <si>
    <t xml:space="preserve">SN-restore</t>
  </si>
  <si>
    <t xml:space="preserve">Khôi phục: liệt kê sẽ mất gì, vào nhánh mới</t>
  </si>
  <si>
    <t xml:space="preserve">CS-undo3</t>
  </si>
  <si>
    <t xml:space="preserve">Về snapshot (G-HIST)</t>
  </si>
  <si>
    <t xml:space="preserve">A11.2.4</t>
  </si>
  <si>
    <t xml:space="preserve">So sánh hai snapshot: REQ, Fact, mã, Flash/RAM, sim, tài liệu</t>
  </si>
  <si>
    <t xml:space="preserve">SN-compare</t>
  </si>
  <si>
    <t xml:space="preserve">So sánh hai snapshot</t>
  </si>
  <si>
    <t xml:space="preserve">A11.2.5</t>
  </si>
  <si>
    <t xml:space="preserve">Đánh dấu release / Xuất gói</t>
  </si>
  <si>
    <t xml:space="preserve">SN-export</t>
  </si>
  <si>
    <t xml:space="preserve">Xuất gói release</t>
  </si>
  <si>
    <t xml:space="preserve">A11.2.6</t>
  </si>
  <si>
    <t xml:space="preserve">Checkpoint ngầm (ẩn mặc định, bật hiện)</t>
  </si>
  <si>
    <t xml:space="preserve">SN-checkpoint</t>
  </si>
  <si>
    <t xml:space="preserve">Checkpoint ngầm trước run/hoàn tác</t>
  </si>
  <si>
    <t xml:space="preserve">A11.3</t>
  </si>
  <si>
    <t xml:space="preserve">Nhánh</t>
  </si>
  <si>
    <t xml:space="preserve">A11.3.1</t>
  </si>
  <si>
    <t xml:space="preserve">Danh sách nhánh; tạo từ snapshot/changeset; chuyển</t>
  </si>
  <si>
    <t xml:space="preserve">A11.3.2</t>
  </si>
  <si>
    <t xml:space="preserve">Gộp: hiện vật không xung đột tự gộp; còn lại chọn từng cái</t>
  </si>
  <si>
    <t xml:space="preserve">A11.4</t>
  </si>
  <si>
    <t xml:space="preserve">Hiện vật STALE</t>
  </si>
  <si>
    <t xml:space="preserve">A11.4.1</t>
  </si>
  <si>
    <t xml:space="preserve">Danh sách STALE + lý do (changeset) + nút 'Lập kế hoạch cập nhật' / 'Chấp nhận'</t>
  </si>
  <si>
    <t xml:space="preserve">ED6</t>
  </si>
  <si>
    <t xml:space="preserve">Tác tử phản hồi: nhắc, hệ quả, đề nghị; không ghi đè</t>
  </si>
  <si>
    <t xml:space="preserve">A12.1</t>
  </si>
  <si>
    <t xml:space="preserve">Thẻ cổng chung</t>
  </si>
  <si>
    <t xml:space="preserve">LY-gatecards</t>
  </si>
  <si>
    <t xml:space="preserve">Thẻ cổng 11 loại</t>
  </si>
  <si>
    <t xml:space="preserve">A12.1.1</t>
  </si>
  <si>
    <t xml:space="preserve">Tiêu đề + mã cổng + mức rủi ro + hậu quả (consequences cố định từ hợp đồng tool)</t>
  </si>
  <si>
    <t xml:space="preserve">A12.1.2</t>
  </si>
  <si>
    <t xml:space="preserve">Duyệt / Từ chối (decide)</t>
  </si>
  <si>
    <t xml:space="preserve">A12.1.3</t>
  </si>
  <si>
    <t xml:space="preserve">'Tin' (chỉ R0–R2)</t>
  </si>
  <si>
    <t xml:space="preserve">A12.1.4</t>
  </si>
  <si>
    <t xml:space="preserve">Hết hạn (R4: 10 phút) → mờ</t>
  </si>
  <si>
    <t xml:space="preserve">A12.1.5</t>
  </si>
  <si>
    <t xml:space="preserve">Biến thể G-DATA: Danh sách nguồn chọn/từ chối</t>
  </si>
  <si>
    <t xml:space="preserve">A12.1.6</t>
  </si>
  <si>
    <t xml:space="preserve">Biến thể G-DESIGN: Phương án/thiết kế chốt</t>
  </si>
  <si>
    <t xml:space="preserve">A12.1.7</t>
  </si>
  <si>
    <t xml:space="preserve">Biến thể G-SCOPE: Kế hoạch bước + chi phí</t>
  </si>
  <si>
    <t xml:space="preserve">A12.1.8</t>
  </si>
  <si>
    <t xml:space="preserve">Biến thể G-TOOL: Lệnh cài + nguồn</t>
  </si>
  <si>
    <t xml:space="preserve">A12.1.9</t>
  </si>
  <si>
    <t xml:space="preserve">Biến thể G-QUAL: Từ – đến – vì sao (bắt buộc)</t>
  </si>
  <si>
    <t xml:space="preserve">A12.1.10</t>
  </si>
  <si>
    <t xml:space="preserve">Biến thể G-FILE: Diff sẽ ghi đè bản của người</t>
  </si>
  <si>
    <t xml:space="preserve">A12.1.11</t>
  </si>
  <si>
    <t xml:space="preserve">Biến thể G-FLASH: Gì → đâu, hash, có snapshot chưa</t>
  </si>
  <si>
    <t xml:space="preserve">A12.1.12</t>
  </si>
  <si>
    <t xml:space="preserve">Biến thể G-OPS: Hậu quả vĩnh viễn; không auto; cần release</t>
  </si>
  <si>
    <t xml:space="preserve">A12.1.13</t>
  </si>
  <si>
    <t xml:space="preserve">Biến thể G-SAFE: Cảnh báo đứng đầu, không tắt được</t>
  </si>
  <si>
    <t xml:space="preserve">A12.1.14</t>
  </si>
  <si>
    <t xml:space="preserve">Biến thể G-HIST: Sẽ mất gì / giữ gì</t>
  </si>
  <si>
    <t xml:space="preserve">A12.1.15</t>
  </si>
  <si>
    <t xml:space="preserve">Biến thể G-SNAP: Người đặt tên/ghi chú</t>
  </si>
  <si>
    <t xml:space="preserve">A13.1</t>
  </si>
  <si>
    <t xml:space="preserve">Tự chủ &amp; cấp quyền</t>
  </si>
  <si>
    <t xml:space="preserve">A13.1.1</t>
  </si>
  <si>
    <t xml:space="preserve">Mức tự chủ A0–A4 (mô tả từng mức)</t>
  </si>
  <si>
    <t xml:space="preserve">A13.1.2</t>
  </si>
  <si>
    <t xml:space="preserve">Danh sách 'đã tin' theo tool/gói/nguồn — xoá được</t>
  </si>
  <si>
    <t xml:space="preserve">A13.1.3</t>
  </si>
  <si>
    <t xml:space="preserve">Nguồn tin cậy (tên miền nhà sản xuất)</t>
  </si>
  <si>
    <t xml:space="preserve">A13.2</t>
  </si>
  <si>
    <t xml:space="preserve">Mô hình</t>
  </si>
  <si>
    <t xml:space="preserve">A13.2.1</t>
  </si>
  <si>
    <t xml:space="preserve">Chọn mô hình theo vai trò (chính, subagent, tóm tắt, embed)</t>
  </si>
  <si>
    <t xml:space="preserve">A13.3</t>
  </si>
  <si>
    <t xml:space="preserve">Trình bày</t>
  </si>
  <si>
    <t xml:space="preserve">EX-habit</t>
  </si>
  <si>
    <t xml:space="preserve">Thói quen trình bày theo người dùng</t>
  </si>
  <si>
    <t xml:space="preserve">MM-habit</t>
  </si>
  <si>
    <t xml:space="preserve">Thói quen trình bày</t>
  </si>
  <si>
    <t xml:space="preserve">A13.3.1</t>
  </si>
  <si>
    <t xml:space="preserve">Mức chi tiết mặc định; diff nguyên văn?; thuật ngữ; tab mở theo chặng</t>
  </si>
  <si>
    <t xml:space="preserve">A13.5</t>
  </si>
  <si>
    <t xml:space="preserve">Chẩn đoán giao thức (dành cho phát triển)</t>
  </si>
  <si>
    <t xml:space="preserve">I3</t>
  </si>
  <si>
    <t xml:space="preserve">Giao diện không quyết — chỉ render SurfaceModel/Card</t>
  </si>
  <si>
    <t xml:space="preserve">I4</t>
  </si>
  <si>
    <t xml:space="preserve">Lõi không biết giao diện — chỉ thấy HumanAct + origin</t>
  </si>
  <si>
    <t xml:space="preserve">A13.5.1</t>
  </si>
  <si>
    <t xml:space="preserve">Bộ xem UAP: HumanAct đã gửi / UICommand đã nhận (id, seq, surface.set/patch/append…)</t>
  </si>
  <si>
    <t xml:space="preserve">UI-surface.set</t>
  </si>
  <si>
    <t xml:space="preserve">Thay mô hình bề mặt</t>
  </si>
  <si>
    <t xml:space="preserve">UI-surface.patch</t>
  </si>
  <si>
    <t xml:space="preserve">Vá bề mặt</t>
  </si>
  <si>
    <t xml:space="preserve">A13.5.2</t>
  </si>
  <si>
    <t xml:space="preserve">Chế độ truy vết: hiện mã UI (Ax.y.z) và yêu cầu ánh xạ trên mọi phần tử</t>
  </si>
  <si>
    <t xml:space="preserve">A13.4</t>
  </si>
  <si>
    <t xml:space="preserve">Sandbox &amp; ngân sách</t>
  </si>
  <si>
    <t xml:space="preserve">A13.4.1</t>
  </si>
  <si>
    <t xml:space="preserve">Thư mục cho phép; mạng theo tool; tool/lượt; giây/lượt</t>
  </si>
  <si>
    <t xml:space="preserve">A14.1</t>
  </si>
  <si>
    <t xml:space="preserve">Dự án</t>
  </si>
  <si>
    <t xml:space="preserve">A14.1.1</t>
  </si>
  <si>
    <t xml:space="preserve">Mở / tạo dự án; không tạo lồng khi đang mở</t>
  </si>
  <si>
    <t xml:space="preserve">A14.1.2</t>
  </si>
  <si>
    <t xml:space="preserve">Mở lại: tác tử tự thuật 'đang ở đâu, đã quyết gì, làm gì tiếp' + snapshot gần nhất</t>
  </si>
  <si>
    <t xml:space="preserve">A14.1.3</t>
  </si>
  <si>
    <t xml:space="preserve">Xuất toàn bộ dự án</t>
  </si>
  <si>
    <t xml:space="preserve">A14.2</t>
  </si>
  <si>
    <t xml:space="preserve">EIDE.md</t>
  </si>
  <si>
    <t xml:space="preserve">CX-eide-md</t>
  </si>
  <si>
    <t xml:space="preserve">EIDE.md xem/sửa được (người &amp; tác tử)</t>
  </si>
  <si>
    <t xml:space="preserve">A14.2.1</t>
  </si>
  <si>
    <t xml:space="preserve">Xem/sửa EIDE.md (mục tiêu, chip, ADR, giả định, quy ước, Đừng, Người vừa sửa)</t>
  </si>
  <si>
    <t xml:space="preserve">ED5</t>
  </si>
  <si>
    <t xml:space="preserve">Đồng bộ: EIDE.md §Người vừa sửa; &lt;human_edits&gt;; Fact NGƯỜI</t>
  </si>
  <si>
    <t xml:space="preserve">A14.2.2</t>
  </si>
  <si>
    <t xml:space="preserve">§'Người vừa sửa' — tác tử đã nhắc chưa (acknowledged)</t>
  </si>
  <si>
    <t xml:space="preserve">A14.3</t>
  </si>
  <si>
    <t xml:space="preserve">Kiểm kê (inventory) &amp; giả định</t>
  </si>
  <si>
    <t xml:space="preserve">A14.3.1</t>
  </si>
  <si>
    <t xml:space="preserve">Bảng &lt;inventory&gt; đúng như tác tử thấy</t>
  </si>
  <si>
    <t xml:space="preserve">A14.3.2</t>
  </si>
  <si>
    <t xml:space="preserve">Giả định đang dùng: xác nhận thành sự thật / bác bỏ</t>
  </si>
  <si>
    <t xml:space="preserve">A14.4</t>
  </si>
  <si>
    <t xml:space="preserve">A14.4.1</t>
  </si>
  <si>
    <t xml:space="preserve">Kế hoạch đã duyệt: bước ✓/đang/chưa; đối chiếu 'đã làm'</t>
  </si>
  <si>
    <t xml:space="preserve">A14.4.2</t>
  </si>
  <si>
    <t xml:space="preserve">Bỏ/thêm bước; sửa giả định</t>
  </si>
  <si>
    <t xml:space="preserve">A14.5</t>
  </si>
  <si>
    <t xml:space="preserve">A14.5.1</t>
  </si>
  <si>
    <t xml:space="preserve">Sinh tài liệu thiết kế/hướng dẫn; đánh dấu phần lỗi thời sau khi sửa</t>
  </si>
  <si>
    <t xml:space="preserve">Nhóm</t>
  </si>
  <si>
    <t xml:space="preserve">Mô tả</t>
  </si>
  <si>
    <t xml:space="preserve">Số UI ánh xạ (công thức)</t>
  </si>
  <si>
    <t xml:space="preserve">Trạng thái phủ</t>
  </si>
  <si>
    <t xml:space="preserve">Trạng thái hiện thực</t>
  </si>
  <si>
    <t xml:space="preserve">Chưa làm</t>
  </si>
  <si>
    <t xml:space="preserve">Vùng (cấp 1)</t>
  </si>
  <si>
    <t xml:space="preserve">Khối (cấp 2)</t>
  </si>
  <si>
    <t xml:space="preserve">Widget / hành động (cấp 3)</t>
  </si>
  <si>
    <t xml:space="preserve">Loại</t>
  </si>
  <si>
    <t xml:space="preserve">Hiện vật</t>
  </si>
  <si>
    <t xml:space="preserve">Số yêu cầu (công thức)</t>
  </si>
  <si>
    <t xml:space="preserve">Trạng thái ánh xạ</t>
  </si>
  <si>
    <t xml:space="preserve">A0</t>
  </si>
  <si>
    <t xml:space="preserve">Thanh trạng thái</t>
  </si>
  <si>
    <t xml:space="preserve">bar</t>
  </si>
  <si>
    <t xml:space="preserve">khối</t>
  </si>
  <si>
    <t xml:space="preserve">display</t>
  </si>
  <si>
    <t xml:space="preserve">nav</t>
  </si>
  <si>
    <t xml:space="preserve">A1</t>
  </si>
  <si>
    <t xml:space="preserve">Bàn giao tiếp (Console)</t>
  </si>
  <si>
    <t xml:space="preserve">panel</t>
  </si>
  <si>
    <t xml:space="preserve">action</t>
  </si>
  <si>
    <t xml:space="preserve">edit</t>
  </si>
  <si>
    <t xml:space="preserve">A2</t>
  </si>
  <si>
    <t xml:space="preserve">Tab Yêu cầu &amp; Giải pháp</t>
  </si>
  <si>
    <t xml:space="preserve">tab</t>
  </si>
  <si>
    <t xml:space="preserve">A3</t>
  </si>
  <si>
    <t xml:space="preserve">Tab Tài liệu &amp; Nguồn</t>
  </si>
  <si>
    <t xml:space="preserve">A4</t>
  </si>
  <si>
    <t xml:space="preserve">Tab Tri thức mạch</t>
  </si>
  <si>
    <t xml:space="preserve">A5</t>
  </si>
  <si>
    <t xml:space="preserve">Tab Thiết kế</t>
  </si>
  <si>
    <t xml:space="preserve">A6</t>
  </si>
  <si>
    <t xml:space="preserve">Tab Công cụ</t>
  </si>
  <si>
    <t xml:space="preserve">A7</t>
  </si>
  <si>
    <t xml:space="preserve">Tab Mã nguồn</t>
  </si>
  <si>
    <t xml:space="preserve">A8</t>
  </si>
  <si>
    <t xml:space="preserve">Tab Mô phỏng</t>
  </si>
  <si>
    <t xml:space="preserve">A9</t>
  </si>
  <si>
    <t xml:space="preserve">Tab Mạch thật</t>
  </si>
  <si>
    <t xml:space="preserve">A10</t>
  </si>
  <si>
    <t xml:space="preserve">Tab Nhật ký lượt chạy</t>
  </si>
  <si>
    <t xml:space="preserve">A11</t>
  </si>
  <si>
    <t xml:space="preserve">Tab Lịch sử</t>
  </si>
  <si>
    <t xml:space="preserve">A12</t>
  </si>
  <si>
    <t xml:space="preserve">Thẻ cổng (overlay)</t>
  </si>
  <si>
    <t xml:space="preserve">overlay</t>
  </si>
  <si>
    <t xml:space="preserve">A13</t>
  </si>
  <si>
    <t xml:space="preserve">Thiết lập</t>
  </si>
  <si>
    <t xml:space="preserve">modal</t>
  </si>
  <si>
    <t xml:space="preserve">A14</t>
  </si>
  <si>
    <t xml:space="preserve">Dự án &amp; Bộ nhớ tác tử</t>
  </si>
  <si>
    <t xml:space="preserve">Danh sách mã UI (ghép)</t>
  </si>
  <si>
    <t xml:space="preserve">Số UI (ghép)</t>
  </si>
  <si>
    <t xml:space="preserve">Số UI (công thức từ Anh xa)</t>
  </si>
  <si>
    <t xml:space="preserve">Khớp?</t>
  </si>
  <si>
    <t xml:space="preserve">A2.5, A2.5.1, A3.4.1, A3.4.2, A3.5.1, A4.2, A5.2.2, A7.1.1, A7.2.1, A9.1.1, A9.4.1, A9.7.1</t>
  </si>
  <si>
    <t xml:space="preserve">A0.1.3, A2.3.2, A4.2, A4.4, A4.4.1</t>
  </si>
  <si>
    <t xml:space="preserve">A0.1, A14.1.1, A14.3.1, A6.1.1</t>
  </si>
  <si>
    <t xml:space="preserve">A1.1.4, A1.2.4, A1.3.1, A1.4.6, A2.5.2, A9.7.1</t>
  </si>
  <si>
    <t xml:space="preserve">A1.4.3, A12.1.1, A9.5, A9.5.1, A9.6.1</t>
  </si>
  <si>
    <t xml:space="preserve">A1.3.4, A5.5.2, A8.1, A8.1.3, A8.2.1, A8.2.4, A8.2.6</t>
  </si>
  <si>
    <t xml:space="preserve">A2.1, A2.1.2, A2.2, A2.2.1</t>
  </si>
  <si>
    <t xml:space="preserve">A13.5.2, A2.1.1</t>
  </si>
  <si>
    <t xml:space="preserve">A14.2.2, A2.1.8, A9.5.2</t>
  </si>
  <si>
    <t xml:space="preserve">A1.1.2, A1.2.1</t>
  </si>
  <si>
    <t xml:space="preserve">A1.1, A1.1.2, A1.1.5, A10.1, A10.1.1</t>
  </si>
  <si>
    <t xml:space="preserve">A13.5, A13.5.1, A13.5.2</t>
  </si>
  <si>
    <t xml:space="preserve">A13.5, A13.5.1</t>
  </si>
  <si>
    <t xml:space="preserve">A0.1.9, A1.1.5, A10.1, A13.5, A13.5.1</t>
  </si>
  <si>
    <t xml:space="preserve">A12.1, A12.1.1, A12.1.2, A9.5.1</t>
  </si>
  <si>
    <t xml:space="preserve">A0.1.4, A2.1</t>
  </si>
  <si>
    <t xml:space="preserve">A0.1.4, A4.3</t>
  </si>
  <si>
    <t xml:space="preserve">A0.1.4, A6.1</t>
  </si>
  <si>
    <t xml:space="preserve">A0.1.4, A7.1</t>
  </si>
  <si>
    <t xml:space="preserve">A1.3.1, A2.1, A2.2, A2.3, A2.5, A2.5.1</t>
  </si>
  <si>
    <t xml:space="preserve">A1.3.2, A3.2, A3.2.3, A3.4, A3.4.1, A5.1</t>
  </si>
  <si>
    <t xml:space="preserve">A7.1, A7.3.1, A7.3.2, A8.2, A8.2.4, A8.2.5</t>
  </si>
  <si>
    <t xml:space="preserve">A3.1.1, A3.1.3, A5.3, A5.3.3</t>
  </si>
  <si>
    <t xml:space="preserve">A9.1, A9.3, A9.3.3</t>
  </si>
  <si>
    <t xml:space="preserve">A4.4, A5.5</t>
  </si>
  <si>
    <t xml:space="preserve">A3.5, A3.5.1</t>
  </si>
  <si>
    <t xml:space="preserve">A4.5, A4.5.1</t>
  </si>
  <si>
    <t xml:space="preserve">A7.4, A7.4.1</t>
  </si>
  <si>
    <t xml:space="preserve">A9.4, A9.4.3</t>
  </si>
  <si>
    <t xml:space="preserve">A7.5, A7.5.1</t>
  </si>
  <si>
    <t xml:space="preserve">A7.4, A7.4.2</t>
  </si>
  <si>
    <t xml:space="preserve">A5.6, A5.6.1</t>
  </si>
  <si>
    <t xml:space="preserve">A5.7, A5.7.1</t>
  </si>
  <si>
    <t xml:space="preserve">A10.1.3, A14.5, A14.5.1, A2.6, A2.6.1</t>
  </si>
  <si>
    <t xml:space="preserve">A0.1.1, A1.1.5, A10.1, A10.1.3, A14.1, A14.1.1, A14.1.2, A14.1.3</t>
  </si>
  <si>
    <t xml:space="preserve">A13.1, A13.4, A13.4.1, A9.6</t>
  </si>
  <si>
    <t xml:space="preserve">A1.4.3, A10.2, A3.3.2, A8.2.6</t>
  </si>
  <si>
    <t xml:space="preserve">A1.2, A1.2.1, A8.2.7, A9.1.2</t>
  </si>
  <si>
    <t xml:space="preserve">A1.3, A1.3.1, A1.3.2, A2.3.3, A4.1.3, A8.1.2</t>
  </si>
  <si>
    <t xml:space="preserve">A12.1, A12.1.2, A5.5.4, A6.2.1, A7.2.3, A9.2.1, A9.5.1</t>
  </si>
  <si>
    <t xml:space="preserve">A14.3.2, A2.1.5, A2.2.2, A3.2.2, A3.4.1, A4.2.2, A4.2.3, A5.3.3, A5.5.3, A9.4.4</t>
  </si>
  <si>
    <t xml:space="preserve">A14.2.1, A14.4.2, A2.1.3, A2.1.4, A2.3.4, A2.4.2, A4.1.2, A4.3.3, A5.1.2, A5.2.2, A5.3.2, A5.4.2, A7.1.2, A8.1.3</t>
  </si>
  <si>
    <t xml:space="preserve">A1.2.2, A3.1, A3.1.1, A3.1.2, A5.3.2</t>
  </si>
  <si>
    <t xml:space="preserve">A1.2.3, A1.4.3, A8.2.7</t>
  </si>
  <si>
    <t xml:space="preserve">A1.2.3, A1.4.4, A11.1.3, A11.1.4, A7.2.2</t>
  </si>
  <si>
    <t xml:space="preserve">A1.2.3, A1.4.8, A10.2.1, A14.1.2</t>
  </si>
  <si>
    <t xml:space="preserve">A10.1.2, A11.1.2, A4.3.1</t>
  </si>
  <si>
    <t xml:space="preserve">A1.5.1, A13.1.1, A13.1.2, A13.1.3, A13.2.1, A13.3.1, A13.4.1, A6.2.2</t>
  </si>
  <si>
    <t xml:space="preserve">A1.2.3, A1.4.5, A11.1.5, A11.2.2</t>
  </si>
  <si>
    <t xml:space="preserve">A1.2.3, A11.3, A11.3.1, A2.3.5</t>
  </si>
  <si>
    <t xml:space="preserve">A1.1, A1.1.1</t>
  </si>
  <si>
    <t xml:space="preserve">A1.3, A1.3.6</t>
  </si>
  <si>
    <t xml:space="preserve">A1.3, A1.3.6, A12.1.4</t>
  </si>
  <si>
    <t xml:space="preserve">A10.1.1, A3.3.1, A6.2.3, A8.2.2, A9.3.1</t>
  </si>
  <si>
    <t xml:space="preserve">A1.4, A1.4.1</t>
  </si>
  <si>
    <t xml:space="preserve">A12.1.5, A3.2.2</t>
  </si>
  <si>
    <t xml:space="preserve">A12.1.6, A2.3, A2.3.3, A5.3.3, A5.5.4</t>
  </si>
  <si>
    <t xml:space="preserve">A1.3.3, A12.1.7, A14.4</t>
  </si>
  <si>
    <t xml:space="preserve">A12.1.8, A6.2, A6.2.1</t>
  </si>
  <si>
    <t xml:space="preserve">A12.1.9, A8.1.3</t>
  </si>
  <si>
    <t xml:space="preserve">A12.1.10, A7.1.4, A7.2.3</t>
  </si>
  <si>
    <t xml:space="preserve">A12.1.11, A9.2, A9.2.1</t>
  </si>
  <si>
    <t xml:space="preserve">A12.1.12, A9.5, A9.5.1</t>
  </si>
  <si>
    <t xml:space="preserve">A12.1.13, A9.6, A9.6.1</t>
  </si>
  <si>
    <t xml:space="preserve">A11.1.4, A11.2.3, A12.1.14</t>
  </si>
  <si>
    <t xml:space="preserve">A12.1.15, A8.2.8</t>
  </si>
  <si>
    <t xml:space="preserve">A2.1, A2.1.2, A2.1.6</t>
  </si>
  <si>
    <t xml:space="preserve">A2.3, A2.3.1</t>
  </si>
  <si>
    <t xml:space="preserve">A2.4, A2.4.1</t>
  </si>
  <si>
    <t xml:space="preserve">A3.4.2, A4.2, A4.2.1</t>
  </si>
  <si>
    <t xml:space="preserve">A0.1.2, A4.1, A4.1.1, A4.1.2</t>
  </si>
  <si>
    <t xml:space="preserve">A4.3, A4.3.1, A4.3.2</t>
  </si>
  <si>
    <t xml:space="preserve">A5.2, A5.2.1</t>
  </si>
  <si>
    <t xml:space="preserve">A5.1, A5.1.1</t>
  </si>
  <si>
    <t xml:space="preserve">A4.3.3, A5.3, A5.3.1</t>
  </si>
  <si>
    <t xml:space="preserve">A5.4, A5.4.1</t>
  </si>
  <si>
    <t xml:space="preserve">A5.5, A5.5.1</t>
  </si>
  <si>
    <t xml:space="preserve">A1.3.3, A14.4.1</t>
  </si>
  <si>
    <t xml:space="preserve">A7.1, A7.1.1</t>
  </si>
  <si>
    <t xml:space="preserve">A11.1.6, A7.2, A7.2.1</t>
  </si>
  <si>
    <t xml:space="preserve">A7.3, A7.3.1</t>
  </si>
  <si>
    <t xml:space="preserve">A1.3.4, A8.1, A8.1.1</t>
  </si>
  <si>
    <t xml:space="preserve">A8.2, A8.2.1, A8.2.3</t>
  </si>
  <si>
    <t xml:space="preserve">A9.1, A9.1.1</t>
  </si>
  <si>
    <t xml:space="preserve">A1.4.6, A14.3.2</t>
  </si>
  <si>
    <t xml:space="preserve">A1.1.4, A1.3.5</t>
  </si>
  <si>
    <t xml:space="preserve">A11.1, A11.1.1, A11.1.6, A2.1.8</t>
  </si>
  <si>
    <t xml:space="preserve">A11.2, A11.2.1</t>
  </si>
  <si>
    <t xml:space="preserve">A2.1.1, A2.4.1, A5.1.1, A7.2.1</t>
  </si>
  <si>
    <t xml:space="preserve">A2.2.1, A4.1.1, A4.2.5, A4.4.1, A8.1.1</t>
  </si>
  <si>
    <t xml:space="preserve">A2.1.0, A2.5.2, A9.3.3</t>
  </si>
  <si>
    <t xml:space="preserve">A13.3, A13.3.1</t>
  </si>
  <si>
    <t xml:space="preserve">A1.1.1, A2.1.2, A2.2.1, A2.3.1, A4.2.1, A5.2.1, A5.4.1, A5.5.1, A7.1.1, A8.2.1</t>
  </si>
  <si>
    <t xml:space="preserve">A0.1.6, A2.1.6, A2.1.7, A9.2.4</t>
  </si>
  <si>
    <t xml:space="preserve">A1.4.1, A2.5.1, A2.6.1, A3.1.3, A3.2.3, A3.5.1, A4.3.2, A4.5.1, A5.5.2, A5.7.1, A6.1.1, A7.3.2, A8.2.4, A8.2.5, A9.1.2, A9.2.2, A9.4.3</t>
  </si>
  <si>
    <t xml:space="preserve">A2.1.3, A5.2.2, A7.1.3</t>
  </si>
  <si>
    <t xml:space="preserve">A1.1.2, A2.1.3, A7.1.2</t>
  </si>
  <si>
    <t xml:space="preserve">A11.3.2, A4.2.3, A7.1.4</t>
  </si>
  <si>
    <t xml:space="preserve">A14.2.1, A14.2.2</t>
  </si>
  <si>
    <t xml:space="preserve">A11.4.1, A14.2.2</t>
  </si>
  <si>
    <t xml:space="preserve">A2.1.3, A2.1.4, A2.3.4, A5.1.2, A7.1.2</t>
  </si>
  <si>
    <t xml:space="preserve">A2.3.3, A2.4.2</t>
  </si>
  <si>
    <t xml:space="preserve">A2.1.5, A2.2.2, A5.5.3</t>
  </si>
  <si>
    <t xml:space="preserve">A11.1, A11.1.1</t>
  </si>
  <si>
    <t xml:space="preserve">A11.1.3, A7.2.2</t>
  </si>
  <si>
    <t xml:space="preserve">A11.1.1, A9.2.3, A9.2.4</t>
  </si>
  <si>
    <t xml:space="preserve">A0.1.6, A11.4, A11.4.1, A14.5.1, A2.1.7</t>
  </si>
  <si>
    <t xml:space="preserve">A0.1.1, A11.3, A11.3.1, A11.3.2, A2.3.5</t>
  </si>
  <si>
    <t xml:space="preserve">A1.3.5, A1.4.4</t>
  </si>
  <si>
    <t xml:space="preserve">A1.4.5, A11.1.5, A11.2, A11.2.2</t>
  </si>
  <si>
    <t xml:space="preserve">A11.2, A8.2.8, A9.2.3</t>
  </si>
  <si>
    <t xml:space="preserve">A11.2.1, A11.2.5, A9.5.2</t>
  </si>
  <si>
    <t xml:space="preserve">A0.1.5, A14.1.2</t>
  </si>
  <si>
    <t xml:space="preserve">A11.2.5, A14.1.3</t>
  </si>
  <si>
    <t xml:space="preserve">A0.1.3, A4.2.1</t>
  </si>
  <si>
    <t xml:space="preserve">A0.1.3, A4.2.1, A4.2.2</t>
  </si>
  <si>
    <t xml:space="preserve">A0.1.3, A4.2.1, A4.2.3, A4.2.4, A9.4.4</t>
  </si>
  <si>
    <t xml:space="preserve">A0.1.3, A2.3.2, A3.5.1, A4.2.1, A4.4.1</t>
  </si>
  <si>
    <t xml:space="preserve">A1.2.2, A1.3.2, A3.1, A3.1.1, A4.1.3</t>
  </si>
  <si>
    <t xml:space="preserve">A3.2, A3.2.1, A4.2.4</t>
  </si>
  <si>
    <t xml:space="preserve">A3.1.2, A3.2.2</t>
  </si>
  <si>
    <t xml:space="preserve">A3.3, A3.3.1</t>
  </si>
  <si>
    <t xml:space="preserve">A4.2.2, A4.2.5</t>
  </si>
  <si>
    <t xml:space="preserve">A0.1.2, A4.1</t>
  </si>
  <si>
    <t xml:space="preserve">A3.2.3, A3.3.2</t>
  </si>
  <si>
    <t xml:space="preserve">A1.5, A1.5.1</t>
  </si>
  <si>
    <t xml:space="preserve">A0.1, A0.1.1, A0.1.5</t>
  </si>
  <si>
    <t xml:space="preserve">A14.2, A14.2.1</t>
  </si>
  <si>
    <t xml:space="preserve">A0.1.4, A1.2.4, A14.3, A14.3.1</t>
  </si>
  <si>
    <t xml:space="preserve">A6.3, A6.3.1</t>
  </si>
  <si>
    <t xml:space="preserve">A1.3.3, A11.4.1, A14.4, A14.4.1, A14.4.2</t>
  </si>
  <si>
    <t xml:space="preserve">A1.4.2, A6.3, A6.3.2</t>
  </si>
  <si>
    <t xml:space="preserve">A0.1.8, A1.1.4, A1.4.7, A13.4, A13.4.1</t>
  </si>
  <si>
    <t xml:space="preserve">A1.4.6, A14.3, A14.3.2</t>
  </si>
  <si>
    <t xml:space="preserve">A0.1.7, A13.1, A13.1.1</t>
  </si>
  <si>
    <t xml:space="preserve">A13.1.3, A3.2.1</t>
  </si>
  <si>
    <t xml:space="preserve">A0.1.7, A13.2, A13.2.1</t>
  </si>
  <si>
    <t xml:space="preserve">A12.1.3, A13.1.2, A6.2.2</t>
  </si>
  <si>
    <t xml:space="preserve">A0.1.9, A1.1.3, A10.2.1</t>
  </si>
  <si>
    <t xml:space="preserve">A0.1.8, A1.1.3, A10.2.1</t>
  </si>
  <si>
    <t xml:space="preserve">A1.1.3, A10.2.1</t>
  </si>
  <si>
    <t xml:space="preserve">A1.4.8, A10.2.1</t>
  </si>
  <si>
    <t xml:space="preserve">A4.1.1, A6.1, A6.1.1</t>
  </si>
  <si>
    <t xml:space="preserve">A6.2, A6.2.1</t>
  </si>
  <si>
    <t xml:space="preserve">A1.3.4, A8.1, A8.1.2</t>
  </si>
  <si>
    <t xml:space="preserve">A9.1, A9.1.1, A9.1.2</t>
  </si>
  <si>
    <t xml:space="preserve">A9.2, A9.2.1</t>
  </si>
  <si>
    <t xml:space="preserve">A9.2, A9.2.2</t>
  </si>
  <si>
    <t xml:space="preserve">A9.3, A9.3.1</t>
  </si>
  <si>
    <t xml:space="preserve">A9.3, A9.3.2</t>
  </si>
  <si>
    <t xml:space="preserve">A9.7, A9.7.1</t>
  </si>
  <si>
    <t xml:space="preserve">A4.5, A4.5.1, A5.4.2</t>
  </si>
  <si>
    <t xml:space="preserve">A14.5.1, A2.6, A2.6.1</t>
  </si>
  <si>
    <t xml:space="preserve">Danh sách mã yêu cầu (ghép)</t>
  </si>
  <si>
    <t xml:space="preserve">Số yêu cầu (ghép)</t>
  </si>
  <si>
    <t xml:space="preserve">Số yêu cầu (công thức từ Anh xa)</t>
  </si>
  <si>
    <t xml:space="preserve">LY-statusbar, N3</t>
  </si>
  <si>
    <t xml:space="preserve">CS-branch, LY-statusbar, UC17</t>
  </si>
  <si>
    <t xml:space="preserve">AR05, DS6</t>
  </si>
  <si>
    <t xml:space="preserve">N2, T-BAC, T-DONG, T-NGUOI, T-VANG</t>
  </si>
  <si>
    <t xml:space="preserve">C1, C2, C3, C4, C5, C6, C7, CX-inventory</t>
  </si>
  <si>
    <t xml:space="preserve">LY-statusbar, SN-resume-info</t>
  </si>
  <si>
    <t xml:space="preserve">CS-stale, PR3</t>
  </si>
  <si>
    <t xml:space="preserve">MM-autonomy, MM-model</t>
  </si>
  <si>
    <t xml:space="preserve">CX-budget, IN-timeout</t>
  </si>
  <si>
    <t xml:space="preserve">I5, IN-network</t>
  </si>
  <si>
    <t xml:space="preserve">I2, UI-console.post, UI-console.stream</t>
  </si>
  <si>
    <t xml:space="preserve">PR2, UI-console.post, UI-console.stream</t>
  </si>
  <si>
    <t xml:space="preserve">ED2, I1, I2</t>
  </si>
  <si>
    <t xml:space="preserve">IN-llm, IN-network, IN-timeout, UI-notice</t>
  </si>
  <si>
    <t xml:space="preserve">AR21, CX-budget, N4</t>
  </si>
  <si>
    <t xml:space="preserve">I2, I5, UC17</t>
  </si>
  <si>
    <t xml:space="preserve">HA-say, I1</t>
  </si>
  <si>
    <t xml:space="preserve">DS1, HA-upload</t>
  </si>
  <si>
    <t xml:space="preserve">HA-branch, HA-resume, HA-snapshot, HA-stop, HA-undo</t>
  </si>
  <si>
    <t xml:space="preserve">CX-inventory, N4</t>
  </si>
  <si>
    <t xml:space="preserve">HA-choose, UI-card.expire, UI-card.resolve</t>
  </si>
  <si>
    <t xml:space="preserve">HA-choose, N4, UC01</t>
  </si>
  <si>
    <t xml:space="preserve">DS1, HA-choose, UC02</t>
  </si>
  <si>
    <t xml:space="preserve">AR12, CX-plan, G-SCOPE</t>
  </si>
  <si>
    <t xml:space="preserve">AR16, N6, TL-criteria</t>
  </si>
  <si>
    <t xml:space="preserve">AR21, CS-undo30s</t>
  </si>
  <si>
    <t xml:space="preserve">UI-card.expire, UI-card.resolve</t>
  </si>
  <si>
    <t xml:space="preserve">LY-runcard, UI-run.update</t>
  </si>
  <si>
    <t xml:space="preserve">PR5, UI-run.update</t>
  </si>
  <si>
    <t xml:space="preserve">HA-stop, N5, UC19</t>
  </si>
  <si>
    <t xml:space="preserve">CS-undo30s, HA-undo</t>
  </si>
  <si>
    <t xml:space="preserve">HA-snapshot, SN-human</t>
  </si>
  <si>
    <t xml:space="preserve">AR20, CX-assumptions, N4</t>
  </si>
  <si>
    <t xml:space="preserve">HA-resume, IN-resume</t>
  </si>
  <si>
    <t xml:space="preserve">HA-set, LY-console3, UI-ui.set</t>
  </si>
  <si>
    <t xml:space="preserve">AR01, C1, N7, UC01</t>
  </si>
  <si>
    <t xml:space="preserve">EX-explain-more, EX-summary, EX-why, EX-why-button, N8, UI-explain.show</t>
  </si>
  <si>
    <t xml:space="preserve">EX-next, PR1, PR4</t>
  </si>
  <si>
    <t xml:space="preserve">AR01, N7, PR2</t>
  </si>
  <si>
    <t xml:space="preserve">ED1, ED2, EDK-content, HA-edit</t>
  </si>
  <si>
    <t xml:space="preserve">EDK-content, HA-edit</t>
  </si>
  <si>
    <t xml:space="preserve">EDK-reject, HA-confirm</t>
  </si>
  <si>
    <t xml:space="preserve">AR01, EX-diff_prev, PR3</t>
  </si>
  <si>
    <t xml:space="preserve">CS-stale, ED4, PR3</t>
  </si>
  <si>
    <t xml:space="preserve">AR22, LY-tabs, N9</t>
  </si>
  <si>
    <t xml:space="preserve">N7, UC01</t>
  </si>
  <si>
    <t xml:space="preserve">EX-sources, N7, PR2</t>
  </si>
  <si>
    <t xml:space="preserve">AR02, G-DESIGN, UC01</t>
  </si>
  <si>
    <t xml:space="preserve">AR02, EX-confidence, PR2</t>
  </si>
  <si>
    <t xml:space="preserve">N2, T-DONG</t>
  </si>
  <si>
    <t xml:space="preserve">EDK-decision, G-DESIGN, HA-choose</t>
  </si>
  <si>
    <t xml:space="preserve">CS-branch, HA-branch</t>
  </si>
  <si>
    <t xml:space="preserve">AR03, EX-why</t>
  </si>
  <si>
    <t xml:space="preserve">EDK-decision, HA-edit</t>
  </si>
  <si>
    <t xml:space="preserve">N1, UC01</t>
  </si>
  <si>
    <t xml:space="preserve">N1, PR5, UC01</t>
  </si>
  <si>
    <t xml:space="preserve">EX-next, N4</t>
  </si>
  <si>
    <t xml:space="preserve">TL-trace, UC16</t>
  </si>
  <si>
    <t xml:space="preserve">PR5, TL-trace, UC16</t>
  </si>
  <si>
    <t xml:space="preserve">DS1, HA-upload, UC04</t>
  </si>
  <si>
    <t xml:space="preserve">DS3, HA-upload</t>
  </si>
  <si>
    <t xml:space="preserve">PR5, UC04</t>
  </si>
  <si>
    <t xml:space="preserve">DS2, UC02</t>
  </si>
  <si>
    <t xml:space="preserve">DS2, MM-trusted</t>
  </si>
  <si>
    <t xml:space="preserve">DS3, G-DATA, HA-confirm</t>
  </si>
  <si>
    <t xml:space="preserve">DS7, PR5, UC02</t>
  </si>
  <si>
    <t xml:space="preserve">DS4, UI-surface.append</t>
  </si>
  <si>
    <t xml:space="preserve">DS7, UC19</t>
  </si>
  <si>
    <t xml:space="preserve">HA-confirm, N1, UC02</t>
  </si>
  <si>
    <t xml:space="preserve">AR04, N1</t>
  </si>
  <si>
    <t xml:space="preserve">N1, PR5, T-DONG, UC07</t>
  </si>
  <si>
    <t xml:space="preserve">AR05, EX-sources, TL-inventory</t>
  </si>
  <si>
    <t xml:space="preserve">AR05, HA-edit</t>
  </si>
  <si>
    <t xml:space="preserve">DS1, HA-choose</t>
  </si>
  <si>
    <t xml:space="preserve">AR04, N1, N2</t>
  </si>
  <si>
    <t xml:space="preserve">AR04, PR2, T-BAC, T-DONG, T-NGUOI, T-VANG</t>
  </si>
  <si>
    <t xml:space="preserve">DS5, HA-confirm, T-BAC</t>
  </si>
  <si>
    <t xml:space="preserve">ED3, HA-confirm, T-NGUOI</t>
  </si>
  <si>
    <t xml:space="preserve">DS2, T-NGUOI</t>
  </si>
  <si>
    <t xml:space="preserve">DS5, EX-sources</t>
  </si>
  <si>
    <t xml:space="preserve">AR06, C2</t>
  </si>
  <si>
    <t xml:space="preserve">AR06, HA-attend, UI-surface.focus</t>
  </si>
  <si>
    <t xml:space="preserve">AR06, PR5</t>
  </si>
  <si>
    <t xml:space="preserve">AR09, HA-edit</t>
  </si>
  <si>
    <t xml:space="preserve">N2, UC06</t>
  </si>
  <si>
    <t xml:space="preserve">EX-sources, N2, T-DONG</t>
  </si>
  <si>
    <t xml:space="preserve">TL-replace, UC08</t>
  </si>
  <si>
    <t xml:space="preserve">PR5, TL-replace, UC08</t>
  </si>
  <si>
    <t xml:space="preserve">AR08, UC02</t>
  </si>
  <si>
    <t xml:space="preserve">AR08, EX-why</t>
  </si>
  <si>
    <t xml:space="preserve">EDK-content, EDK-presentation, HA-edit</t>
  </si>
  <si>
    <t xml:space="preserve">AR07, PR2</t>
  </si>
  <si>
    <t xml:space="preserve">ED1, HA-edit, N1</t>
  </si>
  <si>
    <t xml:space="preserve">AR09, UC04</t>
  </si>
  <si>
    <t xml:space="preserve">HA-edit, HA-upload</t>
  </si>
  <si>
    <t xml:space="preserve">G-DESIGN, HA-confirm, UC04</t>
  </si>
  <si>
    <t xml:space="preserve">AR10, PR2</t>
  </si>
  <si>
    <t xml:space="preserve">HA-edit, TL-replace</t>
  </si>
  <si>
    <t xml:space="preserve">AR11, UC06</t>
  </si>
  <si>
    <t xml:space="preserve">AR11, PR2, UI-surface.highlight</t>
  </si>
  <si>
    <t xml:space="preserve">N6, PR5</t>
  </si>
  <si>
    <t xml:space="preserve">G-DESIGN, HA-decide</t>
  </si>
  <si>
    <t xml:space="preserve">PR5, UC15</t>
  </si>
  <si>
    <t xml:space="preserve">TL-ota, UC14</t>
  </si>
  <si>
    <t xml:space="preserve">C3, TL-inventory</t>
  </si>
  <si>
    <t xml:space="preserve">N3, PR5, TL-inventory</t>
  </si>
  <si>
    <t xml:space="preserve">G-TOOL, TL-install</t>
  </si>
  <si>
    <t xml:space="preserve">G-TOOL, HA-decide, TL-install</t>
  </si>
  <si>
    <t xml:space="preserve">HA-set, MM-remember</t>
  </si>
  <si>
    <t xml:space="preserve">CX-skills, CX-subagent</t>
  </si>
  <si>
    <t xml:space="preserve">AR13, C4, UC03</t>
  </si>
  <si>
    <t xml:space="preserve">AR13, N1, PR2</t>
  </si>
  <si>
    <t xml:space="preserve">ED2, EDK-content, HA-edit</t>
  </si>
  <si>
    <t xml:space="preserve">ED1, EDK-lockbroken, UI-surface.lock, UI-surface.unlock</t>
  </si>
  <si>
    <t xml:space="preserve">ED3, G-FILE</t>
  </si>
  <si>
    <t xml:space="preserve">AR14, EX-why, N1</t>
  </si>
  <si>
    <t xml:space="preserve">CS-undo1, HA-undo</t>
  </si>
  <si>
    <t xml:space="preserve">G-FILE, HA-decide</t>
  </si>
  <si>
    <t xml:space="preserve">AR15, TL-build</t>
  </si>
  <si>
    <t xml:space="preserve">AR15, TL-build, UC03</t>
  </si>
  <si>
    <t xml:space="preserve">PR5, UC03</t>
  </si>
  <si>
    <t xml:space="preserve">UC09, UC12</t>
  </si>
  <si>
    <t xml:space="preserve">TL-port, UC09</t>
  </si>
  <si>
    <t xml:space="preserve">TL-opt, UC12</t>
  </si>
  <si>
    <t xml:space="preserve">TL-test, UC11</t>
  </si>
  <si>
    <t xml:space="preserve">AR16, EX-sources</t>
  </si>
  <si>
    <t xml:space="preserve">HA-choose, TL-criteria</t>
  </si>
  <si>
    <t xml:space="preserve">G-QUAL, HA-edit, N6</t>
  </si>
  <si>
    <t xml:space="preserve">AR17, TL-simrun, UC03</t>
  </si>
  <si>
    <t xml:space="preserve">AR17, N6, PR2</t>
  </si>
  <si>
    <t xml:space="preserve">N6, PR5, UC03</t>
  </si>
  <si>
    <t xml:space="preserve">N6, UC19</t>
  </si>
  <si>
    <t xml:space="preserve">HA-say, HA-stop</t>
  </si>
  <si>
    <t xml:space="preserve">G-SNAP, SN-propose</t>
  </si>
  <si>
    <t xml:space="preserve">AR19, TL-detect, UC05</t>
  </si>
  <si>
    <t xml:space="preserve">AR19, N1, TL-detect</t>
  </si>
  <si>
    <t xml:space="preserve">HA-say, PR5, TL-detect</t>
  </si>
  <si>
    <t xml:space="preserve">G-FLASH, TL-flash, TL-verify</t>
  </si>
  <si>
    <t xml:space="preserve">G-FLASH, HA-decide, TL-flash</t>
  </si>
  <si>
    <t xml:space="preserve">PR5, TL-verify</t>
  </si>
  <si>
    <t xml:space="preserve">CS-irreversible, SN-propose</t>
  </si>
  <si>
    <t xml:space="preserve">CS-irreversible, PR3</t>
  </si>
  <si>
    <t xml:space="preserve">TL-debug, TL-log, UC05</t>
  </si>
  <si>
    <t xml:space="preserve">TL-log, UI-surface.append</t>
  </si>
  <si>
    <t xml:space="preserve">EX-next, UC05</t>
  </si>
  <si>
    <t xml:space="preserve">AR18, UC10</t>
  </si>
  <si>
    <t xml:space="preserve">N1, TL-capture</t>
  </si>
  <si>
    <t xml:space="preserve">PR5, UC10</t>
  </si>
  <si>
    <t xml:space="preserve">HA-confirm, T-NGUOI</t>
  </si>
  <si>
    <t xml:space="preserve">G-OPS, N5, TL-dangerous</t>
  </si>
  <si>
    <t xml:space="preserve">G-OPS, HA-decide, I6, N5</t>
  </si>
  <si>
    <t xml:space="preserve">N9, SN-release</t>
  </si>
  <si>
    <t xml:space="preserve">G-SAFE, UC18</t>
  </si>
  <si>
    <t xml:space="preserve">G-SAFE, N5</t>
  </si>
  <si>
    <t xml:space="preserve">TL-calc, UC13</t>
  </si>
  <si>
    <t xml:space="preserve">N1, N4, TL-calc</t>
  </si>
  <si>
    <t xml:space="preserve">I2, UI-surface.append</t>
  </si>
  <si>
    <t xml:space="preserve">UC16, UC17</t>
  </si>
  <si>
    <t xml:space="preserve">HA-resume, IN-llm, IN-network, IN-resume, IN-timeout</t>
  </si>
  <si>
    <t xml:space="preserve">AR22, CS-unit, LY-history, UI-history.update</t>
  </si>
  <si>
    <t xml:space="preserve">AR22, CS-irreversible, CS-unit</t>
  </si>
  <si>
    <t xml:space="preserve">CS-undo2, G-HIST, HA-undo</t>
  </si>
  <si>
    <t xml:space="preserve">AR14, AR22</t>
  </si>
  <si>
    <t xml:space="preserve">AR23, SN-human, SN-propose</t>
  </si>
  <si>
    <t xml:space="preserve">AR23, SN-release</t>
  </si>
  <si>
    <t xml:space="preserve">CS-undo3, G-HIST, SN-restore</t>
  </si>
  <si>
    <t xml:space="preserve">SN-export, SN-release</t>
  </si>
  <si>
    <t xml:space="preserve">CS-branch, ED3</t>
  </si>
  <si>
    <t xml:space="preserve">CS-stale, CX-plan, ED6</t>
  </si>
  <si>
    <t xml:space="preserve">HA-decide, I6, LY-gatecards</t>
  </si>
  <si>
    <t xml:space="preserve">I6, N5</t>
  </si>
  <si>
    <t xml:space="preserve">HA-decide, I6</t>
  </si>
  <si>
    <t xml:space="preserve">MM-autonomy, UC18</t>
  </si>
  <si>
    <t xml:space="preserve">HA-set, MM-autonomy</t>
  </si>
  <si>
    <t xml:space="preserve">HA-set, MM-trusted</t>
  </si>
  <si>
    <t xml:space="preserve">HA-set, MM-model</t>
  </si>
  <si>
    <t xml:space="preserve">EX-habit, MM-habit</t>
  </si>
  <si>
    <t xml:space="preserve">EX-habit, HA-set, MM-habit</t>
  </si>
  <si>
    <t xml:space="preserve">I3, I4, I5</t>
  </si>
  <si>
    <t xml:space="preserve">I3, I4, I5, UI-surface.patch, UI-surface.set</t>
  </si>
  <si>
    <t xml:space="preserve">I3, N8</t>
  </si>
  <si>
    <t xml:space="preserve">CX-budget, UC18</t>
  </si>
  <si>
    <t xml:space="preserve">CX-budget, HA-set, UC18</t>
  </si>
  <si>
    <t xml:space="preserve">N3, UC17</t>
  </si>
  <si>
    <t xml:space="preserve">HA-resume, SN-resume-info, UC17</t>
  </si>
  <si>
    <t xml:space="preserve">SN-export, UC17</t>
  </si>
  <si>
    <t xml:space="preserve">CX-eide-md, ED5, HA-edit</t>
  </si>
  <si>
    <t xml:space="preserve">ED5, ED6, N9</t>
  </si>
  <si>
    <t xml:space="preserve">CX-assumptions, CX-inventory</t>
  </si>
  <si>
    <t xml:space="preserve">CX-inventory, N3</t>
  </si>
  <si>
    <t xml:space="preserve">AR20, CX-assumptions, HA-confirm</t>
  </si>
  <si>
    <t xml:space="preserve">CX-plan, G-SCOPE</t>
  </si>
  <si>
    <t xml:space="preserve">AR12, CX-plan</t>
  </si>
  <si>
    <t xml:space="preserve">CX-plan, HA-edit</t>
  </si>
  <si>
    <t xml:space="preserve">CS-stale, TL-trace, UC16</t>
  </si>
  <si>
    <t xml:space="preserve">Số yêu cầu</t>
  </si>
  <si>
    <t xml:space="preserve">Số yêu cầu đã phủ</t>
  </si>
  <si>
    <t xml:space="preserve">Số cặp ánh xạ</t>
  </si>
</sst>
</file>

<file path=xl/styles.xml><?xml version="1.0" encoding="utf-8"?>
<styleSheet xmlns="http://schemas.openxmlformats.org/spreadsheetml/2006/main">
  <numFmts count="2">
    <numFmt numFmtId="164" formatCode="General"/>
    <numFmt numFmtId="165" formatCode="General"/>
  </numFmts>
  <fonts count="8">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1"/>
      <name val="Arial"/>
      <family val="0"/>
      <charset val="1"/>
    </font>
  </fonts>
  <fills count="5">
    <fill>
      <patternFill patternType="none"/>
    </fill>
    <fill>
      <patternFill patternType="gray125"/>
    </fill>
    <fill>
      <patternFill patternType="solid">
        <fgColor rgb="FFB8121F"/>
        <bgColor rgb="FF800000"/>
      </patternFill>
    </fill>
    <fill>
      <patternFill patternType="solid">
        <fgColor rgb="FFFFF2CC"/>
        <bgColor rgb="FFF2F2F2"/>
      </patternFill>
    </fill>
    <fill>
      <patternFill patternType="solid">
        <fgColor rgb="FFF2F2F2"/>
        <bgColor rgb="FFE2F0D9"/>
      </patternFill>
    </fill>
  </fills>
  <borders count="2">
    <border diagonalUp="false" diagonalDown="false">
      <left/>
      <right/>
      <top/>
      <bottom/>
      <diagonal/>
    </border>
    <border diagonalUp="false" diagonalDown="false">
      <left style="thin">
        <color rgb="FFD0D0D0"/>
      </left>
      <right style="thin">
        <color rgb="FFD0D0D0"/>
      </right>
      <top style="thin">
        <color rgb="FFD0D0D0"/>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8CBAD"/>
        </patternFill>
      </fill>
    </dxf>
    <dxf>
      <fill>
        <patternFill>
          <bgColor rgb="FFE2F0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B8121F"/>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60"/>
  </cols>
  <sheetData>
    <row r="1" customFormat="false" ht="30" hidden="false" customHeight="true" outlineLevel="0" collapsed="false">
      <c r="A1" s="1" t="s">
        <v>0</v>
      </c>
      <c r="B1" s="1" t="s">
        <v>1</v>
      </c>
      <c r="C1" s="1" t="s">
        <v>2</v>
      </c>
    </row>
    <row r="2" customFormat="false" ht="15" hidden="false" customHeight="false" outlineLevel="0" collapsed="false">
      <c r="A2" s="2" t="s">
        <v>3</v>
      </c>
      <c r="B2" s="2" t="n">
        <f aca="false">COUNTA('Yeu cau'!A2:A199)</f>
        <v>198</v>
      </c>
      <c r="C2" s="2" t="s">
        <v>4</v>
      </c>
    </row>
    <row r="3" customFormat="false" ht="15" hidden="false" customHeight="false" outlineLevel="0" collapsed="false">
      <c r="A3" s="2" t="s">
        <v>5</v>
      </c>
      <c r="B3" s="3" t="n">
        <f aca="false">COUNTIF('Yeu cau'!F2:F199,"THIẾU")</f>
        <v>0</v>
      </c>
      <c r="C3" s="2" t="s">
        <v>6</v>
      </c>
    </row>
    <row r="4" customFormat="false" ht="15" hidden="false" customHeight="false" outlineLevel="0" collapsed="false">
      <c r="A4" s="2" t="s">
        <v>7</v>
      </c>
      <c r="B4" s="2" t="n">
        <f aca="false">COUNTIF('UI 3 cap'!B2:B270,1)</f>
        <v>15</v>
      </c>
      <c r="C4" s="2"/>
    </row>
    <row r="5" customFormat="false" ht="15" hidden="false" customHeight="false" outlineLevel="0" collapsed="false">
      <c r="A5" s="2" t="s">
        <v>8</v>
      </c>
      <c r="B5" s="2" t="n">
        <f aca="false">COUNTIF('UI 3 cap'!B2:B270,2)</f>
        <v>63</v>
      </c>
      <c r="C5" s="2"/>
    </row>
    <row r="6" customFormat="false" ht="15" hidden="false" customHeight="false" outlineLevel="0" collapsed="false">
      <c r="A6" s="2" t="s">
        <v>9</v>
      </c>
      <c r="B6" s="2" t="n">
        <f aca="false">COUNTIF('UI 3 cap'!B2:B270,3)</f>
        <v>191</v>
      </c>
      <c r="C6" s="2"/>
    </row>
    <row r="7" customFormat="false" ht="15" hidden="false" customHeight="false" outlineLevel="0" collapsed="false">
      <c r="A7" s="2" t="s">
        <v>10</v>
      </c>
      <c r="B7" s="3" t="n">
        <f aca="false">COUNTIFS('UI 3 cap'!B2:B270,3,'UI 3 cap'!I2:I270,"THIẾU")</f>
        <v>0</v>
      </c>
      <c r="C7" s="2" t="s">
        <v>11</v>
      </c>
    </row>
    <row r="8" customFormat="false" ht="15" hidden="false" customHeight="false" outlineLevel="0" collapsed="false">
      <c r="A8" s="2" t="s">
        <v>12</v>
      </c>
      <c r="B8" s="3" t="n">
        <f aca="false">COUNTIFS('UI 3 cap'!B2:B270,2,'UI 3 cap'!I2:I270,"THIẾU")</f>
        <v>0</v>
      </c>
      <c r="C8" s="2" t="s">
        <v>13</v>
      </c>
    </row>
    <row r="9" customFormat="false" ht="15" hidden="false" customHeight="false" outlineLevel="0" collapsed="false">
      <c r="A9" s="2" t="s">
        <v>14</v>
      </c>
      <c r="B9" s="3" t="n">
        <f aca="false">COUNTIFS('UI 3 cap'!B2:B270,1,'UI 3 cap'!I2:I270,"THIẾU")</f>
        <v>0</v>
      </c>
      <c r="C9" s="2" t="s">
        <v>13</v>
      </c>
    </row>
    <row r="10" customFormat="false" ht="15" hidden="false" customHeight="false" outlineLevel="0" collapsed="false">
      <c r="A10" s="2" t="s">
        <v>15</v>
      </c>
      <c r="B10" s="2" t="n">
        <f aca="false">COUNTA('Anh xa'!A2:A581)</f>
        <v>580</v>
      </c>
      <c r="C10" s="2"/>
    </row>
    <row r="11" customFormat="false" ht="15" hidden="false" customHeight="false" outlineLevel="0" collapsed="false">
      <c r="A11" s="2" t="s">
        <v>16</v>
      </c>
      <c r="B11" s="3" t="n">
        <f aca="false">SUMPRODUCT((COUNTIF('Yeu cau'!$A$2:$A$199,'Anh xa'!D2:D581)=0)*1)</f>
        <v>0</v>
      </c>
      <c r="C11" s="2" t="s">
        <v>13</v>
      </c>
    </row>
    <row r="12" customFormat="false" ht="23.85" hidden="false" customHeight="false" outlineLevel="0" collapsed="false">
      <c r="A12" s="4" t="s">
        <v>17</v>
      </c>
      <c r="B12" s="2" t="str">
        <f aca="false">IF(AND(B3=0,B7=0,B8=0,B9=0,B11=0),"ĐẠT — kín hai chiều","KHÔNG ĐẠT — xem ô đỏ")</f>
        <v>ĐẠT — kín hai chiều</v>
      </c>
      <c r="C12" s="2"/>
    </row>
    <row r="13" customFormat="false" ht="15" hidden="false" customHeight="false" outlineLevel="0" collapsed="false">
      <c r="A13" s="2" t="s">
        <v>18</v>
      </c>
      <c r="B13" s="2" t="n">
        <f aca="false">COUNTIF('Yeu cau'!G2:G199,"Đã làm")</f>
        <v>0</v>
      </c>
      <c r="C13" s="2" t="s">
        <v>19</v>
      </c>
    </row>
    <row r="14" customFormat="false" ht="15" hidden="false" customHeight="false" outlineLevel="0" collapsed="false">
      <c r="A14" s="2" t="s">
        <v>20</v>
      </c>
      <c r="B14" s="2" t="n">
        <f aca="false">COUNTIF('Yeu cau'!G2:G199,"Đang làm")</f>
        <v>0</v>
      </c>
      <c r="C14" s="2"/>
    </row>
    <row r="15" customFormat="false" ht="15" hidden="false" customHeight="false" outlineLevel="0" collapsed="false">
      <c r="A15" s="2" t="s">
        <v>21</v>
      </c>
      <c r="B15" s="2" t="n">
        <f aca="false">COUNTIF('Yeu cau'!G2:G199,"Chưa làm")</f>
        <v>198</v>
      </c>
      <c r="C15" s="2"/>
    </row>
  </sheetData>
  <conditionalFormatting sqref="B3">
    <cfRule type="cellIs" priority="2" operator="greaterThan" aboveAverage="0" equalAverage="0" bottom="0" percent="0" rank="0" text="" dxfId="0">
      <formula>0</formula>
    </cfRule>
  </conditionalFormatting>
  <conditionalFormatting sqref="B7">
    <cfRule type="cellIs" priority="3" operator="greaterThan" aboveAverage="0" equalAverage="0" bottom="0" percent="0" rank="0" text="" dxfId="0">
      <formula>0</formula>
    </cfRule>
  </conditionalFormatting>
  <conditionalFormatting sqref="B8">
    <cfRule type="cellIs" priority="4" operator="greaterThan" aboveAverage="0" equalAverage="0" bottom="0" percent="0" rank="0" text="" dxfId="0">
      <formula>0</formula>
    </cfRule>
  </conditionalFormatting>
  <conditionalFormatting sqref="B9">
    <cfRule type="cellIs" priority="5" operator="greaterThan" aboveAverage="0" equalAverage="0" bottom="0" percent="0" rank="0" text="" dxfId="0">
      <formula>0</formula>
    </cfRule>
  </conditionalFormatting>
  <conditionalFormatting sqref="B11">
    <cfRule type="cellIs" priority="6" operator="greaterThan" aboveAverage="0" equalAverage="0" bottom="0" percent="0" rank="0" text="" dxfId="0">
      <formula>0</formula>
    </cfRule>
  </conditionalFormatting>
  <conditionalFormatting sqref="B12">
    <cfRule type="expression" priority="7" aboveAverage="0" equalAverage="0" bottom="0" percent="0" rank="0" text="" dxfId="1">
      <formula>LEFT(B12,3)="ĐẠT"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5" t="s">
        <v>22</v>
      </c>
    </row>
    <row r="2" customFormat="false" ht="15" hidden="false" customHeight="false" outlineLevel="0" collapsed="false">
      <c r="A2" s="6"/>
    </row>
    <row r="3" customFormat="false" ht="23.85" hidden="false" customHeight="false" outlineLevel="0" collapsed="false">
      <c r="A3" s="6" t="s">
        <v>23</v>
      </c>
    </row>
    <row r="4" customFormat="false" ht="23.85" hidden="false" customHeight="false" outlineLevel="0" collapsed="false">
      <c r="A4" s="6" t="s">
        <v>24</v>
      </c>
    </row>
    <row r="5" customFormat="false" ht="35.05" hidden="false" customHeight="false" outlineLevel="0" collapsed="false">
      <c r="A5" s="6" t="s">
        <v>25</v>
      </c>
    </row>
    <row r="6" customFormat="false" ht="23.85" hidden="false" customHeight="false" outlineLevel="0" collapsed="false">
      <c r="A6" s="6" t="s">
        <v>26</v>
      </c>
    </row>
    <row r="7" customFormat="false" ht="15" hidden="false" customHeight="false" outlineLevel="0" collapsed="false">
      <c r="A7" s="6" t="s">
        <v>27</v>
      </c>
    </row>
    <row r="8" customFormat="false" ht="23.85" hidden="false" customHeight="false" outlineLevel="0" collapsed="false">
      <c r="A8" s="6" t="s">
        <v>28</v>
      </c>
    </row>
    <row r="9" customFormat="false" ht="15" hidden="false" customHeight="false" outlineLevel="0" collapsed="false">
      <c r="A9" s="6" t="s">
        <v>29</v>
      </c>
    </row>
    <row r="10" customFormat="false" ht="15" hidden="false" customHeight="false" outlineLevel="0" collapsed="false">
      <c r="A10" s="6" t="s">
        <v>30</v>
      </c>
    </row>
    <row r="11" customFormat="false" ht="15" hidden="false" customHeight="false" outlineLevel="0" collapsed="false">
      <c r="A11" s="6"/>
    </row>
    <row r="12" customFormat="false" ht="23.85" hidden="false" customHeight="false" outlineLevel="0" collapsed="false">
      <c r="A12" s="6"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0"/>
    <col collapsed="false" customWidth="true" hidden="false" outlineLevel="0" max="3" min="3" style="0" width="6"/>
    <col collapsed="false" customWidth="true" hidden="false" outlineLevel="0" max="4" min="4" style="0" width="16"/>
    <col collapsed="false" customWidth="true" hidden="false" outlineLevel="0" max="5" min="5" style="0" width="22"/>
    <col collapsed="false" customWidth="true" hidden="false" outlineLevel="0" max="6" min="6" style="0" width="60"/>
    <col collapsed="false" customWidth="true" hidden="false" outlineLevel="0" max="7" min="7" style="0" width="18"/>
    <col collapsed="false" customWidth="true" hidden="false" outlineLevel="0" max="8" min="8" style="0" width="30"/>
  </cols>
  <sheetData>
    <row r="1" customFormat="false" ht="30" hidden="false" customHeight="true" outlineLevel="0" collapsed="false">
      <c r="A1" s="1" t="s">
        <v>32</v>
      </c>
      <c r="B1" s="1" t="s">
        <v>33</v>
      </c>
      <c r="C1" s="1" t="s">
        <v>34</v>
      </c>
      <c r="D1" s="1" t="s">
        <v>35</v>
      </c>
      <c r="E1" s="1" t="s">
        <v>36</v>
      </c>
      <c r="F1" s="1" t="s">
        <v>37</v>
      </c>
      <c r="G1" s="1" t="s">
        <v>38</v>
      </c>
      <c r="H1" s="1" t="s">
        <v>39</v>
      </c>
    </row>
    <row r="2" customFormat="false" ht="23.85" hidden="false" customHeight="false" outlineLevel="0" collapsed="false">
      <c r="A2" s="2" t="s">
        <v>40</v>
      </c>
      <c r="B2" s="2" t="s">
        <v>41</v>
      </c>
      <c r="C2" s="2" t="n">
        <v>2</v>
      </c>
      <c r="D2" s="2" t="s">
        <v>42</v>
      </c>
      <c r="E2" s="2" t="s">
        <v>43</v>
      </c>
      <c r="F2" s="2" t="s">
        <v>44</v>
      </c>
      <c r="G2" s="2" t="s">
        <v>45</v>
      </c>
      <c r="H2" s="7"/>
    </row>
    <row r="3" customFormat="false" ht="15" hidden="false" customHeight="false" outlineLevel="0" collapsed="false">
      <c r="A3" s="2" t="s">
        <v>40</v>
      </c>
      <c r="B3" s="2" t="s">
        <v>41</v>
      </c>
      <c r="C3" s="2" t="n">
        <v>2</v>
      </c>
      <c r="D3" s="2" t="s">
        <v>46</v>
      </c>
      <c r="E3" s="2" t="s">
        <v>47</v>
      </c>
      <c r="F3" s="2" t="s">
        <v>48</v>
      </c>
      <c r="G3" s="2" t="s">
        <v>49</v>
      </c>
      <c r="H3" s="7"/>
    </row>
    <row r="4" customFormat="false" ht="23.85" hidden="false" customHeight="false" outlineLevel="0" collapsed="false">
      <c r="A4" s="2" t="s">
        <v>50</v>
      </c>
      <c r="B4" s="2" t="s">
        <v>51</v>
      </c>
      <c r="C4" s="2" t="n">
        <v>3</v>
      </c>
      <c r="D4" s="2" t="s">
        <v>42</v>
      </c>
      <c r="E4" s="2" t="s">
        <v>43</v>
      </c>
      <c r="F4" s="2" t="s">
        <v>44</v>
      </c>
      <c r="G4" s="2" t="s">
        <v>45</v>
      </c>
      <c r="H4" s="7"/>
    </row>
    <row r="5" customFormat="false" ht="15" hidden="false" customHeight="false" outlineLevel="0" collapsed="false">
      <c r="A5" s="2" t="s">
        <v>50</v>
      </c>
      <c r="B5" s="2" t="s">
        <v>51</v>
      </c>
      <c r="C5" s="2" t="n">
        <v>3</v>
      </c>
      <c r="D5" s="2" t="s">
        <v>52</v>
      </c>
      <c r="E5" s="2" t="s">
        <v>53</v>
      </c>
      <c r="F5" s="2" t="s">
        <v>54</v>
      </c>
      <c r="G5" s="2" t="s">
        <v>55</v>
      </c>
      <c r="H5" s="7"/>
    </row>
    <row r="6" customFormat="false" ht="15" hidden="false" customHeight="false" outlineLevel="0" collapsed="false">
      <c r="A6" s="2" t="s">
        <v>50</v>
      </c>
      <c r="B6" s="2" t="s">
        <v>51</v>
      </c>
      <c r="C6" s="2" t="n">
        <v>3</v>
      </c>
      <c r="D6" s="2" t="s">
        <v>56</v>
      </c>
      <c r="E6" s="2" t="s">
        <v>57</v>
      </c>
      <c r="F6" s="2" t="s">
        <v>58</v>
      </c>
      <c r="G6" s="2" t="s">
        <v>59</v>
      </c>
      <c r="H6" s="7"/>
    </row>
    <row r="7" customFormat="false" ht="15" hidden="false" customHeight="false" outlineLevel="0" collapsed="false">
      <c r="A7" s="2" t="s">
        <v>60</v>
      </c>
      <c r="B7" s="2" t="s">
        <v>61</v>
      </c>
      <c r="C7" s="2" t="n">
        <v>3</v>
      </c>
      <c r="D7" s="2" t="s">
        <v>62</v>
      </c>
      <c r="E7" s="2" t="s">
        <v>63</v>
      </c>
      <c r="F7" s="2" t="s">
        <v>64</v>
      </c>
      <c r="G7" s="2" t="s">
        <v>65</v>
      </c>
      <c r="H7" s="7"/>
    </row>
    <row r="8" customFormat="false" ht="15" hidden="false" customHeight="false" outlineLevel="0" collapsed="false">
      <c r="A8" s="2" t="s">
        <v>60</v>
      </c>
      <c r="B8" s="2" t="s">
        <v>61</v>
      </c>
      <c r="C8" s="2" t="n">
        <v>3</v>
      </c>
      <c r="D8" s="2" t="s">
        <v>66</v>
      </c>
      <c r="E8" s="2" t="s">
        <v>67</v>
      </c>
      <c r="F8" s="2" t="s">
        <v>68</v>
      </c>
      <c r="G8" s="2" t="s">
        <v>69</v>
      </c>
      <c r="H8" s="7"/>
    </row>
    <row r="9" customFormat="false" ht="15" hidden="false" customHeight="false" outlineLevel="0" collapsed="false">
      <c r="A9" s="2" t="s">
        <v>70</v>
      </c>
      <c r="B9" s="2" t="s">
        <v>71</v>
      </c>
      <c r="C9" s="2" t="n">
        <v>3</v>
      </c>
      <c r="D9" s="2" t="s">
        <v>72</v>
      </c>
      <c r="E9" s="2" t="s">
        <v>73</v>
      </c>
      <c r="F9" s="2" t="s">
        <v>74</v>
      </c>
      <c r="G9" s="2" t="s">
        <v>75</v>
      </c>
      <c r="H9" s="7"/>
    </row>
    <row r="10" customFormat="false" ht="15" hidden="false" customHeight="false" outlineLevel="0" collapsed="false">
      <c r="A10" s="2" t="s">
        <v>70</v>
      </c>
      <c r="B10" s="2" t="s">
        <v>71</v>
      </c>
      <c r="C10" s="2" t="n">
        <v>3</v>
      </c>
      <c r="D10" s="2" t="s">
        <v>76</v>
      </c>
      <c r="E10" s="2" t="s">
        <v>73</v>
      </c>
      <c r="F10" s="2" t="s">
        <v>77</v>
      </c>
      <c r="G10" s="2" t="s">
        <v>75</v>
      </c>
      <c r="H10" s="7"/>
    </row>
    <row r="11" customFormat="false" ht="15" hidden="false" customHeight="false" outlineLevel="0" collapsed="false">
      <c r="A11" s="2" t="s">
        <v>70</v>
      </c>
      <c r="B11" s="2" t="s">
        <v>71</v>
      </c>
      <c r="C11" s="2" t="n">
        <v>3</v>
      </c>
      <c r="D11" s="2" t="s">
        <v>78</v>
      </c>
      <c r="E11" s="2" t="s">
        <v>73</v>
      </c>
      <c r="F11" s="2" t="s">
        <v>79</v>
      </c>
      <c r="G11" s="2" t="s">
        <v>75</v>
      </c>
      <c r="H11" s="7"/>
    </row>
    <row r="12" customFormat="false" ht="15" hidden="false" customHeight="false" outlineLevel="0" collapsed="false">
      <c r="A12" s="2" t="s">
        <v>70</v>
      </c>
      <c r="B12" s="2" t="s">
        <v>71</v>
      </c>
      <c r="C12" s="2" t="n">
        <v>3</v>
      </c>
      <c r="D12" s="2" t="s">
        <v>80</v>
      </c>
      <c r="E12" s="2" t="s">
        <v>73</v>
      </c>
      <c r="F12" s="2" t="s">
        <v>81</v>
      </c>
      <c r="G12" s="2" t="s">
        <v>75</v>
      </c>
      <c r="H12" s="7"/>
    </row>
    <row r="13" customFormat="false" ht="15" hidden="false" customHeight="false" outlineLevel="0" collapsed="false">
      <c r="A13" s="2" t="s">
        <v>70</v>
      </c>
      <c r="B13" s="2" t="s">
        <v>71</v>
      </c>
      <c r="C13" s="2" t="n">
        <v>3</v>
      </c>
      <c r="D13" s="2" t="s">
        <v>82</v>
      </c>
      <c r="E13" s="2" t="s">
        <v>47</v>
      </c>
      <c r="F13" s="2" t="s">
        <v>83</v>
      </c>
      <c r="G13" s="2" t="s">
        <v>49</v>
      </c>
      <c r="H13" s="7"/>
    </row>
    <row r="14" customFormat="false" ht="15" hidden="false" customHeight="false" outlineLevel="0" collapsed="false">
      <c r="A14" s="2" t="s">
        <v>84</v>
      </c>
      <c r="B14" s="2" t="s">
        <v>85</v>
      </c>
      <c r="C14" s="2" t="n">
        <v>3</v>
      </c>
      <c r="D14" s="2" t="s">
        <v>86</v>
      </c>
      <c r="E14" s="2" t="s">
        <v>87</v>
      </c>
      <c r="F14" s="2" t="s">
        <v>88</v>
      </c>
      <c r="G14" s="2" t="s">
        <v>89</v>
      </c>
      <c r="H14" s="7"/>
    </row>
    <row r="15" customFormat="false" ht="15" hidden="false" customHeight="false" outlineLevel="0" collapsed="false">
      <c r="A15" s="2" t="s">
        <v>84</v>
      </c>
      <c r="B15" s="2" t="s">
        <v>85</v>
      </c>
      <c r="C15" s="2" t="n">
        <v>3</v>
      </c>
      <c r="D15" s="2" t="s">
        <v>90</v>
      </c>
      <c r="E15" s="2" t="s">
        <v>87</v>
      </c>
      <c r="F15" s="2" t="s">
        <v>91</v>
      </c>
      <c r="G15" s="2" t="s">
        <v>89</v>
      </c>
      <c r="H15" s="7"/>
    </row>
    <row r="16" customFormat="false" ht="15" hidden="false" customHeight="false" outlineLevel="0" collapsed="false">
      <c r="A16" s="2" t="s">
        <v>84</v>
      </c>
      <c r="B16" s="2" t="s">
        <v>85</v>
      </c>
      <c r="C16" s="2" t="n">
        <v>3</v>
      </c>
      <c r="D16" s="2" t="s">
        <v>92</v>
      </c>
      <c r="E16" s="2" t="s">
        <v>87</v>
      </c>
      <c r="F16" s="2" t="s">
        <v>93</v>
      </c>
      <c r="G16" s="2" t="s">
        <v>89</v>
      </c>
      <c r="H16" s="7"/>
    </row>
    <row r="17" customFormat="false" ht="15" hidden="false" customHeight="false" outlineLevel="0" collapsed="false">
      <c r="A17" s="2" t="s">
        <v>84</v>
      </c>
      <c r="B17" s="2" t="s">
        <v>85</v>
      </c>
      <c r="C17" s="2" t="n">
        <v>3</v>
      </c>
      <c r="D17" s="2" t="s">
        <v>94</v>
      </c>
      <c r="E17" s="2" t="s">
        <v>87</v>
      </c>
      <c r="F17" s="2" t="s">
        <v>95</v>
      </c>
      <c r="G17" s="2" t="s">
        <v>89</v>
      </c>
      <c r="H17" s="7"/>
    </row>
    <row r="18" customFormat="false" ht="15" hidden="false" customHeight="false" outlineLevel="0" collapsed="false">
      <c r="A18" s="2" t="s">
        <v>84</v>
      </c>
      <c r="B18" s="2" t="s">
        <v>85</v>
      </c>
      <c r="C18" s="2" t="n">
        <v>3</v>
      </c>
      <c r="D18" s="2" t="s">
        <v>96</v>
      </c>
      <c r="E18" s="2" t="s">
        <v>87</v>
      </c>
      <c r="F18" s="2" t="s">
        <v>97</v>
      </c>
      <c r="G18" s="2" t="s">
        <v>89</v>
      </c>
      <c r="H18" s="7"/>
    </row>
    <row r="19" customFormat="false" ht="15" hidden="false" customHeight="false" outlineLevel="0" collapsed="false">
      <c r="A19" s="2" t="s">
        <v>84</v>
      </c>
      <c r="B19" s="2" t="s">
        <v>85</v>
      </c>
      <c r="C19" s="2" t="n">
        <v>3</v>
      </c>
      <c r="D19" s="2" t="s">
        <v>98</v>
      </c>
      <c r="E19" s="2" t="s">
        <v>87</v>
      </c>
      <c r="F19" s="2" t="s">
        <v>99</v>
      </c>
      <c r="G19" s="2" t="s">
        <v>89</v>
      </c>
      <c r="H19" s="7"/>
    </row>
    <row r="20" customFormat="false" ht="15" hidden="false" customHeight="false" outlineLevel="0" collapsed="false">
      <c r="A20" s="2" t="s">
        <v>84</v>
      </c>
      <c r="B20" s="2" t="s">
        <v>85</v>
      </c>
      <c r="C20" s="2" t="n">
        <v>3</v>
      </c>
      <c r="D20" s="2" t="s">
        <v>100</v>
      </c>
      <c r="E20" s="2" t="s">
        <v>87</v>
      </c>
      <c r="F20" s="2" t="s">
        <v>101</v>
      </c>
      <c r="G20" s="2" t="s">
        <v>89</v>
      </c>
      <c r="H20" s="7"/>
    </row>
    <row r="21" customFormat="false" ht="15" hidden="false" customHeight="false" outlineLevel="0" collapsed="false">
      <c r="A21" s="2" t="s">
        <v>84</v>
      </c>
      <c r="B21" s="2" t="s">
        <v>85</v>
      </c>
      <c r="C21" s="2" t="n">
        <v>3</v>
      </c>
      <c r="D21" s="2" t="s">
        <v>102</v>
      </c>
      <c r="E21" s="2" t="s">
        <v>103</v>
      </c>
      <c r="F21" s="2" t="s">
        <v>104</v>
      </c>
      <c r="G21" s="2" t="s">
        <v>105</v>
      </c>
      <c r="H21" s="7"/>
    </row>
    <row r="22" customFormat="false" ht="15" hidden="false" customHeight="false" outlineLevel="0" collapsed="false">
      <c r="A22" s="2" t="s">
        <v>106</v>
      </c>
      <c r="B22" s="2" t="s">
        <v>107</v>
      </c>
      <c r="C22" s="2" t="n">
        <v>3</v>
      </c>
      <c r="D22" s="2" t="s">
        <v>108</v>
      </c>
      <c r="E22" s="2" t="s">
        <v>109</v>
      </c>
      <c r="F22" s="2" t="s">
        <v>110</v>
      </c>
      <c r="G22" s="2" t="s">
        <v>111</v>
      </c>
      <c r="H22" s="7"/>
    </row>
    <row r="23" customFormat="false" ht="23.85" hidden="false" customHeight="false" outlineLevel="0" collapsed="false">
      <c r="A23" s="2" t="s">
        <v>106</v>
      </c>
      <c r="B23" s="2" t="s">
        <v>107</v>
      </c>
      <c r="C23" s="2" t="n">
        <v>3</v>
      </c>
      <c r="D23" s="2" t="s">
        <v>42</v>
      </c>
      <c r="E23" s="2" t="s">
        <v>43</v>
      </c>
      <c r="F23" s="2" t="s">
        <v>44</v>
      </c>
      <c r="G23" s="2" t="s">
        <v>45</v>
      </c>
      <c r="H23" s="7"/>
    </row>
    <row r="24" customFormat="false" ht="15" hidden="false" customHeight="false" outlineLevel="0" collapsed="false">
      <c r="A24" s="2" t="s">
        <v>112</v>
      </c>
      <c r="B24" s="2" t="s">
        <v>113</v>
      </c>
      <c r="C24" s="2" t="n">
        <v>3</v>
      </c>
      <c r="D24" s="2" t="s">
        <v>114</v>
      </c>
      <c r="E24" s="2" t="s">
        <v>53</v>
      </c>
      <c r="F24" s="2" t="s">
        <v>115</v>
      </c>
      <c r="G24" s="2" t="s">
        <v>55</v>
      </c>
      <c r="H24" s="7"/>
    </row>
    <row r="25" customFormat="false" ht="15" hidden="false" customHeight="false" outlineLevel="0" collapsed="false">
      <c r="A25" s="2" t="s">
        <v>112</v>
      </c>
      <c r="B25" s="2" t="s">
        <v>113</v>
      </c>
      <c r="C25" s="2" t="n">
        <v>3</v>
      </c>
      <c r="D25" s="2" t="s">
        <v>116</v>
      </c>
      <c r="E25" s="2" t="s">
        <v>117</v>
      </c>
      <c r="F25" s="2" t="s">
        <v>118</v>
      </c>
      <c r="G25" s="2" t="s">
        <v>119</v>
      </c>
      <c r="H25" s="7"/>
    </row>
    <row r="26" customFormat="false" ht="15" hidden="false" customHeight="false" outlineLevel="0" collapsed="false">
      <c r="A26" s="2" t="s">
        <v>120</v>
      </c>
      <c r="B26" s="2" t="s">
        <v>121</v>
      </c>
      <c r="C26" s="2" t="n">
        <v>3</v>
      </c>
      <c r="D26" s="2" t="s">
        <v>122</v>
      </c>
      <c r="E26" s="2" t="s">
        <v>123</v>
      </c>
      <c r="F26" s="2" t="s">
        <v>124</v>
      </c>
      <c r="G26" s="2" t="s">
        <v>125</v>
      </c>
      <c r="H26" s="7"/>
    </row>
    <row r="27" customFormat="false" ht="15" hidden="false" customHeight="false" outlineLevel="0" collapsed="false">
      <c r="A27" s="2" t="s">
        <v>120</v>
      </c>
      <c r="B27" s="2" t="s">
        <v>121</v>
      </c>
      <c r="C27" s="2" t="n">
        <v>3</v>
      </c>
      <c r="D27" s="2" t="s">
        <v>126</v>
      </c>
      <c r="E27" s="2" t="s">
        <v>123</v>
      </c>
      <c r="F27" s="2" t="s">
        <v>127</v>
      </c>
      <c r="G27" s="2" t="s">
        <v>125</v>
      </c>
      <c r="H27" s="7"/>
    </row>
    <row r="28" customFormat="false" ht="15" hidden="false" customHeight="false" outlineLevel="0" collapsed="false">
      <c r="A28" s="2" t="s">
        <v>128</v>
      </c>
      <c r="B28" s="2" t="s">
        <v>129</v>
      </c>
      <c r="C28" s="2" t="n">
        <v>3</v>
      </c>
      <c r="D28" s="2" t="s">
        <v>130</v>
      </c>
      <c r="E28" s="2" t="s">
        <v>103</v>
      </c>
      <c r="F28" s="2" t="s">
        <v>131</v>
      </c>
      <c r="G28" s="2" t="s">
        <v>105</v>
      </c>
      <c r="H28" s="7"/>
    </row>
    <row r="29" customFormat="false" ht="15" hidden="false" customHeight="false" outlineLevel="0" collapsed="false">
      <c r="A29" s="2" t="s">
        <v>128</v>
      </c>
      <c r="B29" s="2" t="s">
        <v>129</v>
      </c>
      <c r="C29" s="2" t="n">
        <v>3</v>
      </c>
      <c r="D29" s="2" t="s">
        <v>132</v>
      </c>
      <c r="E29" s="2" t="s">
        <v>133</v>
      </c>
      <c r="F29" s="2" t="s">
        <v>134</v>
      </c>
      <c r="G29" s="2" t="s">
        <v>135</v>
      </c>
      <c r="H29" s="7"/>
    </row>
    <row r="30" customFormat="false" ht="15" hidden="false" customHeight="false" outlineLevel="0" collapsed="false">
      <c r="A30" s="2" t="s">
        <v>136</v>
      </c>
      <c r="B30" s="2" t="s">
        <v>137</v>
      </c>
      <c r="C30" s="2" t="n">
        <v>3</v>
      </c>
      <c r="D30" s="2" t="s">
        <v>138</v>
      </c>
      <c r="E30" s="2" t="s">
        <v>133</v>
      </c>
      <c r="F30" s="2" t="s">
        <v>139</v>
      </c>
      <c r="G30" s="2" t="s">
        <v>135</v>
      </c>
      <c r="H30" s="7"/>
    </row>
    <row r="31" customFormat="false" ht="15" hidden="false" customHeight="false" outlineLevel="0" collapsed="false">
      <c r="A31" s="2" t="s">
        <v>136</v>
      </c>
      <c r="B31" s="2" t="s">
        <v>137</v>
      </c>
      <c r="C31" s="2" t="n">
        <v>3</v>
      </c>
      <c r="D31" s="2" t="s">
        <v>140</v>
      </c>
      <c r="E31" s="2" t="s">
        <v>141</v>
      </c>
      <c r="F31" s="2" t="s">
        <v>142</v>
      </c>
      <c r="G31" s="2" t="s">
        <v>143</v>
      </c>
      <c r="H31" s="7"/>
    </row>
    <row r="32" customFormat="false" ht="15" hidden="false" customHeight="false" outlineLevel="0" collapsed="false">
      <c r="A32" s="2" t="s">
        <v>144</v>
      </c>
      <c r="B32" s="2" t="s">
        <v>145</v>
      </c>
      <c r="C32" s="2" t="n">
        <v>2</v>
      </c>
      <c r="D32" s="2" t="s">
        <v>146</v>
      </c>
      <c r="E32" s="2" t="s">
        <v>141</v>
      </c>
      <c r="F32" s="2" t="s">
        <v>147</v>
      </c>
      <c r="G32" s="2" t="s">
        <v>143</v>
      </c>
      <c r="H32" s="7"/>
    </row>
    <row r="33" customFormat="false" ht="15" hidden="false" customHeight="false" outlineLevel="0" collapsed="false">
      <c r="A33" s="2" t="s">
        <v>144</v>
      </c>
      <c r="B33" s="2" t="s">
        <v>145</v>
      </c>
      <c r="C33" s="2" t="n">
        <v>2</v>
      </c>
      <c r="D33" s="2" t="s">
        <v>148</v>
      </c>
      <c r="E33" s="2" t="s">
        <v>149</v>
      </c>
      <c r="F33" s="2" t="s">
        <v>150</v>
      </c>
      <c r="G33" s="2" t="s">
        <v>151</v>
      </c>
      <c r="H33" s="7"/>
    </row>
    <row r="34" customFormat="false" ht="15" hidden="false" customHeight="false" outlineLevel="0" collapsed="false">
      <c r="A34" s="2" t="s">
        <v>144</v>
      </c>
      <c r="B34" s="2" t="s">
        <v>145</v>
      </c>
      <c r="C34" s="2" t="n">
        <v>2</v>
      </c>
      <c r="D34" s="2" t="s">
        <v>152</v>
      </c>
      <c r="E34" s="2" t="s">
        <v>149</v>
      </c>
      <c r="F34" s="2" t="s">
        <v>153</v>
      </c>
      <c r="G34" s="2" t="s">
        <v>151</v>
      </c>
      <c r="H34" s="7"/>
    </row>
    <row r="35" customFormat="false" ht="15" hidden="false" customHeight="false" outlineLevel="0" collapsed="false">
      <c r="A35" s="2" t="s">
        <v>154</v>
      </c>
      <c r="B35" s="2" t="s">
        <v>155</v>
      </c>
      <c r="C35" s="2" t="n">
        <v>3</v>
      </c>
      <c r="D35" s="2" t="s">
        <v>148</v>
      </c>
      <c r="E35" s="2" t="s">
        <v>149</v>
      </c>
      <c r="F35" s="2" t="s">
        <v>150</v>
      </c>
      <c r="G35" s="2" t="s">
        <v>151</v>
      </c>
      <c r="H35" s="7"/>
    </row>
    <row r="36" customFormat="false" ht="15" hidden="false" customHeight="false" outlineLevel="0" collapsed="false">
      <c r="A36" s="2" t="s">
        <v>154</v>
      </c>
      <c r="B36" s="2" t="s">
        <v>155</v>
      </c>
      <c r="C36" s="2" t="n">
        <v>3</v>
      </c>
      <c r="D36" s="2" t="s">
        <v>152</v>
      </c>
      <c r="E36" s="2" t="s">
        <v>149</v>
      </c>
      <c r="F36" s="2" t="s">
        <v>153</v>
      </c>
      <c r="G36" s="2" t="s">
        <v>151</v>
      </c>
      <c r="H36" s="7"/>
    </row>
    <row r="37" customFormat="false" ht="15" hidden="false" customHeight="false" outlineLevel="0" collapsed="false">
      <c r="A37" s="2" t="s">
        <v>154</v>
      </c>
      <c r="B37" s="2" t="s">
        <v>155</v>
      </c>
      <c r="C37" s="2" t="n">
        <v>3</v>
      </c>
      <c r="D37" s="2" t="s">
        <v>156</v>
      </c>
      <c r="E37" s="2" t="s">
        <v>117</v>
      </c>
      <c r="F37" s="2" t="s">
        <v>157</v>
      </c>
      <c r="G37" s="2" t="s">
        <v>119</v>
      </c>
      <c r="H37" s="7"/>
    </row>
    <row r="38" customFormat="false" ht="15" hidden="false" customHeight="false" outlineLevel="0" collapsed="false">
      <c r="A38" s="2" t="s">
        <v>158</v>
      </c>
      <c r="B38" s="2" t="s">
        <v>159</v>
      </c>
      <c r="C38" s="2" t="n">
        <v>3</v>
      </c>
      <c r="D38" s="2" t="s">
        <v>160</v>
      </c>
      <c r="E38" s="2" t="s">
        <v>141</v>
      </c>
      <c r="F38" s="2" t="s">
        <v>161</v>
      </c>
      <c r="G38" s="2" t="s">
        <v>143</v>
      </c>
      <c r="H38" s="7"/>
    </row>
    <row r="39" customFormat="false" ht="15" hidden="false" customHeight="false" outlineLevel="0" collapsed="false">
      <c r="A39" s="2" t="s">
        <v>158</v>
      </c>
      <c r="B39" s="2" t="s">
        <v>159</v>
      </c>
      <c r="C39" s="2" t="n">
        <v>3</v>
      </c>
      <c r="D39" s="2" t="s">
        <v>146</v>
      </c>
      <c r="E39" s="2" t="s">
        <v>141</v>
      </c>
      <c r="F39" s="2" t="s">
        <v>147</v>
      </c>
      <c r="G39" s="2" t="s">
        <v>143</v>
      </c>
      <c r="H39" s="7"/>
    </row>
    <row r="40" customFormat="false" ht="15" hidden="false" customHeight="false" outlineLevel="0" collapsed="false">
      <c r="A40" s="2" t="s">
        <v>158</v>
      </c>
      <c r="B40" s="2" t="s">
        <v>159</v>
      </c>
      <c r="C40" s="2" t="n">
        <v>3</v>
      </c>
      <c r="D40" s="2" t="s">
        <v>162</v>
      </c>
      <c r="E40" s="2" t="s">
        <v>163</v>
      </c>
      <c r="F40" s="2" t="s">
        <v>164</v>
      </c>
      <c r="G40" s="2" t="s">
        <v>165</v>
      </c>
      <c r="H40" s="7"/>
    </row>
    <row r="41" customFormat="false" ht="15" hidden="false" customHeight="false" outlineLevel="0" collapsed="false">
      <c r="A41" s="2" t="s">
        <v>166</v>
      </c>
      <c r="B41" s="2" t="s">
        <v>167</v>
      </c>
      <c r="C41" s="2" t="n">
        <v>3</v>
      </c>
      <c r="D41" s="2" t="s">
        <v>168</v>
      </c>
      <c r="E41" s="2" t="s">
        <v>149</v>
      </c>
      <c r="F41" s="2" t="s">
        <v>169</v>
      </c>
      <c r="G41" s="2" t="s">
        <v>151</v>
      </c>
      <c r="H41" s="7"/>
    </row>
    <row r="42" customFormat="false" ht="15" hidden="false" customHeight="false" outlineLevel="0" collapsed="false">
      <c r="A42" s="2" t="s">
        <v>166</v>
      </c>
      <c r="B42" s="2" t="s">
        <v>167</v>
      </c>
      <c r="C42" s="2" t="n">
        <v>3</v>
      </c>
      <c r="D42" s="2" t="s">
        <v>138</v>
      </c>
      <c r="E42" s="2" t="s">
        <v>133</v>
      </c>
      <c r="F42" s="2" t="s">
        <v>139</v>
      </c>
      <c r="G42" s="2" t="s">
        <v>135</v>
      </c>
      <c r="H42" s="7"/>
    </row>
    <row r="43" customFormat="false" ht="15" hidden="false" customHeight="false" outlineLevel="0" collapsed="false">
      <c r="A43" s="2" t="s">
        <v>166</v>
      </c>
      <c r="B43" s="2" t="s">
        <v>167</v>
      </c>
      <c r="C43" s="2" t="n">
        <v>3</v>
      </c>
      <c r="D43" s="2" t="s">
        <v>170</v>
      </c>
      <c r="E43" s="2" t="s">
        <v>133</v>
      </c>
      <c r="F43" s="2" t="s">
        <v>171</v>
      </c>
      <c r="G43" s="2" t="s">
        <v>135</v>
      </c>
      <c r="H43" s="7"/>
    </row>
    <row r="44" customFormat="false" ht="15" hidden="false" customHeight="false" outlineLevel="0" collapsed="false">
      <c r="A44" s="2" t="s">
        <v>166</v>
      </c>
      <c r="B44" s="2" t="s">
        <v>167</v>
      </c>
      <c r="C44" s="2" t="n">
        <v>3</v>
      </c>
      <c r="D44" s="2" t="s">
        <v>132</v>
      </c>
      <c r="E44" s="2" t="s">
        <v>133</v>
      </c>
      <c r="F44" s="2" t="s">
        <v>134</v>
      </c>
      <c r="G44" s="2" t="s">
        <v>135</v>
      </c>
      <c r="H44" s="7"/>
    </row>
    <row r="45" customFormat="false" ht="15" hidden="false" customHeight="false" outlineLevel="0" collapsed="false">
      <c r="A45" s="2" t="s">
        <v>172</v>
      </c>
      <c r="B45" s="2" t="s">
        <v>173</v>
      </c>
      <c r="C45" s="2" t="n">
        <v>3</v>
      </c>
      <c r="D45" s="2" t="s">
        <v>174</v>
      </c>
      <c r="E45" s="2" t="s">
        <v>63</v>
      </c>
      <c r="F45" s="2" t="s">
        <v>175</v>
      </c>
      <c r="G45" s="2" t="s">
        <v>65</v>
      </c>
      <c r="H45" s="7"/>
    </row>
    <row r="46" customFormat="false" ht="15" hidden="false" customHeight="false" outlineLevel="0" collapsed="false">
      <c r="A46" s="2" t="s">
        <v>172</v>
      </c>
      <c r="B46" s="2" t="s">
        <v>173</v>
      </c>
      <c r="C46" s="2" t="n">
        <v>3</v>
      </c>
      <c r="D46" s="2" t="s">
        <v>176</v>
      </c>
      <c r="E46" s="2" t="s">
        <v>47</v>
      </c>
      <c r="F46" s="2" t="s">
        <v>177</v>
      </c>
      <c r="G46" s="2" t="s">
        <v>49</v>
      </c>
      <c r="H46" s="7"/>
    </row>
    <row r="47" customFormat="false" ht="15" hidden="false" customHeight="false" outlineLevel="0" collapsed="false">
      <c r="A47" s="2" t="s">
        <v>172</v>
      </c>
      <c r="B47" s="2" t="s">
        <v>173</v>
      </c>
      <c r="C47" s="2" t="n">
        <v>3</v>
      </c>
      <c r="D47" s="2" t="s">
        <v>130</v>
      </c>
      <c r="E47" s="2" t="s">
        <v>103</v>
      </c>
      <c r="F47" s="2" t="s">
        <v>131</v>
      </c>
      <c r="G47" s="2" t="s">
        <v>105</v>
      </c>
      <c r="H47" s="7"/>
    </row>
    <row r="48" customFormat="false" ht="15" hidden="false" customHeight="false" outlineLevel="0" collapsed="false">
      <c r="A48" s="2" t="s">
        <v>178</v>
      </c>
      <c r="B48" s="2" t="s">
        <v>179</v>
      </c>
      <c r="C48" s="2" t="n">
        <v>3</v>
      </c>
      <c r="D48" s="2" t="s">
        <v>146</v>
      </c>
      <c r="E48" s="2" t="s">
        <v>141</v>
      </c>
      <c r="F48" s="2" t="s">
        <v>147</v>
      </c>
      <c r="G48" s="2" t="s">
        <v>143</v>
      </c>
      <c r="H48" s="7"/>
    </row>
    <row r="49" customFormat="false" ht="15" hidden="false" customHeight="false" outlineLevel="0" collapsed="false">
      <c r="A49" s="2" t="s">
        <v>178</v>
      </c>
      <c r="B49" s="2" t="s">
        <v>179</v>
      </c>
      <c r="C49" s="2" t="n">
        <v>3</v>
      </c>
      <c r="D49" s="2" t="s">
        <v>140</v>
      </c>
      <c r="E49" s="2" t="s">
        <v>141</v>
      </c>
      <c r="F49" s="2" t="s">
        <v>142</v>
      </c>
      <c r="G49" s="2" t="s">
        <v>143</v>
      </c>
      <c r="H49" s="7"/>
    </row>
    <row r="50" customFormat="false" ht="15" hidden="false" customHeight="false" outlineLevel="0" collapsed="false">
      <c r="A50" s="2" t="s">
        <v>178</v>
      </c>
      <c r="B50" s="2" t="s">
        <v>179</v>
      </c>
      <c r="C50" s="2" t="n">
        <v>3</v>
      </c>
      <c r="D50" s="2" t="s">
        <v>56</v>
      </c>
      <c r="E50" s="2" t="s">
        <v>57</v>
      </c>
      <c r="F50" s="2" t="s">
        <v>58</v>
      </c>
      <c r="G50" s="2" t="s">
        <v>59</v>
      </c>
      <c r="H50" s="7"/>
    </row>
    <row r="51" customFormat="false" ht="15" hidden="false" customHeight="false" outlineLevel="0" collapsed="false">
      <c r="A51" s="2" t="s">
        <v>180</v>
      </c>
      <c r="B51" s="2" t="s">
        <v>181</v>
      </c>
      <c r="C51" s="2" t="n">
        <v>2</v>
      </c>
      <c r="D51" s="2" t="s">
        <v>182</v>
      </c>
      <c r="E51" s="2" t="s">
        <v>183</v>
      </c>
      <c r="F51" s="2" t="s">
        <v>184</v>
      </c>
      <c r="G51" s="2" t="s">
        <v>151</v>
      </c>
      <c r="H51" s="7"/>
    </row>
    <row r="52" customFormat="false" ht="15" hidden="false" customHeight="false" outlineLevel="0" collapsed="false">
      <c r="A52" s="2" t="s">
        <v>185</v>
      </c>
      <c r="B52" s="2" t="s">
        <v>186</v>
      </c>
      <c r="C52" s="2" t="n">
        <v>3</v>
      </c>
      <c r="D52" s="2" t="s">
        <v>182</v>
      </c>
      <c r="E52" s="2" t="s">
        <v>183</v>
      </c>
      <c r="F52" s="2" t="s">
        <v>184</v>
      </c>
      <c r="G52" s="2" t="s">
        <v>151</v>
      </c>
      <c r="H52" s="7"/>
    </row>
    <row r="53" customFormat="false" ht="15" hidden="false" customHeight="false" outlineLevel="0" collapsed="false">
      <c r="A53" s="2" t="s">
        <v>185</v>
      </c>
      <c r="B53" s="2" t="s">
        <v>186</v>
      </c>
      <c r="C53" s="2" t="n">
        <v>3</v>
      </c>
      <c r="D53" s="2" t="s">
        <v>160</v>
      </c>
      <c r="E53" s="2" t="s">
        <v>141</v>
      </c>
      <c r="F53" s="2" t="s">
        <v>161</v>
      </c>
      <c r="G53" s="2" t="s">
        <v>143</v>
      </c>
      <c r="H53" s="7"/>
    </row>
    <row r="54" customFormat="false" ht="15" hidden="false" customHeight="false" outlineLevel="0" collapsed="false">
      <c r="A54" s="2" t="s">
        <v>187</v>
      </c>
      <c r="B54" s="2" t="s">
        <v>188</v>
      </c>
      <c r="C54" s="2" t="n">
        <v>3</v>
      </c>
      <c r="D54" s="2" t="s">
        <v>189</v>
      </c>
      <c r="E54" s="2" t="s">
        <v>183</v>
      </c>
      <c r="F54" s="2" t="s">
        <v>190</v>
      </c>
      <c r="G54" s="2" t="s">
        <v>151</v>
      </c>
      <c r="H54" s="7"/>
    </row>
    <row r="55" customFormat="false" ht="15" hidden="false" customHeight="false" outlineLevel="0" collapsed="false">
      <c r="A55" s="2" t="s">
        <v>187</v>
      </c>
      <c r="B55" s="2" t="s">
        <v>188</v>
      </c>
      <c r="C55" s="2" t="n">
        <v>3</v>
      </c>
      <c r="D55" s="2" t="s">
        <v>191</v>
      </c>
      <c r="E55" s="2" t="s">
        <v>67</v>
      </c>
      <c r="F55" s="2" t="s">
        <v>192</v>
      </c>
      <c r="G55" s="2" t="s">
        <v>69</v>
      </c>
      <c r="H55" s="7"/>
    </row>
    <row r="56" customFormat="false" ht="15" hidden="false" customHeight="false" outlineLevel="0" collapsed="false">
      <c r="A56" s="2" t="s">
        <v>193</v>
      </c>
      <c r="B56" s="2" t="s">
        <v>194</v>
      </c>
      <c r="C56" s="2" t="n">
        <v>3</v>
      </c>
      <c r="D56" s="2" t="s">
        <v>195</v>
      </c>
      <c r="E56" s="2" t="s">
        <v>183</v>
      </c>
      <c r="F56" s="2" t="s">
        <v>196</v>
      </c>
      <c r="G56" s="2" t="s">
        <v>151</v>
      </c>
      <c r="H56" s="7"/>
    </row>
    <row r="57" customFormat="false" ht="15" hidden="false" customHeight="false" outlineLevel="0" collapsed="false">
      <c r="A57" s="2" t="s">
        <v>193</v>
      </c>
      <c r="B57" s="2" t="s">
        <v>194</v>
      </c>
      <c r="C57" s="2" t="n">
        <v>3</v>
      </c>
      <c r="D57" s="2" t="s">
        <v>197</v>
      </c>
      <c r="E57" s="2" t="s">
        <v>183</v>
      </c>
      <c r="F57" s="2" t="s">
        <v>198</v>
      </c>
      <c r="G57" s="2" t="s">
        <v>151</v>
      </c>
      <c r="H57" s="7"/>
    </row>
    <row r="58" customFormat="false" ht="15" hidden="false" customHeight="false" outlineLevel="0" collapsed="false">
      <c r="A58" s="2" t="s">
        <v>193</v>
      </c>
      <c r="B58" s="2" t="s">
        <v>194</v>
      </c>
      <c r="C58" s="2" t="n">
        <v>3</v>
      </c>
      <c r="D58" s="2" t="s">
        <v>199</v>
      </c>
      <c r="E58" s="2" t="s">
        <v>183</v>
      </c>
      <c r="F58" s="2" t="s">
        <v>200</v>
      </c>
      <c r="G58" s="2" t="s">
        <v>151</v>
      </c>
      <c r="H58" s="7"/>
    </row>
    <row r="59" customFormat="false" ht="15" hidden="false" customHeight="false" outlineLevel="0" collapsed="false">
      <c r="A59" s="2" t="s">
        <v>193</v>
      </c>
      <c r="B59" s="2" t="s">
        <v>194</v>
      </c>
      <c r="C59" s="2" t="n">
        <v>3</v>
      </c>
      <c r="D59" s="2" t="s">
        <v>201</v>
      </c>
      <c r="E59" s="2" t="s">
        <v>183</v>
      </c>
      <c r="F59" s="2" t="s">
        <v>202</v>
      </c>
      <c r="G59" s="2" t="s">
        <v>151</v>
      </c>
      <c r="H59" s="7"/>
    </row>
    <row r="60" customFormat="false" ht="15" hidden="false" customHeight="false" outlineLevel="0" collapsed="false">
      <c r="A60" s="2" t="s">
        <v>193</v>
      </c>
      <c r="B60" s="2" t="s">
        <v>194</v>
      </c>
      <c r="C60" s="2" t="n">
        <v>3</v>
      </c>
      <c r="D60" s="2" t="s">
        <v>203</v>
      </c>
      <c r="E60" s="2" t="s">
        <v>183</v>
      </c>
      <c r="F60" s="2" t="s">
        <v>204</v>
      </c>
      <c r="G60" s="2" t="s">
        <v>151</v>
      </c>
      <c r="H60" s="7"/>
    </row>
    <row r="61" customFormat="false" ht="15" hidden="false" customHeight="false" outlineLevel="0" collapsed="false">
      <c r="A61" s="2" t="s">
        <v>205</v>
      </c>
      <c r="B61" s="2" t="s">
        <v>206</v>
      </c>
      <c r="C61" s="2" t="n">
        <v>3</v>
      </c>
      <c r="D61" s="2" t="s">
        <v>176</v>
      </c>
      <c r="E61" s="2" t="s">
        <v>47</v>
      </c>
      <c r="F61" s="2" t="s">
        <v>177</v>
      </c>
      <c r="G61" s="2" t="s">
        <v>49</v>
      </c>
      <c r="H61" s="7"/>
    </row>
    <row r="62" customFormat="false" ht="15" hidden="false" customHeight="false" outlineLevel="0" collapsed="false">
      <c r="A62" s="2" t="s">
        <v>205</v>
      </c>
      <c r="B62" s="2" t="s">
        <v>206</v>
      </c>
      <c r="C62" s="2" t="n">
        <v>3</v>
      </c>
      <c r="D62" s="2" t="s">
        <v>102</v>
      </c>
      <c r="E62" s="2" t="s">
        <v>103</v>
      </c>
      <c r="F62" s="2" t="s">
        <v>104</v>
      </c>
      <c r="G62" s="2" t="s">
        <v>105</v>
      </c>
      <c r="H62" s="7"/>
    </row>
    <row r="63" customFormat="false" ht="15" hidden="false" customHeight="false" outlineLevel="0" collapsed="false">
      <c r="A63" s="2" t="s">
        <v>207</v>
      </c>
      <c r="B63" s="2" t="s">
        <v>208</v>
      </c>
      <c r="C63" s="2" t="n">
        <v>2</v>
      </c>
      <c r="D63" s="2" t="s">
        <v>209</v>
      </c>
      <c r="E63" s="2" t="s">
        <v>183</v>
      </c>
      <c r="F63" s="2" t="s">
        <v>210</v>
      </c>
      <c r="G63" s="2" t="s">
        <v>151</v>
      </c>
      <c r="H63" s="7"/>
    </row>
    <row r="64" customFormat="false" ht="15" hidden="false" customHeight="false" outlineLevel="0" collapsed="false">
      <c r="A64" s="2" t="s">
        <v>207</v>
      </c>
      <c r="B64" s="2" t="s">
        <v>208</v>
      </c>
      <c r="C64" s="2" t="n">
        <v>2</v>
      </c>
      <c r="D64" s="2" t="s">
        <v>211</v>
      </c>
      <c r="E64" s="2" t="s">
        <v>149</v>
      </c>
      <c r="F64" s="2" t="s">
        <v>212</v>
      </c>
      <c r="G64" s="2" t="s">
        <v>151</v>
      </c>
      <c r="H64" s="7"/>
    </row>
    <row r="65" customFormat="false" ht="15" hidden="false" customHeight="false" outlineLevel="0" collapsed="false">
      <c r="A65" s="2" t="s">
        <v>207</v>
      </c>
      <c r="B65" s="2" t="s">
        <v>208</v>
      </c>
      <c r="C65" s="2" t="n">
        <v>2</v>
      </c>
      <c r="D65" s="2" t="s">
        <v>213</v>
      </c>
      <c r="E65" s="2" t="s">
        <v>149</v>
      </c>
      <c r="F65" s="2" t="s">
        <v>214</v>
      </c>
      <c r="G65" s="2" t="s">
        <v>151</v>
      </c>
      <c r="H65" s="7"/>
    </row>
    <row r="66" customFormat="false" ht="15" hidden="false" customHeight="false" outlineLevel="0" collapsed="false">
      <c r="A66" s="2" t="s">
        <v>215</v>
      </c>
      <c r="B66" s="2" t="s">
        <v>216</v>
      </c>
      <c r="C66" s="2" t="n">
        <v>3</v>
      </c>
      <c r="D66" s="2" t="s">
        <v>176</v>
      </c>
      <c r="E66" s="2" t="s">
        <v>47</v>
      </c>
      <c r="F66" s="2" t="s">
        <v>177</v>
      </c>
      <c r="G66" s="2" t="s">
        <v>49</v>
      </c>
      <c r="H66" s="7"/>
    </row>
    <row r="67" customFormat="false" ht="15" hidden="false" customHeight="false" outlineLevel="0" collapsed="false">
      <c r="A67" s="2" t="s">
        <v>215</v>
      </c>
      <c r="B67" s="2" t="s">
        <v>216</v>
      </c>
      <c r="C67" s="2" t="n">
        <v>3</v>
      </c>
      <c r="D67" s="2" t="s">
        <v>209</v>
      </c>
      <c r="E67" s="2" t="s">
        <v>183</v>
      </c>
      <c r="F67" s="2" t="s">
        <v>210</v>
      </c>
      <c r="G67" s="2" t="s">
        <v>151</v>
      </c>
      <c r="H67" s="7"/>
    </row>
    <row r="68" customFormat="false" ht="15" hidden="false" customHeight="false" outlineLevel="0" collapsed="false">
      <c r="A68" s="2" t="s">
        <v>215</v>
      </c>
      <c r="B68" s="2" t="s">
        <v>216</v>
      </c>
      <c r="C68" s="2" t="n">
        <v>3</v>
      </c>
      <c r="D68" s="2" t="s">
        <v>217</v>
      </c>
      <c r="E68" s="2" t="s">
        <v>57</v>
      </c>
      <c r="F68" s="2" t="s">
        <v>218</v>
      </c>
      <c r="G68" s="2" t="s">
        <v>59</v>
      </c>
      <c r="H68" s="7"/>
    </row>
    <row r="69" customFormat="false" ht="15" hidden="false" customHeight="false" outlineLevel="0" collapsed="false">
      <c r="A69" s="2" t="s">
        <v>219</v>
      </c>
      <c r="B69" s="2" t="s">
        <v>220</v>
      </c>
      <c r="C69" s="2" t="n">
        <v>3</v>
      </c>
      <c r="D69" s="2" t="s">
        <v>191</v>
      </c>
      <c r="E69" s="2" t="s">
        <v>67</v>
      </c>
      <c r="F69" s="2" t="s">
        <v>192</v>
      </c>
      <c r="G69" s="2" t="s">
        <v>69</v>
      </c>
      <c r="H69" s="7"/>
    </row>
    <row r="70" customFormat="false" ht="15" hidden="false" customHeight="false" outlineLevel="0" collapsed="false">
      <c r="A70" s="2" t="s">
        <v>219</v>
      </c>
      <c r="B70" s="2" t="s">
        <v>220</v>
      </c>
      <c r="C70" s="2" t="n">
        <v>3</v>
      </c>
      <c r="D70" s="2" t="s">
        <v>209</v>
      </c>
      <c r="E70" s="2" t="s">
        <v>183</v>
      </c>
      <c r="F70" s="2" t="s">
        <v>210</v>
      </c>
      <c r="G70" s="2" t="s">
        <v>151</v>
      </c>
      <c r="H70" s="7"/>
    </row>
    <row r="71" customFormat="false" ht="15" hidden="false" customHeight="false" outlineLevel="0" collapsed="false">
      <c r="A71" s="2" t="s">
        <v>219</v>
      </c>
      <c r="B71" s="2" t="s">
        <v>220</v>
      </c>
      <c r="C71" s="2" t="n">
        <v>3</v>
      </c>
      <c r="D71" s="2" t="s">
        <v>221</v>
      </c>
      <c r="E71" s="2" t="s">
        <v>57</v>
      </c>
      <c r="F71" s="2" t="s">
        <v>222</v>
      </c>
      <c r="G71" s="2" t="s">
        <v>59</v>
      </c>
      <c r="H71" s="7"/>
    </row>
    <row r="72" customFormat="false" ht="15" hidden="false" customHeight="false" outlineLevel="0" collapsed="false">
      <c r="A72" s="2" t="s">
        <v>223</v>
      </c>
      <c r="B72" s="2" t="s">
        <v>224</v>
      </c>
      <c r="C72" s="2" t="n">
        <v>3</v>
      </c>
      <c r="D72" s="2" t="s">
        <v>225</v>
      </c>
      <c r="E72" s="2" t="s">
        <v>103</v>
      </c>
      <c r="F72" s="2" t="s">
        <v>226</v>
      </c>
      <c r="G72" s="2" t="s">
        <v>105</v>
      </c>
      <c r="H72" s="7"/>
    </row>
    <row r="73" customFormat="false" ht="15" hidden="false" customHeight="false" outlineLevel="0" collapsed="false">
      <c r="A73" s="2" t="s">
        <v>223</v>
      </c>
      <c r="B73" s="2" t="s">
        <v>224</v>
      </c>
      <c r="C73" s="2" t="n">
        <v>3</v>
      </c>
      <c r="D73" s="2" t="s">
        <v>227</v>
      </c>
      <c r="E73" s="2" t="s">
        <v>228</v>
      </c>
      <c r="F73" s="2" t="s">
        <v>229</v>
      </c>
      <c r="G73" s="2" t="s">
        <v>230</v>
      </c>
      <c r="H73" s="7"/>
    </row>
    <row r="74" customFormat="false" ht="15" hidden="false" customHeight="false" outlineLevel="0" collapsed="false">
      <c r="A74" s="2" t="s">
        <v>223</v>
      </c>
      <c r="B74" s="2" t="s">
        <v>224</v>
      </c>
      <c r="C74" s="2" t="n">
        <v>3</v>
      </c>
      <c r="D74" s="2" t="s">
        <v>231</v>
      </c>
      <c r="E74" s="2" t="s">
        <v>63</v>
      </c>
      <c r="F74" s="2" t="s">
        <v>232</v>
      </c>
      <c r="G74" s="2" t="s">
        <v>65</v>
      </c>
      <c r="H74" s="7"/>
    </row>
    <row r="75" customFormat="false" ht="15" hidden="false" customHeight="false" outlineLevel="0" collapsed="false">
      <c r="A75" s="2" t="s">
        <v>233</v>
      </c>
      <c r="B75" s="2" t="s">
        <v>234</v>
      </c>
      <c r="C75" s="2" t="n">
        <v>3</v>
      </c>
      <c r="D75" s="2" t="s">
        <v>235</v>
      </c>
      <c r="E75" s="2" t="s">
        <v>236</v>
      </c>
      <c r="F75" s="2" t="s">
        <v>237</v>
      </c>
      <c r="G75" s="2" t="s">
        <v>238</v>
      </c>
      <c r="H75" s="7"/>
    </row>
    <row r="76" customFormat="false" ht="15" hidden="false" customHeight="false" outlineLevel="0" collapsed="false">
      <c r="A76" s="2" t="s">
        <v>233</v>
      </c>
      <c r="B76" s="2" t="s">
        <v>234</v>
      </c>
      <c r="C76" s="2" t="n">
        <v>3</v>
      </c>
      <c r="D76" s="2" t="s">
        <v>239</v>
      </c>
      <c r="E76" s="2" t="s">
        <v>63</v>
      </c>
      <c r="F76" s="2" t="s">
        <v>240</v>
      </c>
      <c r="G76" s="2" t="s">
        <v>65</v>
      </c>
      <c r="H76" s="7"/>
    </row>
    <row r="77" customFormat="false" ht="23.85" hidden="false" customHeight="false" outlineLevel="0" collapsed="false">
      <c r="A77" s="2" t="s">
        <v>233</v>
      </c>
      <c r="B77" s="2" t="s">
        <v>234</v>
      </c>
      <c r="C77" s="2" t="n">
        <v>3</v>
      </c>
      <c r="D77" s="2" t="s">
        <v>241</v>
      </c>
      <c r="E77" s="2" t="s">
        <v>47</v>
      </c>
      <c r="F77" s="2" t="s">
        <v>242</v>
      </c>
      <c r="G77" s="2" t="s">
        <v>49</v>
      </c>
      <c r="H77" s="7"/>
    </row>
    <row r="78" customFormat="false" ht="15" hidden="false" customHeight="false" outlineLevel="0" collapsed="false">
      <c r="A78" s="2" t="s">
        <v>243</v>
      </c>
      <c r="B78" s="2" t="s">
        <v>244</v>
      </c>
      <c r="C78" s="2" t="n">
        <v>3</v>
      </c>
      <c r="D78" s="2" t="s">
        <v>174</v>
      </c>
      <c r="E78" s="2" t="s">
        <v>63</v>
      </c>
      <c r="F78" s="2" t="s">
        <v>175</v>
      </c>
      <c r="G78" s="2" t="s">
        <v>65</v>
      </c>
      <c r="H78" s="7"/>
    </row>
    <row r="79" customFormat="false" ht="15" hidden="false" customHeight="false" outlineLevel="0" collapsed="false">
      <c r="A79" s="2" t="s">
        <v>243</v>
      </c>
      <c r="B79" s="2" t="s">
        <v>244</v>
      </c>
      <c r="C79" s="2" t="n">
        <v>3</v>
      </c>
      <c r="D79" s="2" t="s">
        <v>245</v>
      </c>
      <c r="E79" s="2" t="s">
        <v>53</v>
      </c>
      <c r="F79" s="2" t="s">
        <v>246</v>
      </c>
      <c r="G79" s="2" t="s">
        <v>55</v>
      </c>
      <c r="H79" s="7"/>
    </row>
    <row r="80" customFormat="false" ht="15" hidden="false" customHeight="false" outlineLevel="0" collapsed="false">
      <c r="A80" s="2" t="s">
        <v>247</v>
      </c>
      <c r="B80" s="2" t="s">
        <v>248</v>
      </c>
      <c r="C80" s="2" t="n">
        <v>3</v>
      </c>
      <c r="D80" s="2" t="s">
        <v>211</v>
      </c>
      <c r="E80" s="2" t="s">
        <v>149</v>
      </c>
      <c r="F80" s="2" t="s">
        <v>212</v>
      </c>
      <c r="G80" s="2" t="s">
        <v>151</v>
      </c>
      <c r="H80" s="7"/>
    </row>
    <row r="81" customFormat="false" ht="15" hidden="false" customHeight="false" outlineLevel="0" collapsed="false">
      <c r="A81" s="2" t="s">
        <v>247</v>
      </c>
      <c r="B81" s="2" t="s">
        <v>248</v>
      </c>
      <c r="C81" s="2" t="n">
        <v>3</v>
      </c>
      <c r="D81" s="2" t="s">
        <v>213</v>
      </c>
      <c r="E81" s="2" t="s">
        <v>149</v>
      </c>
      <c r="F81" s="2" t="s">
        <v>214</v>
      </c>
      <c r="G81" s="2" t="s">
        <v>151</v>
      </c>
      <c r="H81" s="7"/>
    </row>
    <row r="82" customFormat="false" ht="15" hidden="false" customHeight="false" outlineLevel="0" collapsed="false">
      <c r="A82" s="2" t="s">
        <v>249</v>
      </c>
      <c r="B82" s="2" t="s">
        <v>250</v>
      </c>
      <c r="C82" s="2" t="n">
        <v>2</v>
      </c>
      <c r="D82" s="2" t="s">
        <v>251</v>
      </c>
      <c r="E82" s="2" t="s">
        <v>149</v>
      </c>
      <c r="F82" s="2" t="s">
        <v>252</v>
      </c>
      <c r="G82" s="2" t="s">
        <v>151</v>
      </c>
      <c r="H82" s="7"/>
    </row>
    <row r="83" customFormat="false" ht="15" hidden="false" customHeight="false" outlineLevel="0" collapsed="false">
      <c r="A83" s="2" t="s">
        <v>249</v>
      </c>
      <c r="B83" s="2" t="s">
        <v>250</v>
      </c>
      <c r="C83" s="2" t="n">
        <v>2</v>
      </c>
      <c r="D83" s="2" t="s">
        <v>253</v>
      </c>
      <c r="E83" s="2" t="s">
        <v>43</v>
      </c>
      <c r="F83" s="2" t="s">
        <v>254</v>
      </c>
      <c r="G83" s="2" t="s">
        <v>45</v>
      </c>
      <c r="H83" s="7"/>
    </row>
    <row r="84" customFormat="false" ht="15" hidden="false" customHeight="false" outlineLevel="0" collapsed="false">
      <c r="A84" s="2" t="s">
        <v>255</v>
      </c>
      <c r="B84" s="2" t="s">
        <v>256</v>
      </c>
      <c r="C84" s="2" t="n">
        <v>3</v>
      </c>
      <c r="D84" s="2" t="s">
        <v>251</v>
      </c>
      <c r="E84" s="2" t="s">
        <v>149</v>
      </c>
      <c r="F84" s="2" t="s">
        <v>252</v>
      </c>
      <c r="G84" s="2" t="s">
        <v>151</v>
      </c>
      <c r="H84" s="7"/>
    </row>
    <row r="85" customFormat="false" ht="15" hidden="false" customHeight="false" outlineLevel="0" collapsed="false">
      <c r="A85" s="2" t="s">
        <v>255</v>
      </c>
      <c r="B85" s="2" t="s">
        <v>256</v>
      </c>
      <c r="C85" s="2" t="n">
        <v>3</v>
      </c>
      <c r="D85" s="2" t="s">
        <v>257</v>
      </c>
      <c r="E85" s="2" t="s">
        <v>117</v>
      </c>
      <c r="F85" s="2" t="s">
        <v>258</v>
      </c>
      <c r="G85" s="2" t="s">
        <v>119</v>
      </c>
      <c r="H85" s="7"/>
    </row>
    <row r="86" customFormat="false" ht="15" hidden="false" customHeight="false" outlineLevel="0" collapsed="false">
      <c r="A86" s="2" t="s">
        <v>259</v>
      </c>
      <c r="B86" s="2" t="s">
        <v>260</v>
      </c>
      <c r="C86" s="2" t="n">
        <v>3</v>
      </c>
      <c r="D86" s="2" t="s">
        <v>261</v>
      </c>
      <c r="E86" s="2" t="s">
        <v>103</v>
      </c>
      <c r="F86" s="2" t="s">
        <v>262</v>
      </c>
      <c r="G86" s="2" t="s">
        <v>105</v>
      </c>
      <c r="H86" s="7"/>
    </row>
    <row r="87" customFormat="false" ht="15" hidden="false" customHeight="false" outlineLevel="0" collapsed="false">
      <c r="A87" s="2" t="s">
        <v>263</v>
      </c>
      <c r="B87" s="2" t="s">
        <v>264</v>
      </c>
      <c r="C87" s="2" t="n">
        <v>3</v>
      </c>
      <c r="D87" s="2" t="s">
        <v>195</v>
      </c>
      <c r="E87" s="2" t="s">
        <v>183</v>
      </c>
      <c r="F87" s="2" t="s">
        <v>196</v>
      </c>
      <c r="G87" s="2" t="s">
        <v>151</v>
      </c>
      <c r="H87" s="7"/>
    </row>
    <row r="88" customFormat="false" ht="15" hidden="false" customHeight="false" outlineLevel="0" collapsed="false">
      <c r="A88" s="2" t="s">
        <v>263</v>
      </c>
      <c r="B88" s="2" t="s">
        <v>264</v>
      </c>
      <c r="C88" s="2" t="n">
        <v>3</v>
      </c>
      <c r="D88" s="2" t="s">
        <v>265</v>
      </c>
      <c r="E88" s="2" t="s">
        <v>47</v>
      </c>
      <c r="F88" s="2" t="s">
        <v>266</v>
      </c>
      <c r="G88" s="2" t="s">
        <v>49</v>
      </c>
      <c r="H88" s="7"/>
    </row>
    <row r="89" customFormat="false" ht="15" hidden="false" customHeight="false" outlineLevel="0" collapsed="false">
      <c r="A89" s="2" t="s">
        <v>263</v>
      </c>
      <c r="B89" s="2" t="s">
        <v>264</v>
      </c>
      <c r="C89" s="2" t="n">
        <v>3</v>
      </c>
      <c r="D89" s="2" t="s">
        <v>267</v>
      </c>
      <c r="E89" s="2" t="s">
        <v>57</v>
      </c>
      <c r="F89" s="2" t="s">
        <v>268</v>
      </c>
      <c r="G89" s="2" t="s">
        <v>59</v>
      </c>
      <c r="H89" s="7"/>
    </row>
    <row r="90" customFormat="false" ht="15" hidden="false" customHeight="false" outlineLevel="0" collapsed="false">
      <c r="A90" s="2" t="s">
        <v>269</v>
      </c>
      <c r="B90" s="2" t="s">
        <v>270</v>
      </c>
      <c r="C90" s="2" t="n">
        <v>3</v>
      </c>
      <c r="D90" s="2" t="s">
        <v>245</v>
      </c>
      <c r="E90" s="2" t="s">
        <v>53</v>
      </c>
      <c r="F90" s="2" t="s">
        <v>246</v>
      </c>
      <c r="G90" s="2" t="s">
        <v>55</v>
      </c>
      <c r="H90" s="7"/>
    </row>
    <row r="91" customFormat="false" ht="15" hidden="false" customHeight="false" outlineLevel="0" collapsed="false">
      <c r="A91" s="2" t="s">
        <v>269</v>
      </c>
      <c r="B91" s="2" t="s">
        <v>270</v>
      </c>
      <c r="C91" s="2" t="n">
        <v>3</v>
      </c>
      <c r="D91" s="2" t="s">
        <v>199</v>
      </c>
      <c r="E91" s="2" t="s">
        <v>183</v>
      </c>
      <c r="F91" s="2" t="s">
        <v>200</v>
      </c>
      <c r="G91" s="2" t="s">
        <v>151</v>
      </c>
      <c r="H91" s="7"/>
    </row>
    <row r="92" customFormat="false" ht="15" hidden="false" customHeight="false" outlineLevel="0" collapsed="false">
      <c r="A92" s="2" t="s">
        <v>271</v>
      </c>
      <c r="B92" s="2" t="s">
        <v>272</v>
      </c>
      <c r="C92" s="2" t="n">
        <v>3</v>
      </c>
      <c r="D92" s="2" t="s">
        <v>273</v>
      </c>
      <c r="E92" s="2" t="s">
        <v>109</v>
      </c>
      <c r="F92" s="2" t="s">
        <v>274</v>
      </c>
      <c r="G92" s="2" t="s">
        <v>111</v>
      </c>
      <c r="H92" s="7"/>
    </row>
    <row r="93" customFormat="false" ht="15" hidden="false" customHeight="false" outlineLevel="0" collapsed="false">
      <c r="A93" s="2" t="s">
        <v>271</v>
      </c>
      <c r="B93" s="2" t="s">
        <v>272</v>
      </c>
      <c r="C93" s="2" t="n">
        <v>3</v>
      </c>
      <c r="D93" s="2" t="s">
        <v>201</v>
      </c>
      <c r="E93" s="2" t="s">
        <v>183</v>
      </c>
      <c r="F93" s="2" t="s">
        <v>202</v>
      </c>
      <c r="G93" s="2" t="s">
        <v>151</v>
      </c>
      <c r="H93" s="7"/>
    </row>
    <row r="94" customFormat="false" ht="15" hidden="false" customHeight="false" outlineLevel="0" collapsed="false">
      <c r="A94" s="2" t="s">
        <v>275</v>
      </c>
      <c r="B94" s="2" t="s">
        <v>276</v>
      </c>
      <c r="C94" s="2" t="n">
        <v>3</v>
      </c>
      <c r="D94" s="2" t="s">
        <v>277</v>
      </c>
      <c r="E94" s="2" t="s">
        <v>63</v>
      </c>
      <c r="F94" s="2" t="s">
        <v>278</v>
      </c>
      <c r="G94" s="2" t="s">
        <v>65</v>
      </c>
      <c r="H94" s="7"/>
    </row>
    <row r="95" customFormat="false" ht="15" hidden="false" customHeight="false" outlineLevel="0" collapsed="false">
      <c r="A95" s="2" t="s">
        <v>275</v>
      </c>
      <c r="B95" s="2" t="s">
        <v>276</v>
      </c>
      <c r="C95" s="2" t="n">
        <v>3</v>
      </c>
      <c r="D95" s="2" t="s">
        <v>176</v>
      </c>
      <c r="E95" s="2" t="s">
        <v>47</v>
      </c>
      <c r="F95" s="2" t="s">
        <v>177</v>
      </c>
      <c r="G95" s="2" t="s">
        <v>49</v>
      </c>
      <c r="H95" s="7"/>
    </row>
    <row r="96" customFormat="false" ht="15" hidden="false" customHeight="false" outlineLevel="0" collapsed="false">
      <c r="A96" s="2" t="s">
        <v>275</v>
      </c>
      <c r="B96" s="2" t="s">
        <v>276</v>
      </c>
      <c r="C96" s="2" t="n">
        <v>3</v>
      </c>
      <c r="D96" s="2" t="s">
        <v>279</v>
      </c>
      <c r="E96" s="2" t="s">
        <v>103</v>
      </c>
      <c r="F96" s="2" t="s">
        <v>280</v>
      </c>
      <c r="G96" s="2" t="s">
        <v>105</v>
      </c>
      <c r="H96" s="7"/>
    </row>
    <row r="97" customFormat="false" ht="15" hidden="false" customHeight="false" outlineLevel="0" collapsed="false">
      <c r="A97" s="2" t="s">
        <v>281</v>
      </c>
      <c r="B97" s="2" t="s">
        <v>282</v>
      </c>
      <c r="C97" s="2" t="n">
        <v>3</v>
      </c>
      <c r="D97" s="2" t="s">
        <v>130</v>
      </c>
      <c r="E97" s="2" t="s">
        <v>103</v>
      </c>
      <c r="F97" s="2" t="s">
        <v>131</v>
      </c>
      <c r="G97" s="2" t="s">
        <v>105</v>
      </c>
      <c r="H97" s="7"/>
    </row>
    <row r="98" customFormat="false" ht="15" hidden="false" customHeight="false" outlineLevel="0" collapsed="false">
      <c r="A98" s="2" t="s">
        <v>283</v>
      </c>
      <c r="B98" s="2" t="s">
        <v>284</v>
      </c>
      <c r="C98" s="2" t="n">
        <v>3</v>
      </c>
      <c r="D98" s="2" t="s">
        <v>197</v>
      </c>
      <c r="E98" s="2" t="s">
        <v>183</v>
      </c>
      <c r="F98" s="2" t="s">
        <v>198</v>
      </c>
      <c r="G98" s="2" t="s">
        <v>151</v>
      </c>
      <c r="H98" s="7"/>
    </row>
    <row r="99" customFormat="false" ht="15" hidden="false" customHeight="false" outlineLevel="0" collapsed="false">
      <c r="A99" s="2" t="s">
        <v>283</v>
      </c>
      <c r="B99" s="2" t="s">
        <v>284</v>
      </c>
      <c r="C99" s="2" t="n">
        <v>3</v>
      </c>
      <c r="D99" s="2" t="s">
        <v>285</v>
      </c>
      <c r="E99" s="2" t="s">
        <v>133</v>
      </c>
      <c r="F99" s="2" t="s">
        <v>286</v>
      </c>
      <c r="G99" s="2" t="s">
        <v>135</v>
      </c>
      <c r="H99" s="7"/>
    </row>
    <row r="100" customFormat="false" ht="15" hidden="false" customHeight="false" outlineLevel="0" collapsed="false">
      <c r="A100" s="2" t="s">
        <v>287</v>
      </c>
      <c r="B100" s="2" t="s">
        <v>288</v>
      </c>
      <c r="C100" s="2" t="n">
        <v>2</v>
      </c>
      <c r="D100" s="2" t="s">
        <v>289</v>
      </c>
      <c r="E100" s="2" t="s">
        <v>43</v>
      </c>
      <c r="F100" s="2" t="s">
        <v>290</v>
      </c>
      <c r="G100" s="2" t="s">
        <v>45</v>
      </c>
      <c r="H100" s="7"/>
    </row>
    <row r="101" customFormat="false" ht="15" hidden="false" customHeight="false" outlineLevel="0" collapsed="false">
      <c r="A101" s="2" t="s">
        <v>291</v>
      </c>
      <c r="B101" s="2" t="s">
        <v>292</v>
      </c>
      <c r="C101" s="2" t="n">
        <v>3</v>
      </c>
      <c r="D101" s="2" t="s">
        <v>289</v>
      </c>
      <c r="E101" s="2" t="s">
        <v>43</v>
      </c>
      <c r="F101" s="2" t="s">
        <v>290</v>
      </c>
      <c r="G101" s="2" t="s">
        <v>45</v>
      </c>
      <c r="H101" s="7"/>
    </row>
    <row r="102" customFormat="false" ht="15" hidden="false" customHeight="false" outlineLevel="0" collapsed="false">
      <c r="A102" s="2" t="s">
        <v>291</v>
      </c>
      <c r="B102" s="2" t="s">
        <v>292</v>
      </c>
      <c r="C102" s="2" t="n">
        <v>3</v>
      </c>
      <c r="D102" s="2" t="s">
        <v>293</v>
      </c>
      <c r="E102" s="2" t="s">
        <v>183</v>
      </c>
      <c r="F102" s="2" t="s">
        <v>294</v>
      </c>
      <c r="G102" s="2" t="s">
        <v>151</v>
      </c>
      <c r="H102" s="7"/>
    </row>
    <row r="103" customFormat="false" ht="15" hidden="false" customHeight="false" outlineLevel="0" collapsed="false">
      <c r="A103" s="2" t="s">
        <v>291</v>
      </c>
      <c r="B103" s="2" t="s">
        <v>292</v>
      </c>
      <c r="C103" s="2" t="n">
        <v>3</v>
      </c>
      <c r="D103" s="2" t="s">
        <v>295</v>
      </c>
      <c r="E103" s="2" t="s">
        <v>149</v>
      </c>
      <c r="F103" s="2" t="s">
        <v>296</v>
      </c>
      <c r="G103" s="2" t="s">
        <v>151</v>
      </c>
      <c r="H103" s="7"/>
    </row>
    <row r="104" customFormat="false" ht="15" hidden="false" customHeight="false" outlineLevel="0" collapsed="false">
      <c r="A104" s="2" t="s">
        <v>297</v>
      </c>
      <c r="B104" s="2" t="s">
        <v>298</v>
      </c>
      <c r="C104" s="2" t="n">
        <v>2</v>
      </c>
      <c r="D104" s="2" t="s">
        <v>299</v>
      </c>
      <c r="E104" s="2" t="s">
        <v>63</v>
      </c>
      <c r="F104" s="2" t="s">
        <v>300</v>
      </c>
      <c r="G104" s="2" t="s">
        <v>65</v>
      </c>
      <c r="H104" s="7"/>
    </row>
    <row r="105" customFormat="false" ht="15" hidden="false" customHeight="false" outlineLevel="0" collapsed="false">
      <c r="A105" s="2" t="s">
        <v>297</v>
      </c>
      <c r="B105" s="2" t="s">
        <v>298</v>
      </c>
      <c r="C105" s="2" t="n">
        <v>2</v>
      </c>
      <c r="D105" s="2" t="s">
        <v>86</v>
      </c>
      <c r="E105" s="2" t="s">
        <v>87</v>
      </c>
      <c r="F105" s="2" t="s">
        <v>88</v>
      </c>
      <c r="G105" s="2" t="s">
        <v>89</v>
      </c>
      <c r="H105" s="7"/>
    </row>
    <row r="106" customFormat="false" ht="15" hidden="false" customHeight="false" outlineLevel="0" collapsed="false">
      <c r="A106" s="2" t="s">
        <v>297</v>
      </c>
      <c r="B106" s="2" t="s">
        <v>298</v>
      </c>
      <c r="C106" s="2" t="n">
        <v>2</v>
      </c>
      <c r="D106" s="2" t="s">
        <v>217</v>
      </c>
      <c r="E106" s="2" t="s">
        <v>57</v>
      </c>
      <c r="F106" s="2" t="s">
        <v>218</v>
      </c>
      <c r="G106" s="2" t="s">
        <v>59</v>
      </c>
      <c r="H106" s="7"/>
    </row>
    <row r="107" customFormat="false" ht="15" hidden="false" customHeight="false" outlineLevel="0" collapsed="false">
      <c r="A107" s="2" t="s">
        <v>297</v>
      </c>
      <c r="B107" s="2" t="s">
        <v>298</v>
      </c>
      <c r="C107" s="2" t="n">
        <v>2</v>
      </c>
      <c r="D107" s="2" t="s">
        <v>301</v>
      </c>
      <c r="E107" s="2" t="s">
        <v>47</v>
      </c>
      <c r="F107" s="2" t="s">
        <v>302</v>
      </c>
      <c r="G107" s="2" t="s">
        <v>49</v>
      </c>
      <c r="H107" s="7"/>
    </row>
    <row r="108" customFormat="false" ht="15" hidden="false" customHeight="false" outlineLevel="0" collapsed="false">
      <c r="A108" s="2" t="s">
        <v>303</v>
      </c>
      <c r="B108" s="2" t="s">
        <v>304</v>
      </c>
      <c r="C108" s="2" t="n">
        <v>3</v>
      </c>
      <c r="D108" s="2" t="s">
        <v>305</v>
      </c>
      <c r="E108" s="2" t="s">
        <v>306</v>
      </c>
      <c r="F108" s="2" t="s">
        <v>307</v>
      </c>
      <c r="G108" s="2" t="s">
        <v>308</v>
      </c>
      <c r="H108" s="7"/>
    </row>
    <row r="109" customFormat="false" ht="15" hidden="false" customHeight="false" outlineLevel="0" collapsed="false">
      <c r="A109" s="2" t="s">
        <v>303</v>
      </c>
      <c r="B109" s="2" t="s">
        <v>304</v>
      </c>
      <c r="C109" s="2" t="n">
        <v>3</v>
      </c>
      <c r="D109" s="2" t="s">
        <v>309</v>
      </c>
      <c r="E109" s="2" t="s">
        <v>306</v>
      </c>
      <c r="F109" s="2" t="s">
        <v>310</v>
      </c>
      <c r="G109" s="2" t="s">
        <v>308</v>
      </c>
      <c r="H109" s="7"/>
    </row>
    <row r="110" customFormat="false" ht="15" hidden="false" customHeight="false" outlineLevel="0" collapsed="false">
      <c r="A110" s="2" t="s">
        <v>303</v>
      </c>
      <c r="B110" s="2" t="s">
        <v>304</v>
      </c>
      <c r="C110" s="2" t="n">
        <v>3</v>
      </c>
      <c r="D110" s="2" t="s">
        <v>311</v>
      </c>
      <c r="E110" s="2" t="s">
        <v>306</v>
      </c>
      <c r="F110" s="2" t="s">
        <v>312</v>
      </c>
      <c r="G110" s="2" t="s">
        <v>313</v>
      </c>
      <c r="H110" s="7"/>
    </row>
    <row r="111" customFormat="false" ht="15" hidden="false" customHeight="false" outlineLevel="0" collapsed="false">
      <c r="A111" s="2" t="s">
        <v>303</v>
      </c>
      <c r="B111" s="2" t="s">
        <v>304</v>
      </c>
      <c r="C111" s="2" t="n">
        <v>3</v>
      </c>
      <c r="D111" s="2" t="s">
        <v>314</v>
      </c>
      <c r="E111" s="2" t="s">
        <v>306</v>
      </c>
      <c r="F111" s="2" t="s">
        <v>315</v>
      </c>
      <c r="G111" s="2" t="s">
        <v>313</v>
      </c>
      <c r="H111" s="7"/>
    </row>
    <row r="112" customFormat="false" ht="15" hidden="false" customHeight="false" outlineLevel="0" collapsed="false">
      <c r="A112" s="2" t="s">
        <v>303</v>
      </c>
      <c r="B112" s="2" t="s">
        <v>304</v>
      </c>
      <c r="C112" s="2" t="n">
        <v>3</v>
      </c>
      <c r="D112" s="2" t="s">
        <v>316</v>
      </c>
      <c r="E112" s="2" t="s">
        <v>47</v>
      </c>
      <c r="F112" s="2" t="s">
        <v>317</v>
      </c>
      <c r="G112" s="2" t="s">
        <v>49</v>
      </c>
      <c r="H112" s="7"/>
    </row>
    <row r="113" customFormat="false" ht="15" hidden="false" customHeight="false" outlineLevel="0" collapsed="false">
      <c r="A113" s="2" t="s">
        <v>303</v>
      </c>
      <c r="B113" s="2" t="s">
        <v>304</v>
      </c>
      <c r="C113" s="2" t="n">
        <v>3</v>
      </c>
      <c r="D113" s="2" t="s">
        <v>318</v>
      </c>
      <c r="E113" s="2" t="s">
        <v>149</v>
      </c>
      <c r="F113" s="2" t="s">
        <v>319</v>
      </c>
      <c r="G113" s="2" t="s">
        <v>151</v>
      </c>
      <c r="H113" s="7"/>
    </row>
    <row r="114" customFormat="false" ht="15" hidden="false" customHeight="false" outlineLevel="0" collapsed="false">
      <c r="A114" s="2" t="s">
        <v>320</v>
      </c>
      <c r="B114" s="2" t="s">
        <v>321</v>
      </c>
      <c r="C114" s="2" t="n">
        <v>3</v>
      </c>
      <c r="D114" s="2" t="s">
        <v>322</v>
      </c>
      <c r="E114" s="2" t="s">
        <v>117</v>
      </c>
      <c r="F114" s="2" t="s">
        <v>323</v>
      </c>
      <c r="G114" s="2" t="s">
        <v>119</v>
      </c>
      <c r="H114" s="7"/>
    </row>
    <row r="115" customFormat="false" ht="15" hidden="false" customHeight="false" outlineLevel="0" collapsed="false">
      <c r="A115" s="2" t="s">
        <v>320</v>
      </c>
      <c r="B115" s="2" t="s">
        <v>321</v>
      </c>
      <c r="C115" s="2" t="n">
        <v>3</v>
      </c>
      <c r="D115" s="2" t="s">
        <v>324</v>
      </c>
      <c r="E115" s="2" t="s">
        <v>117</v>
      </c>
      <c r="F115" s="2" t="s">
        <v>325</v>
      </c>
      <c r="G115" s="2" t="s">
        <v>119</v>
      </c>
      <c r="H115" s="7"/>
    </row>
    <row r="116" customFormat="false" ht="15" hidden="false" customHeight="false" outlineLevel="0" collapsed="false">
      <c r="A116" s="2" t="s">
        <v>320</v>
      </c>
      <c r="B116" s="2" t="s">
        <v>321</v>
      </c>
      <c r="C116" s="2" t="n">
        <v>3</v>
      </c>
      <c r="D116" s="2" t="s">
        <v>326</v>
      </c>
      <c r="E116" s="2" t="s">
        <v>306</v>
      </c>
      <c r="F116" s="2" t="s">
        <v>327</v>
      </c>
      <c r="G116" s="2" t="s">
        <v>308</v>
      </c>
      <c r="H116" s="7"/>
    </row>
    <row r="117" customFormat="false" ht="23.85" hidden="false" customHeight="false" outlineLevel="0" collapsed="false">
      <c r="A117" s="2" t="s">
        <v>328</v>
      </c>
      <c r="B117" s="2" t="s">
        <v>329</v>
      </c>
      <c r="C117" s="2" t="n">
        <v>3</v>
      </c>
      <c r="D117" s="2" t="s">
        <v>299</v>
      </c>
      <c r="E117" s="2" t="s">
        <v>63</v>
      </c>
      <c r="F117" s="2" t="s">
        <v>300</v>
      </c>
      <c r="G117" s="2" t="s">
        <v>65</v>
      </c>
      <c r="H117" s="7"/>
    </row>
    <row r="118" customFormat="false" ht="23.85" hidden="false" customHeight="false" outlineLevel="0" collapsed="false">
      <c r="A118" s="2" t="s">
        <v>328</v>
      </c>
      <c r="B118" s="2" t="s">
        <v>329</v>
      </c>
      <c r="C118" s="2" t="n">
        <v>3</v>
      </c>
      <c r="D118" s="2" t="s">
        <v>301</v>
      </c>
      <c r="E118" s="2" t="s">
        <v>47</v>
      </c>
      <c r="F118" s="2" t="s">
        <v>302</v>
      </c>
      <c r="G118" s="2" t="s">
        <v>49</v>
      </c>
      <c r="H118" s="7"/>
    </row>
    <row r="119" customFormat="false" ht="23.85" hidden="false" customHeight="false" outlineLevel="0" collapsed="false">
      <c r="A119" s="2" t="s">
        <v>328</v>
      </c>
      <c r="B119" s="2" t="s">
        <v>329</v>
      </c>
      <c r="C119" s="2" t="n">
        <v>3</v>
      </c>
      <c r="D119" s="2" t="s">
        <v>156</v>
      </c>
      <c r="E119" s="2" t="s">
        <v>117</v>
      </c>
      <c r="F119" s="2" t="s">
        <v>157</v>
      </c>
      <c r="G119" s="2" t="s">
        <v>119</v>
      </c>
      <c r="H119" s="7"/>
    </row>
    <row r="120" customFormat="false" ht="15" hidden="false" customHeight="false" outlineLevel="0" collapsed="false">
      <c r="A120" s="2" t="s">
        <v>330</v>
      </c>
      <c r="B120" s="2" t="s">
        <v>331</v>
      </c>
      <c r="C120" s="2" t="n">
        <v>3</v>
      </c>
      <c r="D120" s="2" t="s">
        <v>332</v>
      </c>
      <c r="E120" s="2" t="s">
        <v>183</v>
      </c>
      <c r="F120" s="2" t="s">
        <v>333</v>
      </c>
      <c r="G120" s="2" t="s">
        <v>151</v>
      </c>
      <c r="H120" s="7"/>
    </row>
    <row r="121" customFormat="false" ht="15" hidden="false" customHeight="false" outlineLevel="0" collapsed="false">
      <c r="A121" s="2" t="s">
        <v>330</v>
      </c>
      <c r="B121" s="2" t="s">
        <v>331</v>
      </c>
      <c r="C121" s="2" t="n">
        <v>3</v>
      </c>
      <c r="D121" s="2" t="s">
        <v>334</v>
      </c>
      <c r="E121" s="2" t="s">
        <v>163</v>
      </c>
      <c r="F121" s="2" t="s">
        <v>335</v>
      </c>
      <c r="G121" s="2" t="s">
        <v>165</v>
      </c>
      <c r="H121" s="7"/>
    </row>
    <row r="122" customFormat="false" ht="15" hidden="false" customHeight="false" outlineLevel="0" collapsed="false">
      <c r="A122" s="2" t="s">
        <v>330</v>
      </c>
      <c r="B122" s="2" t="s">
        <v>331</v>
      </c>
      <c r="C122" s="2" t="n">
        <v>3</v>
      </c>
      <c r="D122" s="2" t="s">
        <v>162</v>
      </c>
      <c r="E122" s="2" t="s">
        <v>163</v>
      </c>
      <c r="F122" s="2" t="s">
        <v>164</v>
      </c>
      <c r="G122" s="2" t="s">
        <v>165</v>
      </c>
      <c r="H122" s="7"/>
    </row>
    <row r="123" customFormat="false" ht="15" hidden="false" customHeight="false" outlineLevel="0" collapsed="false">
      <c r="A123" s="2" t="s">
        <v>330</v>
      </c>
      <c r="B123" s="2" t="s">
        <v>331</v>
      </c>
      <c r="C123" s="2" t="n">
        <v>3</v>
      </c>
      <c r="D123" s="2" t="s">
        <v>336</v>
      </c>
      <c r="E123" s="2" t="s">
        <v>337</v>
      </c>
      <c r="F123" s="2" t="s">
        <v>338</v>
      </c>
      <c r="G123" s="2" t="s">
        <v>339</v>
      </c>
      <c r="H123" s="7"/>
    </row>
    <row r="124" customFormat="false" ht="15" hidden="false" customHeight="false" outlineLevel="0" collapsed="false">
      <c r="A124" s="2" t="s">
        <v>340</v>
      </c>
      <c r="B124" s="2" t="s">
        <v>341</v>
      </c>
      <c r="C124" s="2" t="n">
        <v>3</v>
      </c>
      <c r="D124" s="2" t="s">
        <v>332</v>
      </c>
      <c r="E124" s="2" t="s">
        <v>183</v>
      </c>
      <c r="F124" s="2" t="s">
        <v>333</v>
      </c>
      <c r="G124" s="2" t="s">
        <v>151</v>
      </c>
      <c r="H124" s="7"/>
    </row>
    <row r="125" customFormat="false" ht="15" hidden="false" customHeight="false" outlineLevel="0" collapsed="false">
      <c r="A125" s="2" t="s">
        <v>340</v>
      </c>
      <c r="B125" s="2" t="s">
        <v>341</v>
      </c>
      <c r="C125" s="2" t="n">
        <v>3</v>
      </c>
      <c r="D125" s="2" t="s">
        <v>336</v>
      </c>
      <c r="E125" s="2" t="s">
        <v>337</v>
      </c>
      <c r="F125" s="2" t="s">
        <v>338</v>
      </c>
      <c r="G125" s="2" t="s">
        <v>339</v>
      </c>
      <c r="H125" s="7"/>
    </row>
    <row r="126" customFormat="false" ht="15" hidden="false" customHeight="false" outlineLevel="0" collapsed="false">
      <c r="A126" s="2" t="s">
        <v>342</v>
      </c>
      <c r="B126" s="2" t="s">
        <v>343</v>
      </c>
      <c r="C126" s="2" t="n">
        <v>3</v>
      </c>
      <c r="D126" s="2" t="s">
        <v>344</v>
      </c>
      <c r="E126" s="2" t="s">
        <v>337</v>
      </c>
      <c r="F126" s="2" t="s">
        <v>345</v>
      </c>
      <c r="G126" s="2" t="s">
        <v>339</v>
      </c>
      <c r="H126" s="7"/>
    </row>
    <row r="127" customFormat="false" ht="15" hidden="false" customHeight="false" outlineLevel="0" collapsed="false">
      <c r="A127" s="2" t="s">
        <v>342</v>
      </c>
      <c r="B127" s="2" t="s">
        <v>343</v>
      </c>
      <c r="C127" s="2" t="n">
        <v>3</v>
      </c>
      <c r="D127" s="2" t="s">
        <v>346</v>
      </c>
      <c r="E127" s="2" t="s">
        <v>183</v>
      </c>
      <c r="F127" s="2" t="s">
        <v>347</v>
      </c>
      <c r="G127" s="2" t="s">
        <v>151</v>
      </c>
      <c r="H127" s="7"/>
    </row>
    <row r="128" customFormat="false" ht="15" hidden="false" customHeight="false" outlineLevel="0" collapsed="false">
      <c r="A128" s="2" t="s">
        <v>348</v>
      </c>
      <c r="B128" s="2" t="s">
        <v>349</v>
      </c>
      <c r="C128" s="2" t="n">
        <v>3</v>
      </c>
      <c r="D128" s="2" t="s">
        <v>350</v>
      </c>
      <c r="E128" s="2" t="s">
        <v>306</v>
      </c>
      <c r="F128" s="2" t="s">
        <v>351</v>
      </c>
      <c r="G128" s="2" t="s">
        <v>308</v>
      </c>
      <c r="H128" s="7"/>
    </row>
    <row r="129" customFormat="false" ht="15" hidden="false" customHeight="false" outlineLevel="0" collapsed="false">
      <c r="A129" s="2" t="s">
        <v>348</v>
      </c>
      <c r="B129" s="2" t="s">
        <v>349</v>
      </c>
      <c r="C129" s="2" t="n">
        <v>3</v>
      </c>
      <c r="D129" s="2" t="s">
        <v>116</v>
      </c>
      <c r="E129" s="2" t="s">
        <v>117</v>
      </c>
      <c r="F129" s="2" t="s">
        <v>118</v>
      </c>
      <c r="G129" s="2" t="s">
        <v>119</v>
      </c>
      <c r="H129" s="7"/>
    </row>
    <row r="130" customFormat="false" ht="15" hidden="false" customHeight="false" outlineLevel="0" collapsed="false">
      <c r="A130" s="2" t="s">
        <v>348</v>
      </c>
      <c r="B130" s="2" t="s">
        <v>349</v>
      </c>
      <c r="C130" s="2" t="n">
        <v>3</v>
      </c>
      <c r="D130" s="2" t="s">
        <v>299</v>
      </c>
      <c r="E130" s="2" t="s">
        <v>63</v>
      </c>
      <c r="F130" s="2" t="s">
        <v>300</v>
      </c>
      <c r="G130" s="2" t="s">
        <v>65</v>
      </c>
      <c r="H130" s="7"/>
    </row>
    <row r="131" customFormat="false" ht="15" hidden="false" customHeight="false" outlineLevel="0" collapsed="false">
      <c r="A131" s="2" t="s">
        <v>352</v>
      </c>
      <c r="B131" s="2" t="s">
        <v>353</v>
      </c>
      <c r="C131" s="2" t="n">
        <v>3</v>
      </c>
      <c r="D131" s="2" t="s">
        <v>114</v>
      </c>
      <c r="E131" s="2" t="s">
        <v>53</v>
      </c>
      <c r="F131" s="2" t="s">
        <v>115</v>
      </c>
      <c r="G131" s="2" t="s">
        <v>55</v>
      </c>
      <c r="H131" s="7"/>
    </row>
    <row r="132" customFormat="false" ht="15" hidden="false" customHeight="false" outlineLevel="0" collapsed="false">
      <c r="A132" s="2" t="s">
        <v>352</v>
      </c>
      <c r="B132" s="2" t="s">
        <v>353</v>
      </c>
      <c r="C132" s="2" t="n">
        <v>3</v>
      </c>
      <c r="D132" s="2" t="s">
        <v>116</v>
      </c>
      <c r="E132" s="2" t="s">
        <v>117</v>
      </c>
      <c r="F132" s="2" t="s">
        <v>118</v>
      </c>
      <c r="G132" s="2" t="s">
        <v>119</v>
      </c>
      <c r="H132" s="7"/>
    </row>
    <row r="133" customFormat="false" ht="15" hidden="false" customHeight="false" outlineLevel="0" collapsed="false">
      <c r="A133" s="2" t="s">
        <v>352</v>
      </c>
      <c r="B133" s="2" t="s">
        <v>353</v>
      </c>
      <c r="C133" s="2" t="n">
        <v>3</v>
      </c>
      <c r="D133" s="2" t="s">
        <v>354</v>
      </c>
      <c r="E133" s="2" t="s">
        <v>163</v>
      </c>
      <c r="F133" s="2" t="s">
        <v>355</v>
      </c>
      <c r="G133" s="2" t="s">
        <v>165</v>
      </c>
      <c r="H133" s="7"/>
    </row>
    <row r="134" customFormat="false" ht="23.85" hidden="false" customHeight="false" outlineLevel="0" collapsed="false">
      <c r="A134" s="2" t="s">
        <v>356</v>
      </c>
      <c r="B134" s="2" t="s">
        <v>357</v>
      </c>
      <c r="C134" s="2" t="n">
        <v>3</v>
      </c>
      <c r="D134" s="2" t="s">
        <v>358</v>
      </c>
      <c r="E134" s="2" t="s">
        <v>47</v>
      </c>
      <c r="F134" s="2" t="s">
        <v>359</v>
      </c>
      <c r="G134" s="2" t="s">
        <v>49</v>
      </c>
      <c r="H134" s="7"/>
    </row>
    <row r="135" customFormat="false" ht="15" hidden="false" customHeight="false" outlineLevel="0" collapsed="false">
      <c r="A135" s="2" t="s">
        <v>356</v>
      </c>
      <c r="B135" s="2" t="s">
        <v>357</v>
      </c>
      <c r="C135" s="2" t="n">
        <v>3</v>
      </c>
      <c r="D135" s="2" t="s">
        <v>360</v>
      </c>
      <c r="E135" s="2" t="s">
        <v>63</v>
      </c>
      <c r="F135" s="2" t="s">
        <v>361</v>
      </c>
      <c r="G135" s="2" t="s">
        <v>65</v>
      </c>
      <c r="H135" s="7"/>
    </row>
    <row r="136" customFormat="false" ht="15" hidden="false" customHeight="false" outlineLevel="0" collapsed="false">
      <c r="A136" s="2" t="s">
        <v>356</v>
      </c>
      <c r="B136" s="2" t="s">
        <v>357</v>
      </c>
      <c r="C136" s="2" t="n">
        <v>3</v>
      </c>
      <c r="D136" s="2" t="s">
        <v>362</v>
      </c>
      <c r="E136" s="2" t="s">
        <v>43</v>
      </c>
      <c r="F136" s="2" t="s">
        <v>363</v>
      </c>
      <c r="G136" s="2" t="s">
        <v>45</v>
      </c>
      <c r="H136" s="7"/>
    </row>
    <row r="137" customFormat="false" ht="15" hidden="false" customHeight="false" outlineLevel="0" collapsed="false">
      <c r="A137" s="2" t="s">
        <v>364</v>
      </c>
      <c r="B137" s="2" t="s">
        <v>365</v>
      </c>
      <c r="C137" s="2" t="n">
        <v>2</v>
      </c>
      <c r="D137" s="2" t="s">
        <v>301</v>
      </c>
      <c r="E137" s="2" t="s">
        <v>47</v>
      </c>
      <c r="F137" s="2" t="s">
        <v>302</v>
      </c>
      <c r="G137" s="2" t="s">
        <v>49</v>
      </c>
      <c r="H137" s="7"/>
    </row>
    <row r="138" customFormat="false" ht="15" hidden="false" customHeight="false" outlineLevel="0" collapsed="false">
      <c r="A138" s="2" t="s">
        <v>364</v>
      </c>
      <c r="B138" s="2" t="s">
        <v>365</v>
      </c>
      <c r="C138" s="2" t="n">
        <v>2</v>
      </c>
      <c r="D138" s="2" t="s">
        <v>217</v>
      </c>
      <c r="E138" s="2" t="s">
        <v>57</v>
      </c>
      <c r="F138" s="2" t="s">
        <v>218</v>
      </c>
      <c r="G138" s="2" t="s">
        <v>59</v>
      </c>
      <c r="H138" s="7"/>
    </row>
    <row r="139" customFormat="false" ht="15" hidden="false" customHeight="false" outlineLevel="0" collapsed="false">
      <c r="A139" s="2" t="s">
        <v>366</v>
      </c>
      <c r="B139" s="2" t="s">
        <v>367</v>
      </c>
      <c r="C139" s="2" t="n">
        <v>3</v>
      </c>
      <c r="D139" s="2" t="s">
        <v>301</v>
      </c>
      <c r="E139" s="2" t="s">
        <v>47</v>
      </c>
      <c r="F139" s="2" t="s">
        <v>302</v>
      </c>
      <c r="G139" s="2" t="s">
        <v>49</v>
      </c>
      <c r="H139" s="7"/>
    </row>
    <row r="140" customFormat="false" ht="15" hidden="false" customHeight="false" outlineLevel="0" collapsed="false">
      <c r="A140" s="2" t="s">
        <v>366</v>
      </c>
      <c r="B140" s="2" t="s">
        <v>367</v>
      </c>
      <c r="C140" s="2" t="n">
        <v>3</v>
      </c>
      <c r="D140" s="2" t="s">
        <v>156</v>
      </c>
      <c r="E140" s="2" t="s">
        <v>117</v>
      </c>
      <c r="F140" s="2" t="s">
        <v>157</v>
      </c>
      <c r="G140" s="2" t="s">
        <v>119</v>
      </c>
      <c r="H140" s="7"/>
    </row>
    <row r="141" customFormat="false" ht="15" hidden="false" customHeight="false" outlineLevel="0" collapsed="false">
      <c r="A141" s="2" t="s">
        <v>366</v>
      </c>
      <c r="B141" s="2" t="s">
        <v>367</v>
      </c>
      <c r="C141" s="2" t="n">
        <v>3</v>
      </c>
      <c r="D141" s="2" t="s">
        <v>368</v>
      </c>
      <c r="E141" s="2" t="s">
        <v>306</v>
      </c>
      <c r="F141" s="2" t="s">
        <v>369</v>
      </c>
      <c r="G141" s="2" t="s">
        <v>308</v>
      </c>
      <c r="H141" s="7"/>
    </row>
    <row r="142" customFormat="false" ht="15" hidden="false" customHeight="false" outlineLevel="0" collapsed="false">
      <c r="A142" s="2" t="s">
        <v>370</v>
      </c>
      <c r="B142" s="2" t="s">
        <v>371</v>
      </c>
      <c r="C142" s="2" t="n">
        <v>3</v>
      </c>
      <c r="D142" s="2" t="s">
        <v>344</v>
      </c>
      <c r="E142" s="2" t="s">
        <v>337</v>
      </c>
      <c r="F142" s="2" t="s">
        <v>345</v>
      </c>
      <c r="G142" s="2" t="s">
        <v>339</v>
      </c>
      <c r="H142" s="7"/>
    </row>
    <row r="143" customFormat="false" ht="15" hidden="false" customHeight="false" outlineLevel="0" collapsed="false">
      <c r="A143" s="2" t="s">
        <v>370</v>
      </c>
      <c r="B143" s="2" t="s">
        <v>371</v>
      </c>
      <c r="C143" s="2" t="n">
        <v>3</v>
      </c>
      <c r="D143" s="2" t="s">
        <v>346</v>
      </c>
      <c r="E143" s="2" t="s">
        <v>183</v>
      </c>
      <c r="F143" s="2" t="s">
        <v>347</v>
      </c>
      <c r="G143" s="2" t="s">
        <v>151</v>
      </c>
      <c r="H143" s="7"/>
    </row>
    <row r="144" customFormat="false" ht="15" hidden="false" customHeight="false" outlineLevel="0" collapsed="false">
      <c r="A144" s="2" t="s">
        <v>372</v>
      </c>
      <c r="B144" s="2" t="s">
        <v>373</v>
      </c>
      <c r="C144" s="2" t="n">
        <v>2</v>
      </c>
      <c r="D144" s="2" t="s">
        <v>374</v>
      </c>
      <c r="E144" s="2" t="s">
        <v>63</v>
      </c>
      <c r="F144" s="2" t="s">
        <v>375</v>
      </c>
      <c r="G144" s="2" t="s">
        <v>65</v>
      </c>
      <c r="H144" s="7"/>
    </row>
    <row r="145" customFormat="false" ht="15" hidden="false" customHeight="false" outlineLevel="0" collapsed="false">
      <c r="A145" s="2" t="s">
        <v>372</v>
      </c>
      <c r="B145" s="2" t="s">
        <v>373</v>
      </c>
      <c r="C145" s="2" t="n">
        <v>2</v>
      </c>
      <c r="D145" s="2" t="s">
        <v>217</v>
      </c>
      <c r="E145" s="2" t="s">
        <v>57</v>
      </c>
      <c r="F145" s="2" t="s">
        <v>218</v>
      </c>
      <c r="G145" s="2" t="s">
        <v>59</v>
      </c>
      <c r="H145" s="7"/>
    </row>
    <row r="146" customFormat="false" ht="15" hidden="false" customHeight="false" outlineLevel="0" collapsed="false">
      <c r="A146" s="2" t="s">
        <v>372</v>
      </c>
      <c r="B146" s="2" t="s">
        <v>373</v>
      </c>
      <c r="C146" s="2" t="n">
        <v>2</v>
      </c>
      <c r="D146" s="2" t="s">
        <v>376</v>
      </c>
      <c r="E146" s="2" t="s">
        <v>228</v>
      </c>
      <c r="F146" s="2" t="s">
        <v>377</v>
      </c>
      <c r="G146" s="2" t="s">
        <v>230</v>
      </c>
      <c r="H146" s="7"/>
    </row>
    <row r="147" customFormat="false" ht="23.85" hidden="false" customHeight="false" outlineLevel="0" collapsed="false">
      <c r="A147" s="2" t="s">
        <v>378</v>
      </c>
      <c r="B147" s="2" t="s">
        <v>379</v>
      </c>
      <c r="C147" s="2" t="n">
        <v>3</v>
      </c>
      <c r="D147" s="2" t="s">
        <v>374</v>
      </c>
      <c r="E147" s="2" t="s">
        <v>63</v>
      </c>
      <c r="F147" s="2" t="s">
        <v>375</v>
      </c>
      <c r="G147" s="2" t="s">
        <v>65</v>
      </c>
      <c r="H147" s="7"/>
    </row>
    <row r="148" customFormat="false" ht="23.85" hidden="false" customHeight="false" outlineLevel="0" collapsed="false">
      <c r="A148" s="2" t="s">
        <v>378</v>
      </c>
      <c r="B148" s="2" t="s">
        <v>379</v>
      </c>
      <c r="C148" s="2" t="n">
        <v>3</v>
      </c>
      <c r="D148" s="2" t="s">
        <v>156</v>
      </c>
      <c r="E148" s="2" t="s">
        <v>117</v>
      </c>
      <c r="F148" s="2" t="s">
        <v>157</v>
      </c>
      <c r="G148" s="2" t="s">
        <v>119</v>
      </c>
      <c r="H148" s="7"/>
    </row>
    <row r="149" customFormat="false" ht="23.85" hidden="false" customHeight="false" outlineLevel="0" collapsed="false">
      <c r="A149" s="2" t="s">
        <v>378</v>
      </c>
      <c r="B149" s="2" t="s">
        <v>379</v>
      </c>
      <c r="C149" s="2" t="n">
        <v>3</v>
      </c>
      <c r="D149" s="2" t="s">
        <v>380</v>
      </c>
      <c r="E149" s="2" t="s">
        <v>306</v>
      </c>
      <c r="F149" s="2" t="s">
        <v>381</v>
      </c>
      <c r="G149" s="2" t="s">
        <v>308</v>
      </c>
      <c r="H149" s="7"/>
    </row>
    <row r="150" customFormat="false" ht="15" hidden="false" customHeight="false" outlineLevel="0" collapsed="false">
      <c r="A150" s="2" t="s">
        <v>382</v>
      </c>
      <c r="B150" s="2" t="s">
        <v>383</v>
      </c>
      <c r="C150" s="2" t="n">
        <v>3</v>
      </c>
      <c r="D150" s="2" t="s">
        <v>80</v>
      </c>
      <c r="E150" s="2" t="s">
        <v>73</v>
      </c>
      <c r="F150" s="2" t="s">
        <v>81</v>
      </c>
      <c r="G150" s="2" t="s">
        <v>75</v>
      </c>
      <c r="H150" s="7"/>
    </row>
    <row r="151" customFormat="false" ht="15" hidden="false" customHeight="false" outlineLevel="0" collapsed="false">
      <c r="A151" s="2" t="s">
        <v>382</v>
      </c>
      <c r="B151" s="2" t="s">
        <v>383</v>
      </c>
      <c r="C151" s="2" t="n">
        <v>3</v>
      </c>
      <c r="D151" s="2" t="s">
        <v>82</v>
      </c>
      <c r="E151" s="2" t="s">
        <v>47</v>
      </c>
      <c r="F151" s="2" t="s">
        <v>83</v>
      </c>
      <c r="G151" s="2" t="s">
        <v>49</v>
      </c>
      <c r="H151" s="7"/>
    </row>
    <row r="152" customFormat="false" ht="15" hidden="false" customHeight="false" outlineLevel="0" collapsed="false">
      <c r="A152" s="2" t="s">
        <v>384</v>
      </c>
      <c r="B152" s="2" t="s">
        <v>385</v>
      </c>
      <c r="C152" s="2" t="n">
        <v>3</v>
      </c>
      <c r="D152" s="2" t="s">
        <v>209</v>
      </c>
      <c r="E152" s="2" t="s">
        <v>183</v>
      </c>
      <c r="F152" s="2" t="s">
        <v>210</v>
      </c>
      <c r="G152" s="2" t="s">
        <v>151</v>
      </c>
      <c r="H152" s="7"/>
    </row>
    <row r="153" customFormat="false" ht="15" hidden="false" customHeight="false" outlineLevel="0" collapsed="false">
      <c r="A153" s="2" t="s">
        <v>384</v>
      </c>
      <c r="B153" s="2" t="s">
        <v>385</v>
      </c>
      <c r="C153" s="2" t="n">
        <v>3</v>
      </c>
      <c r="D153" s="2" t="s">
        <v>376</v>
      </c>
      <c r="E153" s="2" t="s">
        <v>228</v>
      </c>
      <c r="F153" s="2" t="s">
        <v>377</v>
      </c>
      <c r="G153" s="2" t="s">
        <v>230</v>
      </c>
      <c r="H153" s="7"/>
    </row>
    <row r="154" customFormat="false" ht="15" hidden="false" customHeight="false" outlineLevel="0" collapsed="false">
      <c r="A154" s="2" t="s">
        <v>384</v>
      </c>
      <c r="B154" s="2" t="s">
        <v>385</v>
      </c>
      <c r="C154" s="2" t="n">
        <v>3</v>
      </c>
      <c r="D154" s="2" t="s">
        <v>386</v>
      </c>
      <c r="E154" s="2" t="s">
        <v>337</v>
      </c>
      <c r="F154" s="2" t="s">
        <v>387</v>
      </c>
      <c r="G154" s="2" t="s">
        <v>339</v>
      </c>
      <c r="H154" s="7"/>
    </row>
    <row r="155" customFormat="false" ht="15" hidden="false" customHeight="false" outlineLevel="0" collapsed="false">
      <c r="A155" s="2" t="s">
        <v>388</v>
      </c>
      <c r="B155" s="2" t="s">
        <v>389</v>
      </c>
      <c r="C155" s="2" t="n">
        <v>3</v>
      </c>
      <c r="D155" s="2" t="s">
        <v>332</v>
      </c>
      <c r="E155" s="2" t="s">
        <v>183</v>
      </c>
      <c r="F155" s="2" t="s">
        <v>333</v>
      </c>
      <c r="G155" s="2" t="s">
        <v>151</v>
      </c>
      <c r="H155" s="7"/>
    </row>
    <row r="156" customFormat="false" ht="15" hidden="false" customHeight="false" outlineLevel="0" collapsed="false">
      <c r="A156" s="2" t="s">
        <v>388</v>
      </c>
      <c r="B156" s="2" t="s">
        <v>389</v>
      </c>
      <c r="C156" s="2" t="n">
        <v>3</v>
      </c>
      <c r="D156" s="2" t="s">
        <v>336</v>
      </c>
      <c r="E156" s="2" t="s">
        <v>337</v>
      </c>
      <c r="F156" s="2" t="s">
        <v>338</v>
      </c>
      <c r="G156" s="2" t="s">
        <v>339</v>
      </c>
      <c r="H156" s="7"/>
    </row>
    <row r="157" customFormat="false" ht="15" hidden="false" customHeight="false" outlineLevel="0" collapsed="false">
      <c r="A157" s="2" t="s">
        <v>390</v>
      </c>
      <c r="B157" s="2" t="s">
        <v>391</v>
      </c>
      <c r="C157" s="2" t="n">
        <v>3</v>
      </c>
      <c r="D157" s="2" t="s">
        <v>52</v>
      </c>
      <c r="E157" s="2" t="s">
        <v>53</v>
      </c>
      <c r="F157" s="2" t="s">
        <v>54</v>
      </c>
      <c r="G157" s="2" t="s">
        <v>55</v>
      </c>
      <c r="H157" s="7"/>
    </row>
    <row r="158" customFormat="false" ht="15" hidden="false" customHeight="false" outlineLevel="0" collapsed="false">
      <c r="A158" s="2" t="s">
        <v>390</v>
      </c>
      <c r="B158" s="2" t="s">
        <v>391</v>
      </c>
      <c r="C158" s="2" t="n">
        <v>3</v>
      </c>
      <c r="D158" s="2" t="s">
        <v>203</v>
      </c>
      <c r="E158" s="2" t="s">
        <v>183</v>
      </c>
      <c r="F158" s="2" t="s">
        <v>204</v>
      </c>
      <c r="G158" s="2" t="s">
        <v>151</v>
      </c>
      <c r="H158" s="7"/>
    </row>
    <row r="159" customFormat="false" ht="15" hidden="false" customHeight="false" outlineLevel="0" collapsed="false">
      <c r="A159" s="2" t="s">
        <v>392</v>
      </c>
      <c r="B159" s="2" t="s">
        <v>393</v>
      </c>
      <c r="C159" s="2" t="n">
        <v>2</v>
      </c>
      <c r="D159" s="2" t="s">
        <v>394</v>
      </c>
      <c r="E159" s="2" t="s">
        <v>63</v>
      </c>
      <c r="F159" s="2" t="s">
        <v>395</v>
      </c>
      <c r="G159" s="2" t="s">
        <v>65</v>
      </c>
      <c r="H159" s="7"/>
    </row>
    <row r="160" customFormat="false" ht="15" hidden="false" customHeight="false" outlineLevel="0" collapsed="false">
      <c r="A160" s="2" t="s">
        <v>396</v>
      </c>
      <c r="B160" s="2" t="s">
        <v>397</v>
      </c>
      <c r="C160" s="2" t="n">
        <v>3</v>
      </c>
      <c r="D160" s="2" t="s">
        <v>394</v>
      </c>
      <c r="E160" s="2" t="s">
        <v>63</v>
      </c>
      <c r="F160" s="2" t="s">
        <v>395</v>
      </c>
      <c r="G160" s="2" t="s">
        <v>65</v>
      </c>
      <c r="H160" s="7"/>
    </row>
    <row r="161" customFormat="false" ht="15" hidden="false" customHeight="false" outlineLevel="0" collapsed="false">
      <c r="A161" s="2" t="s">
        <v>396</v>
      </c>
      <c r="B161" s="2" t="s">
        <v>397</v>
      </c>
      <c r="C161" s="2" t="n">
        <v>3</v>
      </c>
      <c r="D161" s="2" t="s">
        <v>309</v>
      </c>
      <c r="E161" s="2" t="s">
        <v>306</v>
      </c>
      <c r="F161" s="2" t="s">
        <v>310</v>
      </c>
      <c r="G161" s="2" t="s">
        <v>308</v>
      </c>
      <c r="H161" s="7"/>
    </row>
    <row r="162" customFormat="false" ht="15" hidden="false" customHeight="false" outlineLevel="0" collapsed="false">
      <c r="A162" s="2" t="s">
        <v>398</v>
      </c>
      <c r="B162" s="2" t="s">
        <v>399</v>
      </c>
      <c r="C162" s="2" t="n">
        <v>3</v>
      </c>
      <c r="D162" s="2" t="s">
        <v>386</v>
      </c>
      <c r="E162" s="2" t="s">
        <v>337</v>
      </c>
      <c r="F162" s="2" t="s">
        <v>387</v>
      </c>
      <c r="G162" s="2" t="s">
        <v>339</v>
      </c>
      <c r="H162" s="7"/>
    </row>
    <row r="163" customFormat="false" ht="15" hidden="false" customHeight="false" outlineLevel="0" collapsed="false">
      <c r="A163" s="2" t="s">
        <v>398</v>
      </c>
      <c r="B163" s="2" t="s">
        <v>399</v>
      </c>
      <c r="C163" s="2" t="n">
        <v>3</v>
      </c>
      <c r="D163" s="2" t="s">
        <v>332</v>
      </c>
      <c r="E163" s="2" t="s">
        <v>183</v>
      </c>
      <c r="F163" s="2" t="s">
        <v>333</v>
      </c>
      <c r="G163" s="2" t="s">
        <v>151</v>
      </c>
      <c r="H163" s="7"/>
    </row>
    <row r="164" customFormat="false" ht="15" hidden="false" customHeight="false" outlineLevel="0" collapsed="false">
      <c r="A164" s="2" t="s">
        <v>400</v>
      </c>
      <c r="B164" s="2" t="s">
        <v>401</v>
      </c>
      <c r="C164" s="2" t="n">
        <v>2</v>
      </c>
      <c r="D164" s="2" t="s">
        <v>217</v>
      </c>
      <c r="E164" s="2" t="s">
        <v>57</v>
      </c>
      <c r="F164" s="2" t="s">
        <v>218</v>
      </c>
      <c r="G164" s="2" t="s">
        <v>59</v>
      </c>
      <c r="H164" s="7"/>
    </row>
    <row r="165" customFormat="false" ht="15" hidden="false" customHeight="false" outlineLevel="0" collapsed="false">
      <c r="A165" s="2" t="s">
        <v>400</v>
      </c>
      <c r="B165" s="2" t="s">
        <v>401</v>
      </c>
      <c r="C165" s="2" t="n">
        <v>2</v>
      </c>
      <c r="D165" s="2" t="s">
        <v>402</v>
      </c>
      <c r="E165" s="2" t="s">
        <v>47</v>
      </c>
      <c r="F165" s="2" t="s">
        <v>403</v>
      </c>
      <c r="G165" s="2" t="s">
        <v>49</v>
      </c>
      <c r="H165" s="7"/>
    </row>
    <row r="166" customFormat="false" ht="15" hidden="false" customHeight="false" outlineLevel="0" collapsed="false">
      <c r="A166" s="2" t="s">
        <v>404</v>
      </c>
      <c r="B166" s="2" t="s">
        <v>405</v>
      </c>
      <c r="C166" s="2" t="n">
        <v>3</v>
      </c>
      <c r="D166" s="2" t="s">
        <v>402</v>
      </c>
      <c r="E166" s="2" t="s">
        <v>47</v>
      </c>
      <c r="F166" s="2" t="s">
        <v>403</v>
      </c>
      <c r="G166" s="2" t="s">
        <v>49</v>
      </c>
      <c r="H166" s="7"/>
    </row>
    <row r="167" customFormat="false" ht="15" hidden="false" customHeight="false" outlineLevel="0" collapsed="false">
      <c r="A167" s="2" t="s">
        <v>404</v>
      </c>
      <c r="B167" s="2" t="s">
        <v>405</v>
      </c>
      <c r="C167" s="2" t="n">
        <v>3</v>
      </c>
      <c r="D167" s="2" t="s">
        <v>257</v>
      </c>
      <c r="E167" s="2" t="s">
        <v>117</v>
      </c>
      <c r="F167" s="2" t="s">
        <v>258</v>
      </c>
      <c r="G167" s="2" t="s">
        <v>119</v>
      </c>
      <c r="H167" s="7"/>
    </row>
    <row r="168" customFormat="false" ht="15" hidden="false" customHeight="false" outlineLevel="0" collapsed="false">
      <c r="A168" s="2" t="s">
        <v>404</v>
      </c>
      <c r="B168" s="2" t="s">
        <v>405</v>
      </c>
      <c r="C168" s="2" t="n">
        <v>3</v>
      </c>
      <c r="D168" s="2" t="s">
        <v>217</v>
      </c>
      <c r="E168" s="2" t="s">
        <v>57</v>
      </c>
      <c r="F168" s="2" t="s">
        <v>218</v>
      </c>
      <c r="G168" s="2" t="s">
        <v>59</v>
      </c>
      <c r="H168" s="7"/>
    </row>
    <row r="169" customFormat="false" ht="15" hidden="false" customHeight="false" outlineLevel="0" collapsed="false">
      <c r="A169" s="2" t="s">
        <v>406</v>
      </c>
      <c r="B169" s="2" t="s">
        <v>407</v>
      </c>
      <c r="C169" s="2" t="n">
        <v>3</v>
      </c>
      <c r="D169" s="2" t="s">
        <v>326</v>
      </c>
      <c r="E169" s="2" t="s">
        <v>306</v>
      </c>
      <c r="F169" s="2" t="s">
        <v>327</v>
      </c>
      <c r="G169" s="2" t="s">
        <v>308</v>
      </c>
      <c r="H169" s="7"/>
    </row>
    <row r="170" customFormat="false" ht="15" hidden="false" customHeight="false" outlineLevel="0" collapsed="false">
      <c r="A170" s="2" t="s">
        <v>406</v>
      </c>
      <c r="B170" s="2" t="s">
        <v>407</v>
      </c>
      <c r="C170" s="2" t="n">
        <v>3</v>
      </c>
      <c r="D170" s="2" t="s">
        <v>176</v>
      </c>
      <c r="E170" s="2" t="s">
        <v>47</v>
      </c>
      <c r="F170" s="2" t="s">
        <v>177</v>
      </c>
      <c r="G170" s="2" t="s">
        <v>49</v>
      </c>
      <c r="H170" s="7"/>
    </row>
    <row r="171" customFormat="false" ht="15" hidden="false" customHeight="false" outlineLevel="0" collapsed="false">
      <c r="A171" s="2" t="s">
        <v>408</v>
      </c>
      <c r="B171" s="2" t="s">
        <v>409</v>
      </c>
      <c r="C171" s="2" t="n">
        <v>2</v>
      </c>
      <c r="D171" s="2" t="s">
        <v>410</v>
      </c>
      <c r="E171" s="2" t="s">
        <v>236</v>
      </c>
      <c r="F171" s="2" t="s">
        <v>411</v>
      </c>
      <c r="G171" s="2" t="s">
        <v>238</v>
      </c>
      <c r="H171" s="7"/>
    </row>
    <row r="172" customFormat="false" ht="15" hidden="false" customHeight="false" outlineLevel="0" collapsed="false">
      <c r="A172" s="2" t="s">
        <v>408</v>
      </c>
      <c r="B172" s="2" t="s">
        <v>409</v>
      </c>
      <c r="C172" s="2" t="n">
        <v>2</v>
      </c>
      <c r="D172" s="2" t="s">
        <v>412</v>
      </c>
      <c r="E172" s="2" t="s">
        <v>57</v>
      </c>
      <c r="F172" s="2" t="s">
        <v>413</v>
      </c>
      <c r="G172" s="2" t="s">
        <v>59</v>
      </c>
      <c r="H172" s="7"/>
    </row>
    <row r="173" customFormat="false" ht="15" hidden="false" customHeight="false" outlineLevel="0" collapsed="false">
      <c r="A173" s="2" t="s">
        <v>414</v>
      </c>
      <c r="B173" s="2" t="s">
        <v>415</v>
      </c>
      <c r="C173" s="2" t="n">
        <v>3</v>
      </c>
      <c r="D173" s="2" t="s">
        <v>410</v>
      </c>
      <c r="E173" s="2" t="s">
        <v>236</v>
      </c>
      <c r="F173" s="2" t="s">
        <v>411</v>
      </c>
      <c r="G173" s="2" t="s">
        <v>238</v>
      </c>
      <c r="H173" s="7"/>
    </row>
    <row r="174" customFormat="false" ht="15" hidden="false" customHeight="false" outlineLevel="0" collapsed="false">
      <c r="A174" s="2" t="s">
        <v>414</v>
      </c>
      <c r="B174" s="2" t="s">
        <v>415</v>
      </c>
      <c r="C174" s="2" t="n">
        <v>3</v>
      </c>
      <c r="D174" s="2" t="s">
        <v>412</v>
      </c>
      <c r="E174" s="2" t="s">
        <v>57</v>
      </c>
      <c r="F174" s="2" t="s">
        <v>413</v>
      </c>
      <c r="G174" s="2" t="s">
        <v>59</v>
      </c>
      <c r="H174" s="7"/>
    </row>
    <row r="175" customFormat="false" ht="15" hidden="false" customHeight="false" outlineLevel="0" collapsed="false">
      <c r="A175" s="2" t="s">
        <v>414</v>
      </c>
      <c r="B175" s="2" t="s">
        <v>415</v>
      </c>
      <c r="C175" s="2" t="n">
        <v>3</v>
      </c>
      <c r="D175" s="2" t="s">
        <v>257</v>
      </c>
      <c r="E175" s="2" t="s">
        <v>117</v>
      </c>
      <c r="F175" s="2" t="s">
        <v>258</v>
      </c>
      <c r="G175" s="2" t="s">
        <v>119</v>
      </c>
      <c r="H175" s="7"/>
    </row>
    <row r="176" customFormat="false" ht="15" hidden="false" customHeight="false" outlineLevel="0" collapsed="false">
      <c r="A176" s="2" t="s">
        <v>416</v>
      </c>
      <c r="B176" s="2" t="s">
        <v>417</v>
      </c>
      <c r="C176" s="2" t="n">
        <v>2</v>
      </c>
      <c r="D176" s="2" t="s">
        <v>191</v>
      </c>
      <c r="E176" s="2" t="s">
        <v>67</v>
      </c>
      <c r="F176" s="2" t="s">
        <v>192</v>
      </c>
      <c r="G176" s="2" t="s">
        <v>69</v>
      </c>
      <c r="H176" s="7"/>
    </row>
    <row r="177" customFormat="false" ht="15" hidden="false" customHeight="false" outlineLevel="0" collapsed="false">
      <c r="A177" s="2" t="s">
        <v>416</v>
      </c>
      <c r="B177" s="2" t="s">
        <v>417</v>
      </c>
      <c r="C177" s="2" t="n">
        <v>2</v>
      </c>
      <c r="D177" s="2" t="s">
        <v>189</v>
      </c>
      <c r="E177" s="2" t="s">
        <v>183</v>
      </c>
      <c r="F177" s="2" t="s">
        <v>190</v>
      </c>
      <c r="G177" s="2" t="s">
        <v>151</v>
      </c>
      <c r="H177" s="7"/>
    </row>
    <row r="178" customFormat="false" ht="15" hidden="false" customHeight="false" outlineLevel="0" collapsed="false">
      <c r="A178" s="2" t="s">
        <v>418</v>
      </c>
      <c r="B178" s="2" t="s">
        <v>419</v>
      </c>
      <c r="C178" s="2" t="n">
        <v>3</v>
      </c>
      <c r="D178" s="2" t="s">
        <v>189</v>
      </c>
      <c r="E178" s="2" t="s">
        <v>183</v>
      </c>
      <c r="F178" s="2" t="s">
        <v>190</v>
      </c>
      <c r="G178" s="2" t="s">
        <v>151</v>
      </c>
      <c r="H178" s="7"/>
    </row>
    <row r="179" customFormat="false" ht="15" hidden="false" customHeight="false" outlineLevel="0" collapsed="false">
      <c r="A179" s="2" t="s">
        <v>418</v>
      </c>
      <c r="B179" s="2" t="s">
        <v>419</v>
      </c>
      <c r="C179" s="2" t="n">
        <v>3</v>
      </c>
      <c r="D179" s="2" t="s">
        <v>191</v>
      </c>
      <c r="E179" s="2" t="s">
        <v>67</v>
      </c>
      <c r="F179" s="2" t="s">
        <v>192</v>
      </c>
      <c r="G179" s="2" t="s">
        <v>69</v>
      </c>
      <c r="H179" s="7"/>
    </row>
    <row r="180" customFormat="false" ht="15" hidden="false" customHeight="false" outlineLevel="0" collapsed="false">
      <c r="A180" s="2" t="s">
        <v>418</v>
      </c>
      <c r="B180" s="2" t="s">
        <v>419</v>
      </c>
      <c r="C180" s="2" t="n">
        <v>3</v>
      </c>
      <c r="D180" s="2" t="s">
        <v>420</v>
      </c>
      <c r="E180" s="2" t="s">
        <v>57</v>
      </c>
      <c r="F180" s="2" t="s">
        <v>421</v>
      </c>
      <c r="G180" s="2" t="s">
        <v>59</v>
      </c>
      <c r="H180" s="7"/>
    </row>
    <row r="181" customFormat="false" ht="15" hidden="false" customHeight="false" outlineLevel="0" collapsed="false">
      <c r="A181" s="2" t="s">
        <v>422</v>
      </c>
      <c r="B181" s="2" t="s">
        <v>423</v>
      </c>
      <c r="C181" s="2" t="n">
        <v>3</v>
      </c>
      <c r="D181" s="2" t="s">
        <v>424</v>
      </c>
      <c r="E181" s="2" t="s">
        <v>67</v>
      </c>
      <c r="F181" s="2" t="s">
        <v>425</v>
      </c>
      <c r="G181" s="2" t="s">
        <v>69</v>
      </c>
      <c r="H181" s="7"/>
    </row>
    <row r="182" customFormat="false" ht="15" hidden="false" customHeight="false" outlineLevel="0" collapsed="false">
      <c r="A182" s="2" t="s">
        <v>422</v>
      </c>
      <c r="B182" s="2" t="s">
        <v>423</v>
      </c>
      <c r="C182" s="2" t="n">
        <v>3</v>
      </c>
      <c r="D182" s="2" t="s">
        <v>189</v>
      </c>
      <c r="E182" s="2" t="s">
        <v>183</v>
      </c>
      <c r="F182" s="2" t="s">
        <v>190</v>
      </c>
      <c r="G182" s="2" t="s">
        <v>151</v>
      </c>
      <c r="H182" s="7"/>
    </row>
    <row r="183" customFormat="false" ht="23.85" hidden="false" customHeight="false" outlineLevel="0" collapsed="false">
      <c r="A183" s="2" t="s">
        <v>426</v>
      </c>
      <c r="B183" s="2" t="s">
        <v>427</v>
      </c>
      <c r="C183" s="2" t="n">
        <v>3</v>
      </c>
      <c r="D183" s="2" t="s">
        <v>420</v>
      </c>
      <c r="E183" s="2" t="s">
        <v>57</v>
      </c>
      <c r="F183" s="2" t="s">
        <v>421</v>
      </c>
      <c r="G183" s="2" t="s">
        <v>59</v>
      </c>
      <c r="H183" s="7"/>
    </row>
    <row r="184" customFormat="false" ht="23.85" hidden="false" customHeight="false" outlineLevel="0" collapsed="false">
      <c r="A184" s="2" t="s">
        <v>426</v>
      </c>
      <c r="B184" s="2" t="s">
        <v>427</v>
      </c>
      <c r="C184" s="2" t="n">
        <v>3</v>
      </c>
      <c r="D184" s="2" t="s">
        <v>257</v>
      </c>
      <c r="E184" s="2" t="s">
        <v>117</v>
      </c>
      <c r="F184" s="2" t="s">
        <v>258</v>
      </c>
      <c r="G184" s="2" t="s">
        <v>119</v>
      </c>
      <c r="H184" s="7"/>
    </row>
    <row r="185" customFormat="false" ht="15" hidden="false" customHeight="false" outlineLevel="0" collapsed="false">
      <c r="A185" s="2" t="s">
        <v>428</v>
      </c>
      <c r="B185" s="2" t="s">
        <v>429</v>
      </c>
      <c r="C185" s="2" t="n">
        <v>2</v>
      </c>
      <c r="D185" s="2" t="s">
        <v>430</v>
      </c>
      <c r="E185" s="2" t="s">
        <v>67</v>
      </c>
      <c r="F185" s="2" t="s">
        <v>431</v>
      </c>
      <c r="G185" s="2" t="s">
        <v>69</v>
      </c>
      <c r="H185" s="7"/>
    </row>
    <row r="186" customFormat="false" ht="15" hidden="false" customHeight="false" outlineLevel="0" collapsed="false">
      <c r="A186" s="2" t="s">
        <v>428</v>
      </c>
      <c r="B186" s="2" t="s">
        <v>429</v>
      </c>
      <c r="C186" s="2" t="n">
        <v>2</v>
      </c>
      <c r="D186" s="2" t="s">
        <v>221</v>
      </c>
      <c r="E186" s="2" t="s">
        <v>57</v>
      </c>
      <c r="F186" s="2" t="s">
        <v>222</v>
      </c>
      <c r="G186" s="2" t="s">
        <v>59</v>
      </c>
      <c r="H186" s="7"/>
    </row>
    <row r="187" customFormat="false" ht="23.85" hidden="false" customHeight="false" outlineLevel="0" collapsed="false">
      <c r="A187" s="2" t="s">
        <v>432</v>
      </c>
      <c r="B187" s="2" t="s">
        <v>433</v>
      </c>
      <c r="C187" s="2" t="n">
        <v>3</v>
      </c>
      <c r="D187" s="2" t="s">
        <v>430</v>
      </c>
      <c r="E187" s="2" t="s">
        <v>67</v>
      </c>
      <c r="F187" s="2" t="s">
        <v>431</v>
      </c>
      <c r="G187" s="2" t="s">
        <v>69</v>
      </c>
      <c r="H187" s="7"/>
    </row>
    <row r="188" customFormat="false" ht="23.85" hidden="false" customHeight="false" outlineLevel="0" collapsed="false">
      <c r="A188" s="2" t="s">
        <v>432</v>
      </c>
      <c r="B188" s="2" t="s">
        <v>433</v>
      </c>
      <c r="C188" s="2" t="n">
        <v>3</v>
      </c>
      <c r="D188" s="2" t="s">
        <v>434</v>
      </c>
      <c r="E188" s="2" t="s">
        <v>123</v>
      </c>
      <c r="F188" s="2" t="s">
        <v>435</v>
      </c>
      <c r="G188" s="2" t="s">
        <v>125</v>
      </c>
      <c r="H188" s="7"/>
    </row>
    <row r="189" customFormat="false" ht="15" hidden="false" customHeight="false" outlineLevel="0" collapsed="false">
      <c r="A189" s="2" t="s">
        <v>436</v>
      </c>
      <c r="B189" s="2" t="s">
        <v>437</v>
      </c>
      <c r="C189" s="2" t="n">
        <v>3</v>
      </c>
      <c r="D189" s="2" t="s">
        <v>438</v>
      </c>
      <c r="E189" s="2" t="s">
        <v>228</v>
      </c>
      <c r="F189" s="2" t="s">
        <v>439</v>
      </c>
      <c r="G189" s="2" t="s">
        <v>230</v>
      </c>
      <c r="H189" s="7"/>
    </row>
    <row r="190" customFormat="false" ht="15" hidden="false" customHeight="false" outlineLevel="0" collapsed="false">
      <c r="A190" s="2" t="s">
        <v>436</v>
      </c>
      <c r="B190" s="2" t="s">
        <v>437</v>
      </c>
      <c r="C190" s="2" t="n">
        <v>3</v>
      </c>
      <c r="D190" s="2" t="s">
        <v>346</v>
      </c>
      <c r="E190" s="2" t="s">
        <v>183</v>
      </c>
      <c r="F190" s="2" t="s">
        <v>347</v>
      </c>
      <c r="G190" s="2" t="s">
        <v>151</v>
      </c>
      <c r="H190" s="7"/>
    </row>
    <row r="191" customFormat="false" ht="15" hidden="false" customHeight="false" outlineLevel="0" collapsed="false">
      <c r="A191" s="2" t="s">
        <v>436</v>
      </c>
      <c r="B191" s="2" t="s">
        <v>437</v>
      </c>
      <c r="C191" s="2" t="n">
        <v>3</v>
      </c>
      <c r="D191" s="2" t="s">
        <v>424</v>
      </c>
      <c r="E191" s="2" t="s">
        <v>67</v>
      </c>
      <c r="F191" s="2" t="s">
        <v>425</v>
      </c>
      <c r="G191" s="2" t="s">
        <v>69</v>
      </c>
      <c r="H191" s="7"/>
    </row>
    <row r="192" customFormat="false" ht="15" hidden="false" customHeight="false" outlineLevel="0" collapsed="false">
      <c r="A192" s="2" t="s">
        <v>440</v>
      </c>
      <c r="B192" s="2" t="s">
        <v>441</v>
      </c>
      <c r="C192" s="2" t="n">
        <v>3</v>
      </c>
      <c r="D192" s="2" t="s">
        <v>442</v>
      </c>
      <c r="E192" s="2" t="s">
        <v>67</v>
      </c>
      <c r="F192" s="2" t="s">
        <v>443</v>
      </c>
      <c r="G192" s="2" t="s">
        <v>69</v>
      </c>
      <c r="H192" s="7"/>
    </row>
    <row r="193" customFormat="false" ht="15" hidden="false" customHeight="false" outlineLevel="0" collapsed="false">
      <c r="A193" s="2" t="s">
        <v>440</v>
      </c>
      <c r="B193" s="2" t="s">
        <v>441</v>
      </c>
      <c r="C193" s="2" t="n">
        <v>3</v>
      </c>
      <c r="D193" s="2" t="s">
        <v>257</v>
      </c>
      <c r="E193" s="2" t="s">
        <v>117</v>
      </c>
      <c r="F193" s="2" t="s">
        <v>258</v>
      </c>
      <c r="G193" s="2" t="s">
        <v>119</v>
      </c>
      <c r="H193" s="7"/>
    </row>
    <row r="194" customFormat="false" ht="15" hidden="false" customHeight="false" outlineLevel="0" collapsed="false">
      <c r="A194" s="2" t="s">
        <v>440</v>
      </c>
      <c r="B194" s="2" t="s">
        <v>441</v>
      </c>
      <c r="C194" s="2" t="n">
        <v>3</v>
      </c>
      <c r="D194" s="2" t="s">
        <v>221</v>
      </c>
      <c r="E194" s="2" t="s">
        <v>57</v>
      </c>
      <c r="F194" s="2" t="s">
        <v>222</v>
      </c>
      <c r="G194" s="2" t="s">
        <v>59</v>
      </c>
      <c r="H194" s="7"/>
    </row>
    <row r="195" customFormat="false" ht="15" hidden="false" customHeight="false" outlineLevel="0" collapsed="false">
      <c r="A195" s="2" t="s">
        <v>444</v>
      </c>
      <c r="B195" s="2" t="s">
        <v>445</v>
      </c>
      <c r="C195" s="2" t="n">
        <v>2</v>
      </c>
      <c r="D195" s="2" t="s">
        <v>446</v>
      </c>
      <c r="E195" s="2" t="s">
        <v>67</v>
      </c>
      <c r="F195" s="2" t="s">
        <v>447</v>
      </c>
      <c r="G195" s="2" t="s">
        <v>69</v>
      </c>
      <c r="H195" s="7"/>
    </row>
    <row r="196" customFormat="false" ht="15" hidden="false" customHeight="false" outlineLevel="0" collapsed="false">
      <c r="A196" s="2" t="s">
        <v>448</v>
      </c>
      <c r="B196" s="2" t="s">
        <v>449</v>
      </c>
      <c r="C196" s="2" t="n">
        <v>3</v>
      </c>
      <c r="D196" s="2" t="s">
        <v>446</v>
      </c>
      <c r="E196" s="2" t="s">
        <v>67</v>
      </c>
      <c r="F196" s="2" t="s">
        <v>447</v>
      </c>
      <c r="G196" s="2" t="s">
        <v>69</v>
      </c>
      <c r="H196" s="7"/>
    </row>
    <row r="197" customFormat="false" ht="15" hidden="false" customHeight="false" outlineLevel="0" collapsed="false">
      <c r="A197" s="2" t="s">
        <v>448</v>
      </c>
      <c r="B197" s="2" t="s">
        <v>449</v>
      </c>
      <c r="C197" s="2" t="n">
        <v>3</v>
      </c>
      <c r="D197" s="2" t="s">
        <v>450</v>
      </c>
      <c r="E197" s="2" t="s">
        <v>149</v>
      </c>
      <c r="F197" s="2" t="s">
        <v>451</v>
      </c>
      <c r="G197" s="2" t="s">
        <v>151</v>
      </c>
      <c r="H197" s="7"/>
    </row>
    <row r="198" customFormat="false" ht="15" hidden="false" customHeight="false" outlineLevel="0" collapsed="false">
      <c r="A198" s="2" t="s">
        <v>452</v>
      </c>
      <c r="B198" s="2" t="s">
        <v>453</v>
      </c>
      <c r="C198" s="2" t="n">
        <v>3</v>
      </c>
      <c r="D198" s="2" t="s">
        <v>442</v>
      </c>
      <c r="E198" s="2" t="s">
        <v>67</v>
      </c>
      <c r="F198" s="2" t="s">
        <v>443</v>
      </c>
      <c r="G198" s="2" t="s">
        <v>69</v>
      </c>
      <c r="H198" s="7"/>
    </row>
    <row r="199" customFormat="false" ht="15" hidden="false" customHeight="false" outlineLevel="0" collapsed="false">
      <c r="A199" s="2" t="s">
        <v>452</v>
      </c>
      <c r="B199" s="2" t="s">
        <v>453</v>
      </c>
      <c r="C199" s="2" t="n">
        <v>3</v>
      </c>
      <c r="D199" s="2" t="s">
        <v>267</v>
      </c>
      <c r="E199" s="2" t="s">
        <v>57</v>
      </c>
      <c r="F199" s="2" t="s">
        <v>268</v>
      </c>
      <c r="G199" s="2" t="s">
        <v>59</v>
      </c>
      <c r="H199" s="7"/>
    </row>
    <row r="200" customFormat="false" ht="15" hidden="false" customHeight="false" outlineLevel="0" collapsed="false">
      <c r="A200" s="2" t="s">
        <v>454</v>
      </c>
      <c r="B200" s="2" t="s">
        <v>455</v>
      </c>
      <c r="C200" s="2" t="n">
        <v>2</v>
      </c>
      <c r="D200" s="2" t="s">
        <v>221</v>
      </c>
      <c r="E200" s="2" t="s">
        <v>57</v>
      </c>
      <c r="F200" s="2" t="s">
        <v>222</v>
      </c>
      <c r="G200" s="2" t="s">
        <v>59</v>
      </c>
      <c r="H200" s="7"/>
    </row>
    <row r="201" customFormat="false" ht="15" hidden="false" customHeight="false" outlineLevel="0" collapsed="false">
      <c r="A201" s="2" t="s">
        <v>456</v>
      </c>
      <c r="B201" s="2" t="s">
        <v>457</v>
      </c>
      <c r="C201" s="2" t="n">
        <v>3</v>
      </c>
      <c r="D201" s="2" t="s">
        <v>221</v>
      </c>
      <c r="E201" s="2" t="s">
        <v>57</v>
      </c>
      <c r="F201" s="2" t="s">
        <v>222</v>
      </c>
      <c r="G201" s="2" t="s">
        <v>59</v>
      </c>
      <c r="H201" s="7"/>
    </row>
    <row r="202" customFormat="false" ht="15" hidden="false" customHeight="false" outlineLevel="0" collapsed="false">
      <c r="A202" s="2" t="s">
        <v>456</v>
      </c>
      <c r="B202" s="2" t="s">
        <v>457</v>
      </c>
      <c r="C202" s="2" t="n">
        <v>3</v>
      </c>
      <c r="D202" s="2" t="s">
        <v>346</v>
      </c>
      <c r="E202" s="2" t="s">
        <v>183</v>
      </c>
      <c r="F202" s="2" t="s">
        <v>347</v>
      </c>
      <c r="G202" s="2" t="s">
        <v>151</v>
      </c>
      <c r="H202" s="7"/>
    </row>
    <row r="203" customFormat="false" ht="15" hidden="false" customHeight="false" outlineLevel="0" collapsed="false">
      <c r="A203" s="2" t="s">
        <v>456</v>
      </c>
      <c r="B203" s="2" t="s">
        <v>457</v>
      </c>
      <c r="C203" s="2" t="n">
        <v>3</v>
      </c>
      <c r="D203" s="2" t="s">
        <v>402</v>
      </c>
      <c r="E203" s="2" t="s">
        <v>47</v>
      </c>
      <c r="F203" s="2" t="s">
        <v>403</v>
      </c>
      <c r="G203" s="2" t="s">
        <v>49</v>
      </c>
      <c r="H203" s="7"/>
    </row>
    <row r="204" customFormat="false" ht="15" hidden="false" customHeight="false" outlineLevel="0" collapsed="false">
      <c r="A204" s="2" t="s">
        <v>458</v>
      </c>
      <c r="B204" s="2" t="s">
        <v>459</v>
      </c>
      <c r="C204" s="2" t="n">
        <v>3</v>
      </c>
      <c r="D204" s="2" t="s">
        <v>402</v>
      </c>
      <c r="E204" s="2" t="s">
        <v>47</v>
      </c>
      <c r="F204" s="2" t="s">
        <v>403</v>
      </c>
      <c r="G204" s="2" t="s">
        <v>49</v>
      </c>
      <c r="H204" s="7"/>
    </row>
    <row r="205" customFormat="false" ht="15" hidden="false" customHeight="false" outlineLevel="0" collapsed="false">
      <c r="A205" s="2" t="s">
        <v>458</v>
      </c>
      <c r="B205" s="2" t="s">
        <v>459</v>
      </c>
      <c r="C205" s="2" t="n">
        <v>3</v>
      </c>
      <c r="D205" s="2" t="s">
        <v>460</v>
      </c>
      <c r="E205" s="2" t="s">
        <v>63</v>
      </c>
      <c r="F205" s="2" t="s">
        <v>461</v>
      </c>
      <c r="G205" s="2" t="s">
        <v>65</v>
      </c>
      <c r="H205" s="7"/>
    </row>
    <row r="206" customFormat="false" ht="15" hidden="false" customHeight="false" outlineLevel="0" collapsed="false">
      <c r="A206" s="2" t="s">
        <v>462</v>
      </c>
      <c r="B206" s="2" t="s">
        <v>463</v>
      </c>
      <c r="C206" s="2" t="n">
        <v>2</v>
      </c>
      <c r="D206" s="2" t="s">
        <v>464</v>
      </c>
      <c r="E206" s="2" t="s">
        <v>57</v>
      </c>
      <c r="F206" s="2" t="s">
        <v>465</v>
      </c>
      <c r="G206" s="2" t="s">
        <v>59</v>
      </c>
      <c r="H206" s="7"/>
    </row>
    <row r="207" customFormat="false" ht="23.85" hidden="false" customHeight="false" outlineLevel="0" collapsed="false">
      <c r="A207" s="2" t="s">
        <v>466</v>
      </c>
      <c r="B207" s="2" t="s">
        <v>467</v>
      </c>
      <c r="C207" s="2" t="n">
        <v>3</v>
      </c>
      <c r="D207" s="2" t="s">
        <v>464</v>
      </c>
      <c r="E207" s="2" t="s">
        <v>57</v>
      </c>
      <c r="F207" s="2" t="s">
        <v>465</v>
      </c>
      <c r="G207" s="2" t="s">
        <v>59</v>
      </c>
      <c r="H207" s="7"/>
    </row>
    <row r="208" customFormat="false" ht="23.85" hidden="false" customHeight="false" outlineLevel="0" collapsed="false">
      <c r="A208" s="2" t="s">
        <v>466</v>
      </c>
      <c r="B208" s="2" t="s">
        <v>467</v>
      </c>
      <c r="C208" s="2" t="n">
        <v>3</v>
      </c>
      <c r="D208" s="2" t="s">
        <v>402</v>
      </c>
      <c r="E208" s="2" t="s">
        <v>47</v>
      </c>
      <c r="F208" s="2" t="s">
        <v>403</v>
      </c>
      <c r="G208" s="2" t="s">
        <v>49</v>
      </c>
      <c r="H208" s="7"/>
    </row>
    <row r="209" customFormat="false" ht="23.85" hidden="false" customHeight="false" outlineLevel="0" collapsed="false">
      <c r="A209" s="2" t="s">
        <v>466</v>
      </c>
      <c r="B209" s="2" t="s">
        <v>467</v>
      </c>
      <c r="C209" s="2" t="n">
        <v>3</v>
      </c>
      <c r="D209" s="2" t="s">
        <v>80</v>
      </c>
      <c r="E209" s="2" t="s">
        <v>73</v>
      </c>
      <c r="F209" s="2" t="s">
        <v>81</v>
      </c>
      <c r="G209" s="2" t="s">
        <v>75</v>
      </c>
      <c r="H209" s="7"/>
    </row>
    <row r="210" customFormat="false" ht="23.85" hidden="false" customHeight="false" outlineLevel="0" collapsed="false">
      <c r="A210" s="2" t="s">
        <v>466</v>
      </c>
      <c r="B210" s="2" t="s">
        <v>467</v>
      </c>
      <c r="C210" s="2" t="n">
        <v>3</v>
      </c>
      <c r="D210" s="2" t="s">
        <v>257</v>
      </c>
      <c r="E210" s="2" t="s">
        <v>117</v>
      </c>
      <c r="F210" s="2" t="s">
        <v>258</v>
      </c>
      <c r="G210" s="2" t="s">
        <v>119</v>
      </c>
      <c r="H210" s="7"/>
    </row>
    <row r="211" customFormat="false" ht="15" hidden="false" customHeight="false" outlineLevel="0" collapsed="false">
      <c r="A211" s="2" t="s">
        <v>468</v>
      </c>
      <c r="B211" s="2" t="s">
        <v>64</v>
      </c>
      <c r="C211" s="2" t="n">
        <v>2</v>
      </c>
      <c r="D211" s="2" t="s">
        <v>62</v>
      </c>
      <c r="E211" s="2" t="s">
        <v>63</v>
      </c>
      <c r="F211" s="2" t="s">
        <v>64</v>
      </c>
      <c r="G211" s="2" t="s">
        <v>65</v>
      </c>
      <c r="H211" s="7"/>
    </row>
    <row r="212" customFormat="false" ht="15" hidden="false" customHeight="false" outlineLevel="0" collapsed="false">
      <c r="A212" s="2" t="s">
        <v>468</v>
      </c>
      <c r="B212" s="2" t="s">
        <v>64</v>
      </c>
      <c r="C212" s="2" t="n">
        <v>2</v>
      </c>
      <c r="D212" s="2" t="s">
        <v>66</v>
      </c>
      <c r="E212" s="2" t="s">
        <v>67</v>
      </c>
      <c r="F212" s="2" t="s">
        <v>68</v>
      </c>
      <c r="G212" s="2" t="s">
        <v>69</v>
      </c>
      <c r="H212" s="7"/>
    </row>
    <row r="213" customFormat="false" ht="23.85" hidden="false" customHeight="false" outlineLevel="0" collapsed="false">
      <c r="A213" s="2" t="s">
        <v>469</v>
      </c>
      <c r="B213" s="2" t="s">
        <v>470</v>
      </c>
      <c r="C213" s="2" t="n">
        <v>3</v>
      </c>
      <c r="D213" s="2" t="s">
        <v>62</v>
      </c>
      <c r="E213" s="2" t="s">
        <v>63</v>
      </c>
      <c r="F213" s="2" t="s">
        <v>64</v>
      </c>
      <c r="G213" s="2" t="s">
        <v>65</v>
      </c>
      <c r="H213" s="7"/>
    </row>
    <row r="214" customFormat="false" ht="23.85" hidden="false" customHeight="false" outlineLevel="0" collapsed="false">
      <c r="A214" s="2" t="s">
        <v>469</v>
      </c>
      <c r="B214" s="2" t="s">
        <v>470</v>
      </c>
      <c r="C214" s="2" t="n">
        <v>3</v>
      </c>
      <c r="D214" s="2" t="s">
        <v>471</v>
      </c>
      <c r="E214" s="2" t="s">
        <v>236</v>
      </c>
      <c r="F214" s="2" t="s">
        <v>472</v>
      </c>
      <c r="G214" s="2" t="s">
        <v>238</v>
      </c>
      <c r="H214" s="7"/>
    </row>
    <row r="215" customFormat="false" ht="23.85" hidden="false" customHeight="false" outlineLevel="0" collapsed="false">
      <c r="A215" s="2" t="s">
        <v>469</v>
      </c>
      <c r="B215" s="2" t="s">
        <v>470</v>
      </c>
      <c r="C215" s="2" t="n">
        <v>3</v>
      </c>
      <c r="D215" s="2" t="s">
        <v>368</v>
      </c>
      <c r="E215" s="2" t="s">
        <v>306</v>
      </c>
      <c r="F215" s="2" t="s">
        <v>369</v>
      </c>
      <c r="G215" s="2" t="s">
        <v>308</v>
      </c>
      <c r="H215" s="7"/>
    </row>
    <row r="216" customFormat="false" ht="15" hidden="false" customHeight="false" outlineLevel="0" collapsed="false">
      <c r="A216" s="2" t="s">
        <v>473</v>
      </c>
      <c r="B216" s="2" t="s">
        <v>474</v>
      </c>
      <c r="C216" s="2" t="n">
        <v>3</v>
      </c>
      <c r="D216" s="2" t="s">
        <v>332</v>
      </c>
      <c r="E216" s="2" t="s">
        <v>183</v>
      </c>
      <c r="F216" s="2" t="s">
        <v>333</v>
      </c>
      <c r="G216" s="2" t="s">
        <v>151</v>
      </c>
      <c r="H216" s="7"/>
    </row>
    <row r="217" customFormat="false" ht="15" hidden="false" customHeight="false" outlineLevel="0" collapsed="false">
      <c r="A217" s="2" t="s">
        <v>473</v>
      </c>
      <c r="B217" s="2" t="s">
        <v>474</v>
      </c>
      <c r="C217" s="2" t="n">
        <v>3</v>
      </c>
      <c r="D217" s="2" t="s">
        <v>62</v>
      </c>
      <c r="E217" s="2" t="s">
        <v>63</v>
      </c>
      <c r="F217" s="2" t="s">
        <v>64</v>
      </c>
      <c r="G217" s="2" t="s">
        <v>65</v>
      </c>
      <c r="H217" s="7"/>
    </row>
    <row r="218" customFormat="false" ht="15" hidden="false" customHeight="false" outlineLevel="0" collapsed="false">
      <c r="A218" s="2" t="s">
        <v>475</v>
      </c>
      <c r="B218" s="2" t="s">
        <v>476</v>
      </c>
      <c r="C218" s="2" t="n">
        <v>3</v>
      </c>
      <c r="D218" s="2" t="s">
        <v>191</v>
      </c>
      <c r="E218" s="2" t="s">
        <v>67</v>
      </c>
      <c r="F218" s="2" t="s">
        <v>192</v>
      </c>
      <c r="G218" s="2" t="s">
        <v>69</v>
      </c>
      <c r="H218" s="7"/>
    </row>
    <row r="219" customFormat="false" ht="15" hidden="false" customHeight="false" outlineLevel="0" collapsed="false">
      <c r="A219" s="2" t="s">
        <v>475</v>
      </c>
      <c r="B219" s="2" t="s">
        <v>476</v>
      </c>
      <c r="C219" s="2" t="n">
        <v>3</v>
      </c>
      <c r="D219" s="2" t="s">
        <v>209</v>
      </c>
      <c r="E219" s="2" t="s">
        <v>183</v>
      </c>
      <c r="F219" s="2" t="s">
        <v>210</v>
      </c>
      <c r="G219" s="2" t="s">
        <v>151</v>
      </c>
      <c r="H219" s="7"/>
    </row>
    <row r="220" customFormat="false" ht="15" hidden="false" customHeight="false" outlineLevel="0" collapsed="false">
      <c r="A220" s="2" t="s">
        <v>477</v>
      </c>
      <c r="B220" s="2" t="s">
        <v>478</v>
      </c>
      <c r="C220" s="2" t="n">
        <v>2</v>
      </c>
      <c r="D220" s="2" t="s">
        <v>460</v>
      </c>
      <c r="E220" s="2" t="s">
        <v>63</v>
      </c>
      <c r="F220" s="2" t="s">
        <v>461</v>
      </c>
      <c r="G220" s="2" t="s">
        <v>65</v>
      </c>
      <c r="H220" s="7"/>
    </row>
    <row r="221" customFormat="false" ht="15" hidden="false" customHeight="false" outlineLevel="0" collapsed="false">
      <c r="A221" s="2" t="s">
        <v>477</v>
      </c>
      <c r="B221" s="2" t="s">
        <v>478</v>
      </c>
      <c r="C221" s="2" t="n">
        <v>2</v>
      </c>
      <c r="D221" s="2" t="s">
        <v>402</v>
      </c>
      <c r="E221" s="2" t="s">
        <v>47</v>
      </c>
      <c r="F221" s="2" t="s">
        <v>403</v>
      </c>
      <c r="G221" s="2" t="s">
        <v>49</v>
      </c>
      <c r="H221" s="7"/>
    </row>
    <row r="222" customFormat="false" ht="15" hidden="false" customHeight="false" outlineLevel="0" collapsed="false">
      <c r="A222" s="2" t="s">
        <v>477</v>
      </c>
      <c r="B222" s="2" t="s">
        <v>478</v>
      </c>
      <c r="C222" s="2" t="n">
        <v>2</v>
      </c>
      <c r="D222" s="2" t="s">
        <v>82</v>
      </c>
      <c r="E222" s="2" t="s">
        <v>47</v>
      </c>
      <c r="F222" s="2" t="s">
        <v>83</v>
      </c>
      <c r="G222" s="2" t="s">
        <v>49</v>
      </c>
      <c r="H222" s="7"/>
    </row>
    <row r="223" customFormat="false" ht="23.85" hidden="false" customHeight="false" outlineLevel="0" collapsed="false">
      <c r="A223" s="2" t="s">
        <v>479</v>
      </c>
      <c r="B223" s="2" t="s">
        <v>480</v>
      </c>
      <c r="C223" s="2" t="n">
        <v>3</v>
      </c>
      <c r="D223" s="2" t="s">
        <v>460</v>
      </c>
      <c r="E223" s="2" t="s">
        <v>63</v>
      </c>
      <c r="F223" s="2" t="s">
        <v>461</v>
      </c>
      <c r="G223" s="2" t="s">
        <v>65</v>
      </c>
      <c r="H223" s="7"/>
    </row>
    <row r="224" customFormat="false" ht="23.85" hidden="false" customHeight="false" outlineLevel="0" collapsed="false">
      <c r="A224" s="2" t="s">
        <v>479</v>
      </c>
      <c r="B224" s="2" t="s">
        <v>480</v>
      </c>
      <c r="C224" s="2" t="n">
        <v>3</v>
      </c>
      <c r="D224" s="2" t="s">
        <v>72</v>
      </c>
      <c r="E224" s="2" t="s">
        <v>73</v>
      </c>
      <c r="F224" s="2" t="s">
        <v>74</v>
      </c>
      <c r="G224" s="2" t="s">
        <v>75</v>
      </c>
      <c r="H224" s="7"/>
    </row>
    <row r="225" customFormat="false" ht="23.85" hidden="false" customHeight="false" outlineLevel="0" collapsed="false">
      <c r="A225" s="2" t="s">
        <v>479</v>
      </c>
      <c r="B225" s="2" t="s">
        <v>480</v>
      </c>
      <c r="C225" s="2" t="n">
        <v>3</v>
      </c>
      <c r="D225" s="2" t="s">
        <v>76</v>
      </c>
      <c r="E225" s="2" t="s">
        <v>73</v>
      </c>
      <c r="F225" s="2" t="s">
        <v>77</v>
      </c>
      <c r="G225" s="2" t="s">
        <v>75</v>
      </c>
      <c r="H225" s="7"/>
    </row>
    <row r="226" customFormat="false" ht="23.85" hidden="false" customHeight="false" outlineLevel="0" collapsed="false">
      <c r="A226" s="2" t="s">
        <v>479</v>
      </c>
      <c r="B226" s="2" t="s">
        <v>480</v>
      </c>
      <c r="C226" s="2" t="n">
        <v>3</v>
      </c>
      <c r="D226" s="2" t="s">
        <v>78</v>
      </c>
      <c r="E226" s="2" t="s">
        <v>73</v>
      </c>
      <c r="F226" s="2" t="s">
        <v>79</v>
      </c>
      <c r="G226" s="2" t="s">
        <v>75</v>
      </c>
      <c r="H226" s="7"/>
    </row>
    <row r="227" customFormat="false" ht="23.85" hidden="false" customHeight="false" outlineLevel="0" collapsed="false">
      <c r="A227" s="2" t="s">
        <v>479</v>
      </c>
      <c r="B227" s="2" t="s">
        <v>480</v>
      </c>
      <c r="C227" s="2" t="n">
        <v>3</v>
      </c>
      <c r="D227" s="2" t="s">
        <v>80</v>
      </c>
      <c r="E227" s="2" t="s">
        <v>73</v>
      </c>
      <c r="F227" s="2" t="s">
        <v>81</v>
      </c>
      <c r="G227" s="2" t="s">
        <v>75</v>
      </c>
      <c r="H227" s="7"/>
    </row>
    <row r="228" customFormat="false" ht="23.85" hidden="false" customHeight="false" outlineLevel="0" collapsed="false">
      <c r="A228" s="2" t="s">
        <v>479</v>
      </c>
      <c r="B228" s="2" t="s">
        <v>480</v>
      </c>
      <c r="C228" s="2" t="n">
        <v>3</v>
      </c>
      <c r="D228" s="2" t="s">
        <v>156</v>
      </c>
      <c r="E228" s="2" t="s">
        <v>117</v>
      </c>
      <c r="F228" s="2" t="s">
        <v>157</v>
      </c>
      <c r="G228" s="2" t="s">
        <v>119</v>
      </c>
      <c r="H228" s="7"/>
    </row>
    <row r="229" customFormat="false" ht="15" hidden="false" customHeight="false" outlineLevel="0" collapsed="false">
      <c r="A229" s="2" t="s">
        <v>481</v>
      </c>
      <c r="B229" s="2" t="s">
        <v>482</v>
      </c>
      <c r="C229" s="2" t="n">
        <v>3</v>
      </c>
      <c r="D229" s="2" t="s">
        <v>346</v>
      </c>
      <c r="E229" s="2" t="s">
        <v>183</v>
      </c>
      <c r="F229" s="2" t="s">
        <v>347</v>
      </c>
      <c r="G229" s="2" t="s">
        <v>151</v>
      </c>
      <c r="H229" s="7"/>
    </row>
    <row r="230" customFormat="false" ht="15" hidden="false" customHeight="false" outlineLevel="0" collapsed="false">
      <c r="A230" s="2" t="s">
        <v>481</v>
      </c>
      <c r="B230" s="2" t="s">
        <v>482</v>
      </c>
      <c r="C230" s="2" t="n">
        <v>3</v>
      </c>
      <c r="D230" s="2" t="s">
        <v>483</v>
      </c>
      <c r="E230" s="2" t="s">
        <v>67</v>
      </c>
      <c r="F230" s="2" t="s">
        <v>484</v>
      </c>
      <c r="G230" s="2" t="s">
        <v>69</v>
      </c>
      <c r="H230" s="7"/>
    </row>
    <row r="231" customFormat="false" ht="15" hidden="false" customHeight="false" outlineLevel="0" collapsed="false">
      <c r="A231" s="2" t="s">
        <v>481</v>
      </c>
      <c r="B231" s="2" t="s">
        <v>482</v>
      </c>
      <c r="C231" s="2" t="n">
        <v>3</v>
      </c>
      <c r="D231" s="2" t="s">
        <v>76</v>
      </c>
      <c r="E231" s="2" t="s">
        <v>73</v>
      </c>
      <c r="F231" s="2" t="s">
        <v>77</v>
      </c>
      <c r="G231" s="2" t="s">
        <v>75</v>
      </c>
      <c r="H231" s="7"/>
    </row>
    <row r="232" customFormat="false" ht="15" hidden="false" customHeight="false" outlineLevel="0" collapsed="false">
      <c r="A232" s="2" t="s">
        <v>485</v>
      </c>
      <c r="B232" s="2" t="s">
        <v>486</v>
      </c>
      <c r="C232" s="2" t="n">
        <v>3</v>
      </c>
      <c r="D232" s="2" t="s">
        <v>346</v>
      </c>
      <c r="E232" s="2" t="s">
        <v>183</v>
      </c>
      <c r="F232" s="2" t="s">
        <v>347</v>
      </c>
      <c r="G232" s="2" t="s">
        <v>151</v>
      </c>
      <c r="H232" s="7"/>
    </row>
    <row r="233" customFormat="false" ht="15" hidden="false" customHeight="false" outlineLevel="0" collapsed="false">
      <c r="A233" s="2" t="s">
        <v>485</v>
      </c>
      <c r="B233" s="2" t="s">
        <v>486</v>
      </c>
      <c r="C233" s="2" t="n">
        <v>3</v>
      </c>
      <c r="D233" s="2" t="s">
        <v>78</v>
      </c>
      <c r="E233" s="2" t="s">
        <v>73</v>
      </c>
      <c r="F233" s="2" t="s">
        <v>79</v>
      </c>
      <c r="G233" s="2" t="s">
        <v>75</v>
      </c>
      <c r="H233" s="7"/>
    </row>
    <row r="234" customFormat="false" ht="15" hidden="false" customHeight="false" outlineLevel="0" collapsed="false">
      <c r="A234" s="2" t="s">
        <v>485</v>
      </c>
      <c r="B234" s="2" t="s">
        <v>486</v>
      </c>
      <c r="C234" s="2" t="n">
        <v>3</v>
      </c>
      <c r="D234" s="2" t="s">
        <v>487</v>
      </c>
      <c r="E234" s="2" t="s">
        <v>163</v>
      </c>
      <c r="F234" s="2" t="s">
        <v>488</v>
      </c>
      <c r="G234" s="2" t="s">
        <v>165</v>
      </c>
      <c r="H234" s="7"/>
    </row>
    <row r="235" customFormat="false" ht="15" hidden="false" customHeight="false" outlineLevel="0" collapsed="false">
      <c r="A235" s="2" t="s">
        <v>489</v>
      </c>
      <c r="B235" s="2" t="s">
        <v>490</v>
      </c>
      <c r="C235" s="2" t="n">
        <v>3</v>
      </c>
      <c r="D235" s="2" t="s">
        <v>78</v>
      </c>
      <c r="E235" s="2" t="s">
        <v>73</v>
      </c>
      <c r="F235" s="2" t="s">
        <v>79</v>
      </c>
      <c r="G235" s="2" t="s">
        <v>75</v>
      </c>
      <c r="H235" s="7"/>
    </row>
    <row r="236" customFormat="false" ht="15" hidden="false" customHeight="false" outlineLevel="0" collapsed="false">
      <c r="A236" s="2" t="s">
        <v>489</v>
      </c>
      <c r="B236" s="2" t="s">
        <v>490</v>
      </c>
      <c r="C236" s="2" t="n">
        <v>3</v>
      </c>
      <c r="D236" s="2" t="s">
        <v>430</v>
      </c>
      <c r="E236" s="2" t="s">
        <v>67</v>
      </c>
      <c r="F236" s="2" t="s">
        <v>431</v>
      </c>
      <c r="G236" s="2" t="s">
        <v>69</v>
      </c>
      <c r="H236" s="7"/>
    </row>
    <row r="237" customFormat="false" ht="15" hidden="false" customHeight="false" outlineLevel="0" collapsed="false">
      <c r="A237" s="2" t="s">
        <v>491</v>
      </c>
      <c r="B237" s="2" t="s">
        <v>492</v>
      </c>
      <c r="C237" s="2" t="n">
        <v>3</v>
      </c>
      <c r="D237" s="2" t="s">
        <v>483</v>
      </c>
      <c r="E237" s="2" t="s">
        <v>67</v>
      </c>
      <c r="F237" s="2" t="s">
        <v>484</v>
      </c>
      <c r="G237" s="2" t="s">
        <v>69</v>
      </c>
      <c r="H237" s="7"/>
    </row>
    <row r="238" customFormat="false" ht="15" hidden="false" customHeight="false" outlineLevel="0" collapsed="false">
      <c r="A238" s="2" t="s">
        <v>491</v>
      </c>
      <c r="B238" s="2" t="s">
        <v>492</v>
      </c>
      <c r="C238" s="2" t="n">
        <v>3</v>
      </c>
      <c r="D238" s="2" t="s">
        <v>368</v>
      </c>
      <c r="E238" s="2" t="s">
        <v>306</v>
      </c>
      <c r="F238" s="2" t="s">
        <v>369</v>
      </c>
      <c r="G238" s="2" t="s">
        <v>308</v>
      </c>
      <c r="H238" s="7"/>
    </row>
    <row r="239" customFormat="false" ht="15" hidden="false" customHeight="false" outlineLevel="0" collapsed="false">
      <c r="A239" s="2" t="s">
        <v>493</v>
      </c>
      <c r="B239" s="2" t="s">
        <v>494</v>
      </c>
      <c r="C239" s="2" t="n">
        <v>2</v>
      </c>
      <c r="D239" s="2" t="s">
        <v>495</v>
      </c>
      <c r="E239" s="2" t="s">
        <v>63</v>
      </c>
      <c r="F239" s="2" t="s">
        <v>496</v>
      </c>
      <c r="G239" s="2" t="s">
        <v>65</v>
      </c>
      <c r="H239" s="7"/>
    </row>
    <row r="240" customFormat="false" ht="15" hidden="false" customHeight="false" outlineLevel="0" collapsed="false">
      <c r="A240" s="2" t="s">
        <v>493</v>
      </c>
      <c r="B240" s="2" t="s">
        <v>494</v>
      </c>
      <c r="C240" s="2" t="n">
        <v>2</v>
      </c>
      <c r="D240" s="2" t="s">
        <v>90</v>
      </c>
      <c r="E240" s="2" t="s">
        <v>87</v>
      </c>
      <c r="F240" s="2" t="s">
        <v>91</v>
      </c>
      <c r="G240" s="2" t="s">
        <v>89</v>
      </c>
      <c r="H240" s="7"/>
    </row>
    <row r="241" customFormat="false" ht="23.85" hidden="false" customHeight="false" outlineLevel="0" collapsed="false">
      <c r="A241" s="2" t="s">
        <v>497</v>
      </c>
      <c r="B241" s="2" t="s">
        <v>498</v>
      </c>
      <c r="C241" s="2" t="n">
        <v>3</v>
      </c>
      <c r="D241" s="2" t="s">
        <v>495</v>
      </c>
      <c r="E241" s="2" t="s">
        <v>63</v>
      </c>
      <c r="F241" s="2" t="s">
        <v>496</v>
      </c>
      <c r="G241" s="2" t="s">
        <v>65</v>
      </c>
      <c r="H241" s="7"/>
    </row>
    <row r="242" customFormat="false" ht="23.85" hidden="false" customHeight="false" outlineLevel="0" collapsed="false">
      <c r="A242" s="2" t="s">
        <v>497</v>
      </c>
      <c r="B242" s="2" t="s">
        <v>498</v>
      </c>
      <c r="C242" s="2" t="n">
        <v>3</v>
      </c>
      <c r="D242" s="2" t="s">
        <v>499</v>
      </c>
      <c r="E242" s="2" t="s">
        <v>183</v>
      </c>
      <c r="F242" s="2" t="s">
        <v>500</v>
      </c>
      <c r="G242" s="2" t="s">
        <v>151</v>
      </c>
      <c r="H242" s="7"/>
    </row>
    <row r="243" customFormat="false" ht="23.85" hidden="false" customHeight="false" outlineLevel="0" collapsed="false">
      <c r="A243" s="2" t="s">
        <v>497</v>
      </c>
      <c r="B243" s="2" t="s">
        <v>498</v>
      </c>
      <c r="C243" s="2" t="n">
        <v>3</v>
      </c>
      <c r="D243" s="2" t="s">
        <v>501</v>
      </c>
      <c r="E243" s="2" t="s">
        <v>149</v>
      </c>
      <c r="F243" s="2" t="s">
        <v>502</v>
      </c>
      <c r="G243" s="2" t="s">
        <v>151</v>
      </c>
      <c r="H243" s="7"/>
    </row>
    <row r="244" customFormat="false" ht="15" hidden="false" customHeight="false" outlineLevel="0" collapsed="false">
      <c r="A244" s="2" t="s">
        <v>503</v>
      </c>
      <c r="B244" s="2" t="s">
        <v>504</v>
      </c>
      <c r="C244" s="2" t="n">
        <v>3</v>
      </c>
      <c r="D244" s="2" t="s">
        <v>495</v>
      </c>
      <c r="E244" s="2" t="s">
        <v>63</v>
      </c>
      <c r="F244" s="2" t="s">
        <v>496</v>
      </c>
      <c r="G244" s="2" t="s">
        <v>65</v>
      </c>
      <c r="H244" s="7"/>
    </row>
    <row r="245" customFormat="false" ht="15" hidden="false" customHeight="false" outlineLevel="0" collapsed="false">
      <c r="A245" s="2" t="s">
        <v>503</v>
      </c>
      <c r="B245" s="2" t="s">
        <v>504</v>
      </c>
      <c r="C245" s="2" t="n">
        <v>3</v>
      </c>
      <c r="D245" s="2" t="s">
        <v>257</v>
      </c>
      <c r="E245" s="2" t="s">
        <v>117</v>
      </c>
      <c r="F245" s="2" t="s">
        <v>258</v>
      </c>
      <c r="G245" s="2" t="s">
        <v>119</v>
      </c>
      <c r="H245" s="7"/>
    </row>
    <row r="246" customFormat="false" ht="15" hidden="false" customHeight="false" outlineLevel="0" collapsed="false">
      <c r="A246" s="2" t="s">
        <v>505</v>
      </c>
      <c r="B246" s="2" t="s">
        <v>506</v>
      </c>
      <c r="C246" s="2" t="n">
        <v>3</v>
      </c>
      <c r="D246" s="2" t="s">
        <v>332</v>
      </c>
      <c r="E246" s="2" t="s">
        <v>183</v>
      </c>
      <c r="F246" s="2" t="s">
        <v>333</v>
      </c>
      <c r="G246" s="2" t="s">
        <v>151</v>
      </c>
      <c r="H246" s="7"/>
    </row>
    <row r="247" customFormat="false" ht="15" hidden="false" customHeight="false" outlineLevel="0" collapsed="false">
      <c r="A247" s="2" t="s">
        <v>505</v>
      </c>
      <c r="B247" s="2" t="s">
        <v>506</v>
      </c>
      <c r="C247" s="2" t="n">
        <v>3</v>
      </c>
      <c r="D247" s="2" t="s">
        <v>507</v>
      </c>
      <c r="E247" s="2" t="s">
        <v>63</v>
      </c>
      <c r="F247" s="2" t="s">
        <v>508</v>
      </c>
      <c r="G247" s="2" t="s">
        <v>65</v>
      </c>
      <c r="H247" s="7"/>
    </row>
    <row r="248" customFormat="false" ht="15" hidden="false" customHeight="false" outlineLevel="0" collapsed="false">
      <c r="A248" s="2" t="s">
        <v>509</v>
      </c>
      <c r="B248" s="2" t="s">
        <v>510</v>
      </c>
      <c r="C248" s="2" t="n">
        <v>2</v>
      </c>
      <c r="D248" s="2" t="s">
        <v>82</v>
      </c>
      <c r="E248" s="2" t="s">
        <v>47</v>
      </c>
      <c r="F248" s="2" t="s">
        <v>83</v>
      </c>
      <c r="G248" s="2" t="s">
        <v>49</v>
      </c>
      <c r="H248" s="7"/>
    </row>
    <row r="249" customFormat="false" ht="15" hidden="false" customHeight="false" outlineLevel="0" collapsed="false">
      <c r="A249" s="2" t="s">
        <v>509</v>
      </c>
      <c r="B249" s="2" t="s">
        <v>510</v>
      </c>
      <c r="C249" s="2" t="n">
        <v>2</v>
      </c>
      <c r="D249" s="2" t="s">
        <v>511</v>
      </c>
      <c r="E249" s="2" t="s">
        <v>57</v>
      </c>
      <c r="F249" s="2" t="s">
        <v>512</v>
      </c>
      <c r="G249" s="2" t="s">
        <v>59</v>
      </c>
      <c r="H249" s="7"/>
    </row>
    <row r="250" customFormat="false" ht="23.85" hidden="false" customHeight="false" outlineLevel="0" collapsed="false">
      <c r="A250" s="2" t="s">
        <v>513</v>
      </c>
      <c r="B250" s="2" t="s">
        <v>514</v>
      </c>
      <c r="C250" s="2" t="n">
        <v>3</v>
      </c>
      <c r="D250" s="2" t="s">
        <v>82</v>
      </c>
      <c r="E250" s="2" t="s">
        <v>47</v>
      </c>
      <c r="F250" s="2" t="s">
        <v>83</v>
      </c>
      <c r="G250" s="2" t="s">
        <v>49</v>
      </c>
      <c r="H250" s="7"/>
    </row>
    <row r="251" customFormat="false" ht="23.85" hidden="false" customHeight="false" outlineLevel="0" collapsed="false">
      <c r="A251" s="2" t="s">
        <v>513</v>
      </c>
      <c r="B251" s="2" t="s">
        <v>514</v>
      </c>
      <c r="C251" s="2" t="n">
        <v>3</v>
      </c>
      <c r="D251" s="2" t="s">
        <v>80</v>
      </c>
      <c r="E251" s="2" t="s">
        <v>73</v>
      </c>
      <c r="F251" s="2" t="s">
        <v>81</v>
      </c>
      <c r="G251" s="2" t="s">
        <v>75</v>
      </c>
      <c r="H251" s="7"/>
    </row>
    <row r="252" customFormat="false" ht="23.85" hidden="false" customHeight="false" outlineLevel="0" collapsed="false">
      <c r="A252" s="2" t="s">
        <v>513</v>
      </c>
      <c r="B252" s="2" t="s">
        <v>514</v>
      </c>
      <c r="C252" s="2" t="n">
        <v>3</v>
      </c>
      <c r="D252" s="2" t="s">
        <v>368</v>
      </c>
      <c r="E252" s="2" t="s">
        <v>306</v>
      </c>
      <c r="F252" s="2" t="s">
        <v>369</v>
      </c>
      <c r="G252" s="2" t="s">
        <v>308</v>
      </c>
      <c r="H252" s="7"/>
    </row>
    <row r="253" customFormat="false" ht="15" hidden="false" customHeight="false" outlineLevel="0" collapsed="false">
      <c r="A253" s="2" t="s">
        <v>515</v>
      </c>
      <c r="B253" s="2" t="s">
        <v>516</v>
      </c>
      <c r="C253" s="2" t="n">
        <v>2</v>
      </c>
      <c r="D253" s="2" t="s">
        <v>517</v>
      </c>
      <c r="E253" s="2" t="s">
        <v>57</v>
      </c>
      <c r="F253" s="2" t="s">
        <v>516</v>
      </c>
      <c r="G253" s="2" t="s">
        <v>59</v>
      </c>
      <c r="H253" s="7"/>
    </row>
    <row r="254" customFormat="false" ht="15" hidden="false" customHeight="false" outlineLevel="0" collapsed="false">
      <c r="A254" s="2" t="s">
        <v>515</v>
      </c>
      <c r="B254" s="2" t="s">
        <v>516</v>
      </c>
      <c r="C254" s="2" t="n">
        <v>2</v>
      </c>
      <c r="D254" s="2" t="s">
        <v>518</v>
      </c>
      <c r="E254" s="2" t="s">
        <v>236</v>
      </c>
      <c r="F254" s="2" t="s">
        <v>519</v>
      </c>
      <c r="G254" s="2" t="s">
        <v>238</v>
      </c>
      <c r="H254" s="7"/>
    </row>
    <row r="255" customFormat="false" ht="23.85" hidden="false" customHeight="false" outlineLevel="0" collapsed="false">
      <c r="A255" s="2" t="s">
        <v>520</v>
      </c>
      <c r="B255" s="2" t="s">
        <v>521</v>
      </c>
      <c r="C255" s="2" t="n">
        <v>3</v>
      </c>
      <c r="D255" s="2" t="s">
        <v>518</v>
      </c>
      <c r="E255" s="2" t="s">
        <v>236</v>
      </c>
      <c r="F255" s="2" t="s">
        <v>519</v>
      </c>
      <c r="G255" s="2" t="s">
        <v>238</v>
      </c>
      <c r="H255" s="7"/>
    </row>
    <row r="256" customFormat="false" ht="23.85" hidden="false" customHeight="false" outlineLevel="0" collapsed="false">
      <c r="A256" s="2" t="s">
        <v>520</v>
      </c>
      <c r="B256" s="2" t="s">
        <v>521</v>
      </c>
      <c r="C256" s="2" t="n">
        <v>3</v>
      </c>
      <c r="D256" s="2" t="s">
        <v>517</v>
      </c>
      <c r="E256" s="2" t="s">
        <v>57</v>
      </c>
      <c r="F256" s="2" t="s">
        <v>516</v>
      </c>
      <c r="G256" s="2" t="s">
        <v>59</v>
      </c>
      <c r="H256" s="7"/>
    </row>
    <row r="257" customFormat="false" ht="23.85" hidden="false" customHeight="false" outlineLevel="0" collapsed="false">
      <c r="A257" s="2" t="s">
        <v>520</v>
      </c>
      <c r="B257" s="2" t="s">
        <v>521</v>
      </c>
      <c r="C257" s="2" t="n">
        <v>3</v>
      </c>
      <c r="D257" s="2" t="s">
        <v>257</v>
      </c>
      <c r="E257" s="2" t="s">
        <v>117</v>
      </c>
      <c r="F257" s="2" t="s">
        <v>258</v>
      </c>
      <c r="G257" s="2" t="s">
        <v>119</v>
      </c>
      <c r="H257" s="7"/>
    </row>
    <row r="258" customFormat="false" ht="15" hidden="false" customHeight="false" outlineLevel="0" collapsed="false">
      <c r="A258" s="2" t="s">
        <v>522</v>
      </c>
      <c r="B258" s="2" t="s">
        <v>523</v>
      </c>
      <c r="C258" s="2" t="n">
        <v>2</v>
      </c>
      <c r="D258" s="2" t="s">
        <v>524</v>
      </c>
      <c r="E258" s="2" t="s">
        <v>63</v>
      </c>
      <c r="F258" s="2" t="s">
        <v>523</v>
      </c>
      <c r="G258" s="2" t="s">
        <v>65</v>
      </c>
      <c r="H258" s="7"/>
    </row>
    <row r="259" customFormat="false" ht="15" hidden="false" customHeight="false" outlineLevel="0" collapsed="false">
      <c r="A259" s="2" t="s">
        <v>522</v>
      </c>
      <c r="B259" s="2" t="s">
        <v>523</v>
      </c>
      <c r="C259" s="2" t="n">
        <v>2</v>
      </c>
      <c r="D259" s="2" t="s">
        <v>221</v>
      </c>
      <c r="E259" s="2" t="s">
        <v>57</v>
      </c>
      <c r="F259" s="2" t="s">
        <v>222</v>
      </c>
      <c r="G259" s="2" t="s">
        <v>59</v>
      </c>
      <c r="H259" s="7"/>
    </row>
    <row r="260" customFormat="false" ht="15" hidden="false" customHeight="false" outlineLevel="0" collapsed="false">
      <c r="A260" s="2" t="s">
        <v>525</v>
      </c>
      <c r="B260" s="2" t="s">
        <v>526</v>
      </c>
      <c r="C260" s="2" t="n">
        <v>3</v>
      </c>
      <c r="D260" s="2" t="s">
        <v>524</v>
      </c>
      <c r="E260" s="2" t="s">
        <v>63</v>
      </c>
      <c r="F260" s="2" t="s">
        <v>523</v>
      </c>
      <c r="G260" s="2" t="s">
        <v>65</v>
      </c>
      <c r="H260" s="7"/>
    </row>
    <row r="261" customFormat="false" ht="15" hidden="false" customHeight="false" outlineLevel="0" collapsed="false">
      <c r="A261" s="2" t="s">
        <v>525</v>
      </c>
      <c r="B261" s="2" t="s">
        <v>526</v>
      </c>
      <c r="C261" s="2" t="n">
        <v>3</v>
      </c>
      <c r="D261" s="2" t="s">
        <v>309</v>
      </c>
      <c r="E261" s="2" t="s">
        <v>306</v>
      </c>
      <c r="F261" s="2" t="s">
        <v>310</v>
      </c>
      <c r="G261" s="2" t="s">
        <v>308</v>
      </c>
      <c r="H261" s="7"/>
    </row>
    <row r="262" customFormat="false" ht="23.85" hidden="false" customHeight="false" outlineLevel="0" collapsed="false">
      <c r="A262" s="2" t="s">
        <v>527</v>
      </c>
      <c r="B262" s="2" t="s">
        <v>528</v>
      </c>
      <c r="C262" s="2" t="n">
        <v>3</v>
      </c>
      <c r="D262" s="2" t="s">
        <v>332</v>
      </c>
      <c r="E262" s="2" t="s">
        <v>183</v>
      </c>
      <c r="F262" s="2" t="s">
        <v>333</v>
      </c>
      <c r="G262" s="2" t="s">
        <v>151</v>
      </c>
      <c r="H262" s="7"/>
    </row>
    <row r="263" customFormat="false" ht="23.85" hidden="false" customHeight="false" outlineLevel="0" collapsed="false">
      <c r="A263" s="2" t="s">
        <v>527</v>
      </c>
      <c r="B263" s="2" t="s">
        <v>528</v>
      </c>
      <c r="C263" s="2" t="n">
        <v>3</v>
      </c>
      <c r="D263" s="2" t="s">
        <v>336</v>
      </c>
      <c r="E263" s="2" t="s">
        <v>337</v>
      </c>
      <c r="F263" s="2" t="s">
        <v>338</v>
      </c>
      <c r="G263" s="2" t="s">
        <v>339</v>
      </c>
      <c r="H263" s="7"/>
    </row>
    <row r="264" customFormat="false" ht="23.85" hidden="false" customHeight="false" outlineLevel="0" collapsed="false">
      <c r="A264" s="2" t="s">
        <v>527</v>
      </c>
      <c r="B264" s="2" t="s">
        <v>528</v>
      </c>
      <c r="C264" s="2" t="n">
        <v>3</v>
      </c>
      <c r="D264" s="2" t="s">
        <v>529</v>
      </c>
      <c r="E264" s="2" t="s">
        <v>337</v>
      </c>
      <c r="F264" s="2" t="s">
        <v>530</v>
      </c>
      <c r="G264" s="2" t="s">
        <v>339</v>
      </c>
      <c r="H264" s="7"/>
    </row>
    <row r="265" customFormat="false" ht="15" hidden="false" customHeight="false" outlineLevel="0" collapsed="false">
      <c r="A265" s="2" t="s">
        <v>531</v>
      </c>
      <c r="B265" s="2" t="s">
        <v>532</v>
      </c>
      <c r="C265" s="2" t="n">
        <v>2</v>
      </c>
      <c r="D265" s="2" t="s">
        <v>533</v>
      </c>
      <c r="E265" s="2" t="s">
        <v>63</v>
      </c>
      <c r="F265" s="2" t="s">
        <v>532</v>
      </c>
      <c r="G265" s="2" t="s">
        <v>65</v>
      </c>
      <c r="H265" s="7"/>
    </row>
    <row r="266" customFormat="false" ht="15" hidden="false" customHeight="false" outlineLevel="0" collapsed="false">
      <c r="A266" s="2" t="s">
        <v>534</v>
      </c>
      <c r="B266" s="2" t="s">
        <v>535</v>
      </c>
      <c r="C266" s="2" t="n">
        <v>3</v>
      </c>
      <c r="D266" s="2" t="s">
        <v>533</v>
      </c>
      <c r="E266" s="2" t="s">
        <v>63</v>
      </c>
      <c r="F266" s="2" t="s">
        <v>532</v>
      </c>
      <c r="G266" s="2" t="s">
        <v>65</v>
      </c>
      <c r="H266" s="7"/>
    </row>
    <row r="267" customFormat="false" ht="15" hidden="false" customHeight="false" outlineLevel="0" collapsed="false">
      <c r="A267" s="2" t="s">
        <v>534</v>
      </c>
      <c r="B267" s="2" t="s">
        <v>535</v>
      </c>
      <c r="C267" s="2" t="n">
        <v>3</v>
      </c>
      <c r="D267" s="2" t="s">
        <v>156</v>
      </c>
      <c r="E267" s="2" t="s">
        <v>117</v>
      </c>
      <c r="F267" s="2" t="s">
        <v>157</v>
      </c>
      <c r="G267" s="2" t="s">
        <v>119</v>
      </c>
      <c r="H267" s="7"/>
    </row>
    <row r="268" customFormat="false" ht="15" hidden="false" customHeight="false" outlineLevel="0" collapsed="false">
      <c r="A268" s="2" t="s">
        <v>536</v>
      </c>
      <c r="B268" s="2" t="s">
        <v>537</v>
      </c>
      <c r="C268" s="2" t="n">
        <v>3</v>
      </c>
      <c r="D268" s="2" t="s">
        <v>332</v>
      </c>
      <c r="E268" s="2" t="s">
        <v>183</v>
      </c>
      <c r="F268" s="2" t="s">
        <v>333</v>
      </c>
      <c r="G268" s="2" t="s">
        <v>151</v>
      </c>
      <c r="H268" s="7"/>
    </row>
    <row r="269" customFormat="false" ht="15" hidden="false" customHeight="false" outlineLevel="0" collapsed="false">
      <c r="A269" s="2" t="s">
        <v>536</v>
      </c>
      <c r="B269" s="2" t="s">
        <v>537</v>
      </c>
      <c r="C269" s="2" t="n">
        <v>3</v>
      </c>
      <c r="D269" s="2" t="s">
        <v>402</v>
      </c>
      <c r="E269" s="2" t="s">
        <v>47</v>
      </c>
      <c r="F269" s="2" t="s">
        <v>403</v>
      </c>
      <c r="G269" s="2" t="s">
        <v>49</v>
      </c>
      <c r="H269" s="7"/>
    </row>
    <row r="270" customFormat="false" ht="15" hidden="false" customHeight="false" outlineLevel="0" collapsed="false">
      <c r="A270" s="2" t="s">
        <v>536</v>
      </c>
      <c r="B270" s="2" t="s">
        <v>537</v>
      </c>
      <c r="C270" s="2" t="n">
        <v>3</v>
      </c>
      <c r="D270" s="2" t="s">
        <v>334</v>
      </c>
      <c r="E270" s="2" t="s">
        <v>163</v>
      </c>
      <c r="F270" s="2" t="s">
        <v>335</v>
      </c>
      <c r="G270" s="2" t="s">
        <v>165</v>
      </c>
      <c r="H270" s="7"/>
    </row>
    <row r="271" customFormat="false" ht="15" hidden="false" customHeight="false" outlineLevel="0" collapsed="false">
      <c r="A271" s="2" t="s">
        <v>538</v>
      </c>
      <c r="B271" s="2" t="s">
        <v>539</v>
      </c>
      <c r="C271" s="2" t="n">
        <v>2</v>
      </c>
      <c r="D271" s="2" t="s">
        <v>507</v>
      </c>
      <c r="E271" s="2" t="s">
        <v>63</v>
      </c>
      <c r="F271" s="2" t="s">
        <v>508</v>
      </c>
      <c r="G271" s="2" t="s">
        <v>65</v>
      </c>
      <c r="H271" s="7"/>
    </row>
    <row r="272" customFormat="false" ht="15" hidden="false" customHeight="false" outlineLevel="0" collapsed="false">
      <c r="A272" s="2" t="s">
        <v>538</v>
      </c>
      <c r="B272" s="2" t="s">
        <v>539</v>
      </c>
      <c r="C272" s="2" t="n">
        <v>2</v>
      </c>
      <c r="D272" s="2" t="s">
        <v>420</v>
      </c>
      <c r="E272" s="2" t="s">
        <v>57</v>
      </c>
      <c r="F272" s="2" t="s">
        <v>421</v>
      </c>
      <c r="G272" s="2" t="s">
        <v>59</v>
      </c>
      <c r="H272" s="7"/>
    </row>
    <row r="273" customFormat="false" ht="15" hidden="false" customHeight="false" outlineLevel="0" collapsed="false">
      <c r="A273" s="2" t="s">
        <v>540</v>
      </c>
      <c r="B273" s="2" t="s">
        <v>541</v>
      </c>
      <c r="C273" s="2" t="n">
        <v>3</v>
      </c>
      <c r="D273" s="2" t="s">
        <v>507</v>
      </c>
      <c r="E273" s="2" t="s">
        <v>63</v>
      </c>
      <c r="F273" s="2" t="s">
        <v>508</v>
      </c>
      <c r="G273" s="2" t="s">
        <v>65</v>
      </c>
      <c r="H273" s="7"/>
    </row>
    <row r="274" customFormat="false" ht="15" hidden="false" customHeight="false" outlineLevel="0" collapsed="false">
      <c r="A274" s="2" t="s">
        <v>542</v>
      </c>
      <c r="B274" s="2" t="s">
        <v>543</v>
      </c>
      <c r="C274" s="2" t="n">
        <v>3</v>
      </c>
      <c r="D274" s="2" t="s">
        <v>332</v>
      </c>
      <c r="E274" s="2" t="s">
        <v>183</v>
      </c>
      <c r="F274" s="2" t="s">
        <v>333</v>
      </c>
      <c r="G274" s="2" t="s">
        <v>151</v>
      </c>
      <c r="H274" s="7"/>
    </row>
    <row r="275" customFormat="false" ht="15" hidden="false" customHeight="false" outlineLevel="0" collapsed="false">
      <c r="A275" s="2" t="s">
        <v>542</v>
      </c>
      <c r="B275" s="2" t="s">
        <v>543</v>
      </c>
      <c r="C275" s="2" t="n">
        <v>3</v>
      </c>
      <c r="D275" s="2" t="s">
        <v>189</v>
      </c>
      <c r="E275" s="2" t="s">
        <v>183</v>
      </c>
      <c r="F275" s="2" t="s">
        <v>190</v>
      </c>
      <c r="G275" s="2" t="s">
        <v>151</v>
      </c>
      <c r="H275" s="7"/>
    </row>
    <row r="276" customFormat="false" ht="15" hidden="false" customHeight="false" outlineLevel="0" collapsed="false">
      <c r="A276" s="2" t="s">
        <v>544</v>
      </c>
      <c r="B276" s="2" t="s">
        <v>545</v>
      </c>
      <c r="C276" s="2" t="n">
        <v>3</v>
      </c>
      <c r="D276" s="2" t="s">
        <v>420</v>
      </c>
      <c r="E276" s="2" t="s">
        <v>57</v>
      </c>
      <c r="F276" s="2" t="s">
        <v>421</v>
      </c>
      <c r="G276" s="2" t="s">
        <v>59</v>
      </c>
      <c r="H276" s="7"/>
    </row>
    <row r="277" customFormat="false" ht="15" hidden="false" customHeight="false" outlineLevel="0" collapsed="false">
      <c r="A277" s="2" t="s">
        <v>544</v>
      </c>
      <c r="B277" s="2" t="s">
        <v>545</v>
      </c>
      <c r="C277" s="2" t="n">
        <v>3</v>
      </c>
      <c r="D277" s="2" t="s">
        <v>346</v>
      </c>
      <c r="E277" s="2" t="s">
        <v>183</v>
      </c>
      <c r="F277" s="2" t="s">
        <v>347</v>
      </c>
      <c r="G277" s="2" t="s">
        <v>151</v>
      </c>
      <c r="H277" s="7"/>
    </row>
    <row r="278" customFormat="false" ht="15" hidden="false" customHeight="false" outlineLevel="0" collapsed="false">
      <c r="A278" s="2" t="s">
        <v>544</v>
      </c>
      <c r="B278" s="2" t="s">
        <v>545</v>
      </c>
      <c r="C278" s="2" t="n">
        <v>3</v>
      </c>
      <c r="D278" s="2" t="s">
        <v>376</v>
      </c>
      <c r="E278" s="2" t="s">
        <v>228</v>
      </c>
      <c r="F278" s="2" t="s">
        <v>377</v>
      </c>
      <c r="G278" s="2" t="s">
        <v>230</v>
      </c>
      <c r="H278" s="7"/>
    </row>
    <row r="279" customFormat="false" ht="15" hidden="false" customHeight="false" outlineLevel="0" collapsed="false">
      <c r="A279" s="2" t="s">
        <v>546</v>
      </c>
      <c r="B279" s="2" t="s">
        <v>547</v>
      </c>
      <c r="C279" s="2" t="n">
        <v>2</v>
      </c>
      <c r="D279" s="2" t="s">
        <v>548</v>
      </c>
      <c r="E279" s="2" t="s">
        <v>63</v>
      </c>
      <c r="F279" s="2" t="s">
        <v>547</v>
      </c>
      <c r="G279" s="2" t="s">
        <v>65</v>
      </c>
      <c r="H279" s="7"/>
    </row>
    <row r="280" customFormat="false" ht="15" hidden="false" customHeight="false" outlineLevel="0" collapsed="false">
      <c r="A280" s="2" t="s">
        <v>549</v>
      </c>
      <c r="B280" s="2" t="s">
        <v>550</v>
      </c>
      <c r="C280" s="2" t="n">
        <v>3</v>
      </c>
      <c r="D280" s="2" t="s">
        <v>548</v>
      </c>
      <c r="E280" s="2" t="s">
        <v>63</v>
      </c>
      <c r="F280" s="2" t="s">
        <v>547</v>
      </c>
      <c r="G280" s="2" t="s">
        <v>65</v>
      </c>
      <c r="H280" s="7"/>
    </row>
    <row r="281" customFormat="false" ht="15" hidden="false" customHeight="false" outlineLevel="0" collapsed="false">
      <c r="A281" s="2" t="s">
        <v>549</v>
      </c>
      <c r="B281" s="2" t="s">
        <v>550</v>
      </c>
      <c r="C281" s="2" t="n">
        <v>3</v>
      </c>
      <c r="D281" s="2" t="s">
        <v>156</v>
      </c>
      <c r="E281" s="2" t="s">
        <v>117</v>
      </c>
      <c r="F281" s="2" t="s">
        <v>157</v>
      </c>
      <c r="G281" s="2" t="s">
        <v>119</v>
      </c>
      <c r="H281" s="7"/>
    </row>
    <row r="282" customFormat="false" ht="15" hidden="false" customHeight="false" outlineLevel="0" collapsed="false">
      <c r="A282" s="2" t="s">
        <v>551</v>
      </c>
      <c r="B282" s="2" t="s">
        <v>552</v>
      </c>
      <c r="C282" s="2" t="n">
        <v>3</v>
      </c>
      <c r="D282" s="2" t="s">
        <v>332</v>
      </c>
      <c r="E282" s="2" t="s">
        <v>183</v>
      </c>
      <c r="F282" s="2" t="s">
        <v>333</v>
      </c>
      <c r="G282" s="2" t="s">
        <v>151</v>
      </c>
      <c r="H282" s="7"/>
    </row>
    <row r="283" customFormat="false" ht="15" hidden="false" customHeight="false" outlineLevel="0" collapsed="false">
      <c r="A283" s="2" t="s">
        <v>551</v>
      </c>
      <c r="B283" s="2" t="s">
        <v>552</v>
      </c>
      <c r="C283" s="2" t="n">
        <v>3</v>
      </c>
      <c r="D283" s="2" t="s">
        <v>518</v>
      </c>
      <c r="E283" s="2" t="s">
        <v>236</v>
      </c>
      <c r="F283" s="2" t="s">
        <v>519</v>
      </c>
      <c r="G283" s="2" t="s">
        <v>238</v>
      </c>
      <c r="H283" s="7"/>
    </row>
    <row r="284" customFormat="false" ht="15" hidden="false" customHeight="false" outlineLevel="0" collapsed="false">
      <c r="A284" s="2" t="s">
        <v>553</v>
      </c>
      <c r="B284" s="2" t="s">
        <v>554</v>
      </c>
      <c r="C284" s="2" t="n">
        <v>2</v>
      </c>
      <c r="D284" s="2" t="s">
        <v>555</v>
      </c>
      <c r="E284" s="2" t="s">
        <v>63</v>
      </c>
      <c r="F284" s="2" t="s">
        <v>556</v>
      </c>
      <c r="G284" s="2" t="s">
        <v>65</v>
      </c>
      <c r="H284" s="7"/>
    </row>
    <row r="285" customFormat="false" ht="15" hidden="false" customHeight="false" outlineLevel="0" collapsed="false">
      <c r="A285" s="2" t="s">
        <v>553</v>
      </c>
      <c r="B285" s="2" t="s">
        <v>554</v>
      </c>
      <c r="C285" s="2" t="n">
        <v>2</v>
      </c>
      <c r="D285" s="2" t="s">
        <v>511</v>
      </c>
      <c r="E285" s="2" t="s">
        <v>57</v>
      </c>
      <c r="F285" s="2" t="s">
        <v>512</v>
      </c>
      <c r="G285" s="2" t="s">
        <v>59</v>
      </c>
      <c r="H285" s="7"/>
    </row>
    <row r="286" customFormat="false" ht="23.85" hidden="false" customHeight="false" outlineLevel="0" collapsed="false">
      <c r="A286" s="2" t="s">
        <v>557</v>
      </c>
      <c r="B286" s="2" t="s">
        <v>558</v>
      </c>
      <c r="C286" s="2" t="n">
        <v>3</v>
      </c>
      <c r="D286" s="2" t="s">
        <v>555</v>
      </c>
      <c r="E286" s="2" t="s">
        <v>63</v>
      </c>
      <c r="F286" s="2" t="s">
        <v>556</v>
      </c>
      <c r="G286" s="2" t="s">
        <v>65</v>
      </c>
      <c r="H286" s="7"/>
    </row>
    <row r="287" customFormat="false" ht="23.85" hidden="false" customHeight="false" outlineLevel="0" collapsed="false">
      <c r="A287" s="2" t="s">
        <v>557</v>
      </c>
      <c r="B287" s="2" t="s">
        <v>558</v>
      </c>
      <c r="C287" s="2" t="n">
        <v>3</v>
      </c>
      <c r="D287" s="2" t="s">
        <v>559</v>
      </c>
      <c r="E287" s="2" t="s">
        <v>149</v>
      </c>
      <c r="F287" s="2" t="s">
        <v>560</v>
      </c>
      <c r="G287" s="2" t="s">
        <v>151</v>
      </c>
      <c r="H287" s="7"/>
    </row>
    <row r="288" customFormat="false" ht="23.85" hidden="false" customHeight="false" outlineLevel="0" collapsed="false">
      <c r="A288" s="2" t="s">
        <v>557</v>
      </c>
      <c r="B288" s="2" t="s">
        <v>558</v>
      </c>
      <c r="C288" s="2" t="n">
        <v>3</v>
      </c>
      <c r="D288" s="2" t="s">
        <v>156</v>
      </c>
      <c r="E288" s="2" t="s">
        <v>117</v>
      </c>
      <c r="F288" s="2" t="s">
        <v>157</v>
      </c>
      <c r="G288" s="2" t="s">
        <v>119</v>
      </c>
      <c r="H288" s="7"/>
    </row>
    <row r="289" customFormat="false" ht="15" hidden="false" customHeight="false" outlineLevel="0" collapsed="false">
      <c r="A289" s="2" t="s">
        <v>561</v>
      </c>
      <c r="B289" s="2" t="s">
        <v>562</v>
      </c>
      <c r="C289" s="2" t="n">
        <v>3</v>
      </c>
      <c r="D289" s="2" t="s">
        <v>257</v>
      </c>
      <c r="E289" s="2" t="s">
        <v>117</v>
      </c>
      <c r="F289" s="2" t="s">
        <v>258</v>
      </c>
      <c r="G289" s="2" t="s">
        <v>119</v>
      </c>
      <c r="H289" s="7"/>
    </row>
    <row r="290" customFormat="false" ht="23.85" hidden="false" customHeight="false" outlineLevel="0" collapsed="false">
      <c r="A290" s="2" t="s">
        <v>561</v>
      </c>
      <c r="B290" s="2" t="s">
        <v>562</v>
      </c>
      <c r="C290" s="2" t="n">
        <v>3</v>
      </c>
      <c r="D290" s="2" t="s">
        <v>241</v>
      </c>
      <c r="E290" s="2" t="s">
        <v>47</v>
      </c>
      <c r="F290" s="2" t="s">
        <v>242</v>
      </c>
      <c r="G290" s="2" t="s">
        <v>49</v>
      </c>
      <c r="H290" s="7"/>
    </row>
    <row r="291" customFormat="false" ht="15" hidden="false" customHeight="false" outlineLevel="0" collapsed="false">
      <c r="A291" s="2" t="s">
        <v>563</v>
      </c>
      <c r="B291" s="2" t="s">
        <v>564</v>
      </c>
      <c r="C291" s="2" t="n">
        <v>3</v>
      </c>
      <c r="D291" s="2" t="s">
        <v>344</v>
      </c>
      <c r="E291" s="2" t="s">
        <v>337</v>
      </c>
      <c r="F291" s="2" t="s">
        <v>345</v>
      </c>
      <c r="G291" s="2" t="s">
        <v>339</v>
      </c>
      <c r="H291" s="7"/>
    </row>
    <row r="292" customFormat="false" ht="15" hidden="false" customHeight="false" outlineLevel="0" collapsed="false">
      <c r="A292" s="2" t="s">
        <v>563</v>
      </c>
      <c r="B292" s="2" t="s">
        <v>564</v>
      </c>
      <c r="C292" s="2" t="n">
        <v>3</v>
      </c>
      <c r="D292" s="2" t="s">
        <v>346</v>
      </c>
      <c r="E292" s="2" t="s">
        <v>183</v>
      </c>
      <c r="F292" s="2" t="s">
        <v>347</v>
      </c>
      <c r="G292" s="2" t="s">
        <v>151</v>
      </c>
      <c r="H292" s="7"/>
    </row>
    <row r="293" customFormat="false" ht="15" hidden="false" customHeight="false" outlineLevel="0" collapsed="false">
      <c r="A293" s="2" t="s">
        <v>565</v>
      </c>
      <c r="B293" s="2" t="s">
        <v>566</v>
      </c>
      <c r="C293" s="2" t="n">
        <v>3</v>
      </c>
      <c r="D293" s="2" t="s">
        <v>376</v>
      </c>
      <c r="E293" s="2" t="s">
        <v>228</v>
      </c>
      <c r="F293" s="2" t="s">
        <v>377</v>
      </c>
      <c r="G293" s="2" t="s">
        <v>230</v>
      </c>
      <c r="H293" s="7"/>
    </row>
    <row r="294" customFormat="false" ht="15" hidden="false" customHeight="false" outlineLevel="0" collapsed="false">
      <c r="A294" s="2" t="s">
        <v>565</v>
      </c>
      <c r="B294" s="2" t="s">
        <v>566</v>
      </c>
      <c r="C294" s="2" t="n">
        <v>3</v>
      </c>
      <c r="D294" s="2" t="s">
        <v>567</v>
      </c>
      <c r="E294" s="2" t="s">
        <v>183</v>
      </c>
      <c r="F294" s="2" t="s">
        <v>568</v>
      </c>
      <c r="G294" s="2" t="s">
        <v>151</v>
      </c>
      <c r="H294" s="7"/>
    </row>
    <row r="295" customFormat="false" ht="15" hidden="false" customHeight="false" outlineLevel="0" collapsed="false">
      <c r="A295" s="2" t="s">
        <v>569</v>
      </c>
      <c r="B295" s="2" t="s">
        <v>570</v>
      </c>
      <c r="C295" s="2" t="n">
        <v>2</v>
      </c>
      <c r="D295" s="2" t="s">
        <v>571</v>
      </c>
      <c r="E295" s="2" t="s">
        <v>57</v>
      </c>
      <c r="F295" s="2" t="s">
        <v>572</v>
      </c>
      <c r="G295" s="2" t="s">
        <v>59</v>
      </c>
      <c r="H295" s="7"/>
    </row>
    <row r="296" customFormat="false" ht="15" hidden="false" customHeight="false" outlineLevel="0" collapsed="false">
      <c r="A296" s="2" t="s">
        <v>573</v>
      </c>
      <c r="B296" s="2" t="s">
        <v>574</v>
      </c>
      <c r="C296" s="2" t="n">
        <v>3</v>
      </c>
      <c r="D296" s="2" t="s">
        <v>571</v>
      </c>
      <c r="E296" s="2" t="s">
        <v>57</v>
      </c>
      <c r="F296" s="2" t="s">
        <v>572</v>
      </c>
      <c r="G296" s="2" t="s">
        <v>59</v>
      </c>
      <c r="H296" s="7"/>
    </row>
    <row r="297" customFormat="false" ht="15" hidden="false" customHeight="false" outlineLevel="0" collapsed="false">
      <c r="A297" s="2" t="s">
        <v>573</v>
      </c>
      <c r="B297" s="2" t="s">
        <v>574</v>
      </c>
      <c r="C297" s="2" t="n">
        <v>3</v>
      </c>
      <c r="D297" s="2" t="s">
        <v>257</v>
      </c>
      <c r="E297" s="2" t="s">
        <v>117</v>
      </c>
      <c r="F297" s="2" t="s">
        <v>258</v>
      </c>
      <c r="G297" s="2" t="s">
        <v>119</v>
      </c>
      <c r="H297" s="7"/>
    </row>
    <row r="298" customFormat="false" ht="15" hidden="false" customHeight="false" outlineLevel="0" collapsed="false">
      <c r="A298" s="2" t="s">
        <v>575</v>
      </c>
      <c r="B298" s="2" t="s">
        <v>576</v>
      </c>
      <c r="C298" s="2" t="n">
        <v>2</v>
      </c>
      <c r="D298" s="2" t="s">
        <v>577</v>
      </c>
      <c r="E298" s="2" t="s">
        <v>57</v>
      </c>
      <c r="F298" s="2" t="s">
        <v>578</v>
      </c>
      <c r="G298" s="2" t="s">
        <v>59</v>
      </c>
      <c r="H298" s="7"/>
    </row>
    <row r="299" customFormat="false" ht="15" hidden="false" customHeight="false" outlineLevel="0" collapsed="false">
      <c r="A299" s="2" t="s">
        <v>575</v>
      </c>
      <c r="B299" s="2" t="s">
        <v>576</v>
      </c>
      <c r="C299" s="2" t="n">
        <v>2</v>
      </c>
      <c r="D299" s="2" t="s">
        <v>579</v>
      </c>
      <c r="E299" s="2" t="s">
        <v>236</v>
      </c>
      <c r="F299" s="2" t="s">
        <v>580</v>
      </c>
      <c r="G299" s="2" t="s">
        <v>238</v>
      </c>
      <c r="H299" s="7"/>
    </row>
    <row r="300" customFormat="false" ht="15" hidden="false" customHeight="false" outlineLevel="0" collapsed="false">
      <c r="A300" s="2" t="s">
        <v>581</v>
      </c>
      <c r="B300" s="2" t="s">
        <v>582</v>
      </c>
      <c r="C300" s="2" t="n">
        <v>3</v>
      </c>
      <c r="D300" s="2" t="s">
        <v>579</v>
      </c>
      <c r="E300" s="2" t="s">
        <v>236</v>
      </c>
      <c r="F300" s="2" t="s">
        <v>580</v>
      </c>
      <c r="G300" s="2" t="s">
        <v>238</v>
      </c>
      <c r="H300" s="7"/>
    </row>
    <row r="301" customFormat="false" ht="15" hidden="false" customHeight="false" outlineLevel="0" collapsed="false">
      <c r="A301" s="2" t="s">
        <v>581</v>
      </c>
      <c r="B301" s="2" t="s">
        <v>582</v>
      </c>
      <c r="C301" s="2" t="n">
        <v>3</v>
      </c>
      <c r="D301" s="2" t="s">
        <v>577</v>
      </c>
      <c r="E301" s="2" t="s">
        <v>57</v>
      </c>
      <c r="F301" s="2" t="s">
        <v>578</v>
      </c>
      <c r="G301" s="2" t="s">
        <v>59</v>
      </c>
      <c r="H301" s="7"/>
    </row>
    <row r="302" customFormat="false" ht="15" hidden="false" customHeight="false" outlineLevel="0" collapsed="false">
      <c r="A302" s="2" t="s">
        <v>583</v>
      </c>
      <c r="B302" s="2" t="s">
        <v>584</v>
      </c>
      <c r="C302" s="2" t="n">
        <v>2</v>
      </c>
      <c r="D302" s="2" t="s">
        <v>471</v>
      </c>
      <c r="E302" s="2" t="s">
        <v>236</v>
      </c>
      <c r="F302" s="2" t="s">
        <v>472</v>
      </c>
      <c r="G302" s="2" t="s">
        <v>238</v>
      </c>
      <c r="H302" s="7"/>
    </row>
    <row r="303" customFormat="false" ht="15" hidden="false" customHeight="false" outlineLevel="0" collapsed="false">
      <c r="A303" s="2" t="s">
        <v>583</v>
      </c>
      <c r="B303" s="2" t="s">
        <v>584</v>
      </c>
      <c r="C303" s="2" t="n">
        <v>2</v>
      </c>
      <c r="D303" s="2" t="s">
        <v>92</v>
      </c>
      <c r="E303" s="2" t="s">
        <v>87</v>
      </c>
      <c r="F303" s="2" t="s">
        <v>93</v>
      </c>
      <c r="G303" s="2" t="s">
        <v>89</v>
      </c>
      <c r="H303" s="7"/>
    </row>
    <row r="304" customFormat="false" ht="23.85" hidden="false" customHeight="false" outlineLevel="0" collapsed="false">
      <c r="A304" s="2" t="s">
        <v>585</v>
      </c>
      <c r="B304" s="2" t="s">
        <v>586</v>
      </c>
      <c r="C304" s="2" t="n">
        <v>3</v>
      </c>
      <c r="D304" s="2" t="s">
        <v>471</v>
      </c>
      <c r="E304" s="2" t="s">
        <v>236</v>
      </c>
      <c r="F304" s="2" t="s">
        <v>472</v>
      </c>
      <c r="G304" s="2" t="s">
        <v>238</v>
      </c>
      <c r="H304" s="7"/>
    </row>
    <row r="305" customFormat="false" ht="23.85" hidden="false" customHeight="false" outlineLevel="0" collapsed="false">
      <c r="A305" s="2" t="s">
        <v>585</v>
      </c>
      <c r="B305" s="2" t="s">
        <v>586</v>
      </c>
      <c r="C305" s="2" t="n">
        <v>3</v>
      </c>
      <c r="D305" s="2" t="s">
        <v>46</v>
      </c>
      <c r="E305" s="2" t="s">
        <v>47</v>
      </c>
      <c r="F305" s="2" t="s">
        <v>48</v>
      </c>
      <c r="G305" s="2" t="s">
        <v>49</v>
      </c>
      <c r="H305" s="7"/>
    </row>
    <row r="306" customFormat="false" ht="23.85" hidden="false" customHeight="false" outlineLevel="0" collapsed="false">
      <c r="A306" s="2" t="s">
        <v>585</v>
      </c>
      <c r="B306" s="2" t="s">
        <v>586</v>
      </c>
      <c r="C306" s="2" t="n">
        <v>3</v>
      </c>
      <c r="D306" s="2" t="s">
        <v>257</v>
      </c>
      <c r="E306" s="2" t="s">
        <v>117</v>
      </c>
      <c r="F306" s="2" t="s">
        <v>258</v>
      </c>
      <c r="G306" s="2" t="s">
        <v>119</v>
      </c>
      <c r="H306" s="7"/>
    </row>
    <row r="307" customFormat="false" ht="15" hidden="false" customHeight="false" outlineLevel="0" collapsed="false">
      <c r="A307" s="2" t="s">
        <v>587</v>
      </c>
      <c r="B307" s="2" t="s">
        <v>588</v>
      </c>
      <c r="C307" s="2" t="n">
        <v>2</v>
      </c>
      <c r="D307" s="2" t="s">
        <v>589</v>
      </c>
      <c r="E307" s="2" t="s">
        <v>236</v>
      </c>
      <c r="F307" s="2" t="s">
        <v>590</v>
      </c>
      <c r="G307" s="2" t="s">
        <v>238</v>
      </c>
      <c r="H307" s="7"/>
    </row>
    <row r="308" customFormat="false" ht="15" hidden="false" customHeight="false" outlineLevel="0" collapsed="false">
      <c r="A308" s="2" t="s">
        <v>587</v>
      </c>
      <c r="B308" s="2" t="s">
        <v>588</v>
      </c>
      <c r="C308" s="2" t="n">
        <v>2</v>
      </c>
      <c r="D308" s="2" t="s">
        <v>591</v>
      </c>
      <c r="E308" s="2" t="s">
        <v>228</v>
      </c>
      <c r="F308" s="2" t="s">
        <v>592</v>
      </c>
      <c r="G308" s="2" t="s">
        <v>230</v>
      </c>
      <c r="H308" s="7"/>
    </row>
    <row r="309" customFormat="false" ht="15" hidden="false" customHeight="false" outlineLevel="0" collapsed="false">
      <c r="A309" s="2" t="s">
        <v>593</v>
      </c>
      <c r="B309" s="2" t="s">
        <v>594</v>
      </c>
      <c r="C309" s="2" t="n">
        <v>3</v>
      </c>
      <c r="D309" s="2" t="s">
        <v>589</v>
      </c>
      <c r="E309" s="2" t="s">
        <v>236</v>
      </c>
      <c r="F309" s="2" t="s">
        <v>590</v>
      </c>
      <c r="G309" s="2" t="s">
        <v>238</v>
      </c>
      <c r="H309" s="7"/>
    </row>
    <row r="310" customFormat="false" ht="15" hidden="false" customHeight="false" outlineLevel="0" collapsed="false">
      <c r="A310" s="2" t="s">
        <v>593</v>
      </c>
      <c r="B310" s="2" t="s">
        <v>594</v>
      </c>
      <c r="C310" s="2" t="n">
        <v>3</v>
      </c>
      <c r="D310" s="2" t="s">
        <v>591</v>
      </c>
      <c r="E310" s="2" t="s">
        <v>228</v>
      </c>
      <c r="F310" s="2" t="s">
        <v>592</v>
      </c>
      <c r="G310" s="2" t="s">
        <v>230</v>
      </c>
      <c r="H310" s="7"/>
    </row>
    <row r="311" customFormat="false" ht="15" hidden="false" customHeight="false" outlineLevel="0" collapsed="false">
      <c r="A311" s="2" t="s">
        <v>593</v>
      </c>
      <c r="B311" s="2" t="s">
        <v>594</v>
      </c>
      <c r="C311" s="2" t="n">
        <v>3</v>
      </c>
      <c r="D311" s="2" t="s">
        <v>567</v>
      </c>
      <c r="E311" s="2" t="s">
        <v>183</v>
      </c>
      <c r="F311" s="2" t="s">
        <v>568</v>
      </c>
      <c r="G311" s="2" t="s">
        <v>151</v>
      </c>
      <c r="H311" s="7"/>
    </row>
    <row r="312" customFormat="false" ht="15" hidden="false" customHeight="false" outlineLevel="0" collapsed="false">
      <c r="A312" s="2" t="s">
        <v>595</v>
      </c>
      <c r="B312" s="2" t="s">
        <v>596</v>
      </c>
      <c r="C312" s="2" t="n">
        <v>3</v>
      </c>
      <c r="D312" s="2" t="s">
        <v>597</v>
      </c>
      <c r="E312" s="2" t="s">
        <v>123</v>
      </c>
      <c r="F312" s="2" t="s">
        <v>598</v>
      </c>
      <c r="G312" s="2" t="s">
        <v>125</v>
      </c>
      <c r="H312" s="7"/>
    </row>
    <row r="313" customFormat="false" ht="15" hidden="false" customHeight="false" outlineLevel="0" collapsed="false">
      <c r="A313" s="2" t="s">
        <v>595</v>
      </c>
      <c r="B313" s="2" t="s">
        <v>596</v>
      </c>
      <c r="C313" s="2" t="n">
        <v>3</v>
      </c>
      <c r="D313" s="2" t="s">
        <v>293</v>
      </c>
      <c r="E313" s="2" t="s">
        <v>183</v>
      </c>
      <c r="F313" s="2" t="s">
        <v>294</v>
      </c>
      <c r="G313" s="2" t="s">
        <v>151</v>
      </c>
      <c r="H313" s="7"/>
    </row>
    <row r="314" customFormat="false" ht="15" hidden="false" customHeight="false" outlineLevel="0" collapsed="false">
      <c r="A314" s="2" t="s">
        <v>599</v>
      </c>
      <c r="B314" s="2" t="s">
        <v>600</v>
      </c>
      <c r="C314" s="2" t="n">
        <v>3</v>
      </c>
      <c r="D314" s="2" t="s">
        <v>450</v>
      </c>
      <c r="E314" s="2" t="s">
        <v>149</v>
      </c>
      <c r="F314" s="2" t="s">
        <v>451</v>
      </c>
      <c r="G314" s="2" t="s">
        <v>151</v>
      </c>
      <c r="H314" s="7"/>
    </row>
    <row r="315" customFormat="false" ht="15" hidden="false" customHeight="false" outlineLevel="0" collapsed="false">
      <c r="A315" s="2" t="s">
        <v>601</v>
      </c>
      <c r="B315" s="2" t="s">
        <v>602</v>
      </c>
      <c r="C315" s="2" t="n">
        <v>2</v>
      </c>
      <c r="D315" s="2" t="s">
        <v>603</v>
      </c>
      <c r="E315" s="2" t="s">
        <v>103</v>
      </c>
      <c r="F315" s="2" t="s">
        <v>604</v>
      </c>
      <c r="G315" s="2" t="s">
        <v>105</v>
      </c>
      <c r="H315" s="7"/>
    </row>
    <row r="316" customFormat="false" ht="15" hidden="false" customHeight="false" outlineLevel="0" collapsed="false">
      <c r="A316" s="2" t="s">
        <v>601</v>
      </c>
      <c r="B316" s="2" t="s">
        <v>602</v>
      </c>
      <c r="C316" s="2" t="n">
        <v>2</v>
      </c>
      <c r="D316" s="2" t="s">
        <v>261</v>
      </c>
      <c r="E316" s="2" t="s">
        <v>103</v>
      </c>
      <c r="F316" s="2" t="s">
        <v>262</v>
      </c>
      <c r="G316" s="2" t="s">
        <v>105</v>
      </c>
      <c r="H316" s="7"/>
    </row>
    <row r="317" customFormat="false" ht="15" hidden="false" customHeight="false" outlineLevel="0" collapsed="false">
      <c r="A317" s="2" t="s">
        <v>605</v>
      </c>
      <c r="B317" s="2" t="s">
        <v>606</v>
      </c>
      <c r="C317" s="2" t="n">
        <v>3</v>
      </c>
      <c r="D317" s="2" t="s">
        <v>603</v>
      </c>
      <c r="E317" s="2" t="s">
        <v>103</v>
      </c>
      <c r="F317" s="2" t="s">
        <v>604</v>
      </c>
      <c r="G317" s="2" t="s">
        <v>105</v>
      </c>
      <c r="H317" s="7"/>
    </row>
    <row r="318" customFormat="false" ht="15" hidden="false" customHeight="false" outlineLevel="0" collapsed="false">
      <c r="A318" s="2" t="s">
        <v>607</v>
      </c>
      <c r="B318" s="2" t="s">
        <v>608</v>
      </c>
      <c r="C318" s="2" t="n">
        <v>3</v>
      </c>
      <c r="D318" s="2" t="s">
        <v>261</v>
      </c>
      <c r="E318" s="2" t="s">
        <v>103</v>
      </c>
      <c r="F318" s="2" t="s">
        <v>262</v>
      </c>
      <c r="G318" s="2" t="s">
        <v>105</v>
      </c>
      <c r="H318" s="7"/>
    </row>
    <row r="319" customFormat="false" ht="15" hidden="false" customHeight="false" outlineLevel="0" collapsed="false">
      <c r="A319" s="2" t="s">
        <v>609</v>
      </c>
      <c r="B319" s="2" t="s">
        <v>610</v>
      </c>
      <c r="C319" s="2" t="n">
        <v>2</v>
      </c>
      <c r="D319" s="2" t="s">
        <v>611</v>
      </c>
      <c r="E319" s="2" t="s">
        <v>63</v>
      </c>
      <c r="F319" s="2" t="s">
        <v>612</v>
      </c>
      <c r="G319" s="2" t="s">
        <v>65</v>
      </c>
      <c r="H319" s="7"/>
    </row>
    <row r="320" customFormat="false" ht="15" hidden="false" customHeight="false" outlineLevel="0" collapsed="false">
      <c r="A320" s="2" t="s">
        <v>609</v>
      </c>
      <c r="B320" s="2" t="s">
        <v>610</v>
      </c>
      <c r="C320" s="2" t="n">
        <v>2</v>
      </c>
      <c r="D320" s="2" t="s">
        <v>94</v>
      </c>
      <c r="E320" s="2" t="s">
        <v>87</v>
      </c>
      <c r="F320" s="2" t="s">
        <v>95</v>
      </c>
      <c r="G320" s="2" t="s">
        <v>89</v>
      </c>
      <c r="H320" s="7"/>
    </row>
    <row r="321" customFormat="false" ht="15" hidden="false" customHeight="false" outlineLevel="0" collapsed="false">
      <c r="A321" s="2" t="s">
        <v>609</v>
      </c>
      <c r="B321" s="2" t="s">
        <v>610</v>
      </c>
      <c r="C321" s="2" t="n">
        <v>2</v>
      </c>
      <c r="D321" s="2" t="s">
        <v>613</v>
      </c>
      <c r="E321" s="2" t="s">
        <v>57</v>
      </c>
      <c r="F321" s="2" t="s">
        <v>614</v>
      </c>
      <c r="G321" s="2" t="s">
        <v>59</v>
      </c>
      <c r="H321" s="7"/>
    </row>
    <row r="322" customFormat="false" ht="15" hidden="false" customHeight="false" outlineLevel="0" collapsed="false">
      <c r="A322" s="2" t="s">
        <v>615</v>
      </c>
      <c r="B322" s="2" t="s">
        <v>616</v>
      </c>
      <c r="C322" s="2" t="n">
        <v>3</v>
      </c>
      <c r="D322" s="2" t="s">
        <v>611</v>
      </c>
      <c r="E322" s="2" t="s">
        <v>63</v>
      </c>
      <c r="F322" s="2" t="s">
        <v>612</v>
      </c>
      <c r="G322" s="2" t="s">
        <v>65</v>
      </c>
      <c r="H322" s="7"/>
    </row>
    <row r="323" customFormat="false" ht="15" hidden="false" customHeight="false" outlineLevel="0" collapsed="false">
      <c r="A323" s="2" t="s">
        <v>615</v>
      </c>
      <c r="B323" s="2" t="s">
        <v>616</v>
      </c>
      <c r="C323" s="2" t="n">
        <v>3</v>
      </c>
      <c r="D323" s="2" t="s">
        <v>402</v>
      </c>
      <c r="E323" s="2" t="s">
        <v>47</v>
      </c>
      <c r="F323" s="2" t="s">
        <v>403</v>
      </c>
      <c r="G323" s="2" t="s">
        <v>49</v>
      </c>
      <c r="H323" s="7"/>
    </row>
    <row r="324" customFormat="false" ht="15" hidden="false" customHeight="false" outlineLevel="0" collapsed="false">
      <c r="A324" s="2" t="s">
        <v>615</v>
      </c>
      <c r="B324" s="2" t="s">
        <v>616</v>
      </c>
      <c r="C324" s="2" t="n">
        <v>3</v>
      </c>
      <c r="D324" s="2" t="s">
        <v>156</v>
      </c>
      <c r="E324" s="2" t="s">
        <v>117</v>
      </c>
      <c r="F324" s="2" t="s">
        <v>157</v>
      </c>
      <c r="G324" s="2" t="s">
        <v>119</v>
      </c>
      <c r="H324" s="7"/>
    </row>
    <row r="325" customFormat="false" ht="15" hidden="false" customHeight="false" outlineLevel="0" collapsed="false">
      <c r="A325" s="2" t="s">
        <v>617</v>
      </c>
      <c r="B325" s="2" t="s">
        <v>618</v>
      </c>
      <c r="C325" s="2" t="n">
        <v>3</v>
      </c>
      <c r="D325" s="2" t="s">
        <v>332</v>
      </c>
      <c r="E325" s="2" t="s">
        <v>183</v>
      </c>
      <c r="F325" s="2" t="s">
        <v>333</v>
      </c>
      <c r="G325" s="2" t="s">
        <v>151</v>
      </c>
      <c r="H325" s="7"/>
    </row>
    <row r="326" customFormat="false" ht="15" hidden="false" customHeight="false" outlineLevel="0" collapsed="false">
      <c r="A326" s="2" t="s">
        <v>617</v>
      </c>
      <c r="B326" s="2" t="s">
        <v>618</v>
      </c>
      <c r="C326" s="2" t="n">
        <v>3</v>
      </c>
      <c r="D326" s="2" t="s">
        <v>162</v>
      </c>
      <c r="E326" s="2" t="s">
        <v>163</v>
      </c>
      <c r="F326" s="2" t="s">
        <v>164</v>
      </c>
      <c r="G326" s="2" t="s">
        <v>165</v>
      </c>
      <c r="H326" s="7"/>
    </row>
    <row r="327" customFormat="false" ht="15" hidden="false" customHeight="false" outlineLevel="0" collapsed="false">
      <c r="A327" s="2" t="s">
        <v>617</v>
      </c>
      <c r="B327" s="2" t="s">
        <v>618</v>
      </c>
      <c r="C327" s="2" t="n">
        <v>3</v>
      </c>
      <c r="D327" s="2" t="s">
        <v>336</v>
      </c>
      <c r="E327" s="2" t="s">
        <v>337</v>
      </c>
      <c r="F327" s="2" t="s">
        <v>338</v>
      </c>
      <c r="G327" s="2" t="s">
        <v>339</v>
      </c>
      <c r="H327" s="7"/>
    </row>
    <row r="328" customFormat="false" ht="15" hidden="false" customHeight="false" outlineLevel="0" collapsed="false">
      <c r="A328" s="2" t="s">
        <v>619</v>
      </c>
      <c r="B328" s="2" t="s">
        <v>620</v>
      </c>
      <c r="C328" s="2" t="n">
        <v>3</v>
      </c>
      <c r="D328" s="2" t="s">
        <v>621</v>
      </c>
      <c r="E328" s="2" t="s">
        <v>149</v>
      </c>
      <c r="F328" s="2" t="s">
        <v>622</v>
      </c>
      <c r="G328" s="2" t="s">
        <v>151</v>
      </c>
      <c r="H328" s="7"/>
    </row>
    <row r="329" customFormat="false" ht="15" hidden="false" customHeight="false" outlineLevel="0" collapsed="false">
      <c r="A329" s="2" t="s">
        <v>619</v>
      </c>
      <c r="B329" s="2" t="s">
        <v>620</v>
      </c>
      <c r="C329" s="2" t="n">
        <v>3</v>
      </c>
      <c r="D329" s="2" t="s">
        <v>623</v>
      </c>
      <c r="E329" s="2" t="s">
        <v>149</v>
      </c>
      <c r="F329" s="2" t="s">
        <v>624</v>
      </c>
      <c r="G329" s="2" t="s">
        <v>151</v>
      </c>
      <c r="H329" s="7"/>
    </row>
    <row r="330" customFormat="false" ht="15" hidden="false" customHeight="false" outlineLevel="0" collapsed="false">
      <c r="A330" s="2" t="s">
        <v>619</v>
      </c>
      <c r="B330" s="2" t="s">
        <v>620</v>
      </c>
      <c r="C330" s="2" t="n">
        <v>3</v>
      </c>
      <c r="D330" s="2" t="s">
        <v>625</v>
      </c>
      <c r="E330" s="2" t="s">
        <v>337</v>
      </c>
      <c r="F330" s="2" t="s">
        <v>626</v>
      </c>
      <c r="G330" s="2" t="s">
        <v>339</v>
      </c>
      <c r="H330" s="7"/>
    </row>
    <row r="331" customFormat="false" ht="15" hidden="false" customHeight="false" outlineLevel="0" collapsed="false">
      <c r="A331" s="2" t="s">
        <v>619</v>
      </c>
      <c r="B331" s="2" t="s">
        <v>620</v>
      </c>
      <c r="C331" s="2" t="n">
        <v>3</v>
      </c>
      <c r="D331" s="2" t="s">
        <v>334</v>
      </c>
      <c r="E331" s="2" t="s">
        <v>163</v>
      </c>
      <c r="F331" s="2" t="s">
        <v>335</v>
      </c>
      <c r="G331" s="2" t="s">
        <v>165</v>
      </c>
      <c r="H331" s="7"/>
    </row>
    <row r="332" customFormat="false" ht="15" hidden="false" customHeight="false" outlineLevel="0" collapsed="false">
      <c r="A332" s="2" t="s">
        <v>627</v>
      </c>
      <c r="B332" s="2" t="s">
        <v>628</v>
      </c>
      <c r="C332" s="2" t="n">
        <v>3</v>
      </c>
      <c r="D332" s="2" t="s">
        <v>487</v>
      </c>
      <c r="E332" s="2" t="s">
        <v>163</v>
      </c>
      <c r="F332" s="2" t="s">
        <v>488</v>
      </c>
      <c r="G332" s="2" t="s">
        <v>165</v>
      </c>
      <c r="H332" s="7"/>
    </row>
    <row r="333" customFormat="false" ht="15" hidden="false" customHeight="false" outlineLevel="0" collapsed="false">
      <c r="A333" s="2" t="s">
        <v>627</v>
      </c>
      <c r="B333" s="2" t="s">
        <v>628</v>
      </c>
      <c r="C333" s="2" t="n">
        <v>3</v>
      </c>
      <c r="D333" s="2" t="s">
        <v>629</v>
      </c>
      <c r="E333" s="2" t="s">
        <v>228</v>
      </c>
      <c r="F333" s="2" t="s">
        <v>630</v>
      </c>
      <c r="G333" s="2" t="s">
        <v>230</v>
      </c>
      <c r="H333" s="7"/>
    </row>
    <row r="334" customFormat="false" ht="15" hidden="false" customHeight="false" outlineLevel="0" collapsed="false">
      <c r="A334" s="2" t="s">
        <v>631</v>
      </c>
      <c r="B334" s="2" t="s">
        <v>632</v>
      </c>
      <c r="C334" s="2" t="n">
        <v>2</v>
      </c>
      <c r="D334" s="2" t="s">
        <v>633</v>
      </c>
      <c r="E334" s="2" t="s">
        <v>63</v>
      </c>
      <c r="F334" s="2" t="s">
        <v>634</v>
      </c>
      <c r="G334" s="2" t="s">
        <v>65</v>
      </c>
      <c r="H334" s="7"/>
    </row>
    <row r="335" customFormat="false" ht="23.85" hidden="false" customHeight="false" outlineLevel="0" collapsed="false">
      <c r="A335" s="2" t="s">
        <v>635</v>
      </c>
      <c r="B335" s="2" t="s">
        <v>636</v>
      </c>
      <c r="C335" s="2" t="n">
        <v>3</v>
      </c>
      <c r="D335" s="2" t="s">
        <v>633</v>
      </c>
      <c r="E335" s="2" t="s">
        <v>63</v>
      </c>
      <c r="F335" s="2" t="s">
        <v>634</v>
      </c>
      <c r="G335" s="2" t="s">
        <v>65</v>
      </c>
      <c r="H335" s="7"/>
    </row>
    <row r="336" customFormat="false" ht="23.85" hidden="false" customHeight="false" outlineLevel="0" collapsed="false">
      <c r="A336" s="2" t="s">
        <v>635</v>
      </c>
      <c r="B336" s="2" t="s">
        <v>636</v>
      </c>
      <c r="C336" s="2" t="n">
        <v>3</v>
      </c>
      <c r="D336" s="2" t="s">
        <v>309</v>
      </c>
      <c r="E336" s="2" t="s">
        <v>306</v>
      </c>
      <c r="F336" s="2" t="s">
        <v>310</v>
      </c>
      <c r="G336" s="2" t="s">
        <v>308</v>
      </c>
      <c r="H336" s="7"/>
    </row>
    <row r="337" customFormat="false" ht="23.85" hidden="false" customHeight="false" outlineLevel="0" collapsed="false">
      <c r="A337" s="2" t="s">
        <v>635</v>
      </c>
      <c r="B337" s="2" t="s">
        <v>636</v>
      </c>
      <c r="C337" s="2" t="n">
        <v>3</v>
      </c>
      <c r="D337" s="2" t="s">
        <v>402</v>
      </c>
      <c r="E337" s="2" t="s">
        <v>47</v>
      </c>
      <c r="F337" s="2" t="s">
        <v>403</v>
      </c>
      <c r="G337" s="2" t="s">
        <v>49</v>
      </c>
      <c r="H337" s="7"/>
    </row>
    <row r="338" customFormat="false" ht="15" hidden="false" customHeight="false" outlineLevel="0" collapsed="false">
      <c r="A338" s="2" t="s">
        <v>637</v>
      </c>
      <c r="B338" s="2" t="s">
        <v>638</v>
      </c>
      <c r="C338" s="2" t="n">
        <v>3</v>
      </c>
      <c r="D338" s="2" t="s">
        <v>639</v>
      </c>
      <c r="E338" s="2" t="s">
        <v>53</v>
      </c>
      <c r="F338" s="2" t="s">
        <v>640</v>
      </c>
      <c r="G338" s="2" t="s">
        <v>55</v>
      </c>
      <c r="H338" s="7"/>
    </row>
    <row r="339" customFormat="false" ht="15" hidden="false" customHeight="false" outlineLevel="0" collapsed="false">
      <c r="A339" s="2" t="s">
        <v>637</v>
      </c>
      <c r="B339" s="2" t="s">
        <v>638</v>
      </c>
      <c r="C339" s="2" t="n">
        <v>3</v>
      </c>
      <c r="D339" s="2" t="s">
        <v>199</v>
      </c>
      <c r="E339" s="2" t="s">
        <v>183</v>
      </c>
      <c r="F339" s="2" t="s">
        <v>200</v>
      </c>
      <c r="G339" s="2" t="s">
        <v>151</v>
      </c>
      <c r="H339" s="7"/>
    </row>
    <row r="340" customFormat="false" ht="15" hidden="false" customHeight="false" outlineLevel="0" collapsed="false">
      <c r="A340" s="2" t="s">
        <v>641</v>
      </c>
      <c r="B340" s="2" t="s">
        <v>642</v>
      </c>
      <c r="C340" s="2" t="n">
        <v>3</v>
      </c>
      <c r="D340" s="2" t="s">
        <v>629</v>
      </c>
      <c r="E340" s="2" t="s">
        <v>228</v>
      </c>
      <c r="F340" s="2" t="s">
        <v>630</v>
      </c>
      <c r="G340" s="2" t="s">
        <v>230</v>
      </c>
      <c r="H340" s="7"/>
    </row>
    <row r="341" customFormat="false" ht="15" hidden="false" customHeight="false" outlineLevel="0" collapsed="false">
      <c r="A341" s="2" t="s">
        <v>641</v>
      </c>
      <c r="B341" s="2" t="s">
        <v>642</v>
      </c>
      <c r="C341" s="2" t="n">
        <v>3</v>
      </c>
      <c r="D341" s="2" t="s">
        <v>567</v>
      </c>
      <c r="E341" s="2" t="s">
        <v>183</v>
      </c>
      <c r="F341" s="2" t="s">
        <v>568</v>
      </c>
      <c r="G341" s="2" t="s">
        <v>151</v>
      </c>
      <c r="H341" s="7"/>
    </row>
    <row r="342" customFormat="false" ht="15" hidden="false" customHeight="false" outlineLevel="0" collapsed="false">
      <c r="A342" s="2" t="s">
        <v>643</v>
      </c>
      <c r="B342" s="2" t="s">
        <v>644</v>
      </c>
      <c r="C342" s="2" t="n">
        <v>2</v>
      </c>
      <c r="D342" s="2" t="s">
        <v>645</v>
      </c>
      <c r="E342" s="2" t="s">
        <v>63</v>
      </c>
      <c r="F342" s="2" t="s">
        <v>644</v>
      </c>
      <c r="G342" s="2" t="s">
        <v>65</v>
      </c>
      <c r="H342" s="7"/>
    </row>
    <row r="343" customFormat="false" ht="15" hidden="false" customHeight="false" outlineLevel="0" collapsed="false">
      <c r="A343" s="2" t="s">
        <v>643</v>
      </c>
      <c r="B343" s="2" t="s">
        <v>644</v>
      </c>
      <c r="C343" s="2" t="n">
        <v>2</v>
      </c>
      <c r="D343" s="2" t="s">
        <v>646</v>
      </c>
      <c r="E343" s="2" t="s">
        <v>236</v>
      </c>
      <c r="F343" s="2" t="s">
        <v>647</v>
      </c>
      <c r="G343" s="2" t="s">
        <v>238</v>
      </c>
      <c r="H343" s="7"/>
    </row>
    <row r="344" customFormat="false" ht="15" hidden="false" customHeight="false" outlineLevel="0" collapsed="false">
      <c r="A344" s="2" t="s">
        <v>648</v>
      </c>
      <c r="B344" s="2" t="s">
        <v>649</v>
      </c>
      <c r="C344" s="2" t="n">
        <v>3</v>
      </c>
      <c r="D344" s="2" t="s">
        <v>645</v>
      </c>
      <c r="E344" s="2" t="s">
        <v>63</v>
      </c>
      <c r="F344" s="2" t="s">
        <v>644</v>
      </c>
      <c r="G344" s="2" t="s">
        <v>65</v>
      </c>
      <c r="H344" s="7"/>
    </row>
    <row r="345" customFormat="false" ht="15" hidden="false" customHeight="false" outlineLevel="0" collapsed="false">
      <c r="A345" s="2" t="s">
        <v>648</v>
      </c>
      <c r="B345" s="2" t="s">
        <v>649</v>
      </c>
      <c r="C345" s="2" t="n">
        <v>3</v>
      </c>
      <c r="D345" s="2" t="s">
        <v>646</v>
      </c>
      <c r="E345" s="2" t="s">
        <v>236</v>
      </c>
      <c r="F345" s="2" t="s">
        <v>647</v>
      </c>
      <c r="G345" s="2" t="s">
        <v>238</v>
      </c>
      <c r="H345" s="7"/>
    </row>
    <row r="346" customFormat="false" ht="15" hidden="false" customHeight="false" outlineLevel="0" collapsed="false">
      <c r="A346" s="2" t="s">
        <v>648</v>
      </c>
      <c r="B346" s="2" t="s">
        <v>649</v>
      </c>
      <c r="C346" s="2" t="n">
        <v>3</v>
      </c>
      <c r="D346" s="2" t="s">
        <v>613</v>
      </c>
      <c r="E346" s="2" t="s">
        <v>57</v>
      </c>
      <c r="F346" s="2" t="s">
        <v>614</v>
      </c>
      <c r="G346" s="2" t="s">
        <v>59</v>
      </c>
      <c r="H346" s="7"/>
    </row>
    <row r="347" customFormat="false" ht="15" hidden="false" customHeight="false" outlineLevel="0" collapsed="false">
      <c r="A347" s="2" t="s">
        <v>650</v>
      </c>
      <c r="B347" s="2" t="s">
        <v>651</v>
      </c>
      <c r="C347" s="2" t="n">
        <v>3</v>
      </c>
      <c r="D347" s="2" t="s">
        <v>613</v>
      </c>
      <c r="E347" s="2" t="s">
        <v>57</v>
      </c>
      <c r="F347" s="2" t="s">
        <v>614</v>
      </c>
      <c r="G347" s="2" t="s">
        <v>59</v>
      </c>
      <c r="H347" s="7"/>
    </row>
    <row r="348" customFormat="false" ht="15" hidden="false" customHeight="false" outlineLevel="0" collapsed="false">
      <c r="A348" s="2" t="s">
        <v>650</v>
      </c>
      <c r="B348" s="2" t="s">
        <v>651</v>
      </c>
      <c r="C348" s="2" t="n">
        <v>3</v>
      </c>
      <c r="D348" s="2" t="s">
        <v>257</v>
      </c>
      <c r="E348" s="2" t="s">
        <v>117</v>
      </c>
      <c r="F348" s="2" t="s">
        <v>258</v>
      </c>
      <c r="G348" s="2" t="s">
        <v>119</v>
      </c>
      <c r="H348" s="7"/>
    </row>
    <row r="349" customFormat="false" ht="15" hidden="false" customHeight="false" outlineLevel="0" collapsed="false">
      <c r="A349" s="2" t="s">
        <v>652</v>
      </c>
      <c r="B349" s="2" t="s">
        <v>653</v>
      </c>
      <c r="C349" s="2" t="n">
        <v>2</v>
      </c>
      <c r="D349" s="2" t="s">
        <v>654</v>
      </c>
      <c r="E349" s="2" t="s">
        <v>57</v>
      </c>
      <c r="F349" s="2" t="s">
        <v>655</v>
      </c>
      <c r="G349" s="2" t="s">
        <v>59</v>
      </c>
      <c r="H349" s="7"/>
    </row>
    <row r="350" customFormat="false" ht="15" hidden="false" customHeight="false" outlineLevel="0" collapsed="false">
      <c r="A350" s="2" t="s">
        <v>652</v>
      </c>
      <c r="B350" s="2" t="s">
        <v>653</v>
      </c>
      <c r="C350" s="2" t="n">
        <v>2</v>
      </c>
      <c r="D350" s="2" t="s">
        <v>656</v>
      </c>
      <c r="E350" s="2" t="s">
        <v>57</v>
      </c>
      <c r="F350" s="2" t="s">
        <v>657</v>
      </c>
      <c r="G350" s="2" t="s">
        <v>59</v>
      </c>
      <c r="H350" s="7"/>
    </row>
    <row r="351" customFormat="false" ht="15" hidden="false" customHeight="false" outlineLevel="0" collapsed="false">
      <c r="A351" s="2" t="s">
        <v>658</v>
      </c>
      <c r="B351" s="2" t="s">
        <v>659</v>
      </c>
      <c r="C351" s="2" t="n">
        <v>3</v>
      </c>
      <c r="D351" s="2" t="s">
        <v>660</v>
      </c>
      <c r="E351" s="2" t="s">
        <v>236</v>
      </c>
      <c r="F351" s="2" t="s">
        <v>661</v>
      </c>
      <c r="G351" s="2" t="s">
        <v>238</v>
      </c>
      <c r="H351" s="7"/>
    </row>
    <row r="352" customFormat="false" ht="15" hidden="false" customHeight="false" outlineLevel="0" collapsed="false">
      <c r="A352" s="2" t="s">
        <v>658</v>
      </c>
      <c r="B352" s="2" t="s">
        <v>659</v>
      </c>
      <c r="C352" s="2" t="n">
        <v>3</v>
      </c>
      <c r="D352" s="2" t="s">
        <v>654</v>
      </c>
      <c r="E352" s="2" t="s">
        <v>57</v>
      </c>
      <c r="F352" s="2" t="s">
        <v>655</v>
      </c>
      <c r="G352" s="2" t="s">
        <v>59</v>
      </c>
      <c r="H352" s="7"/>
    </row>
    <row r="353" customFormat="false" ht="15" hidden="false" customHeight="false" outlineLevel="0" collapsed="false">
      <c r="A353" s="2" t="s">
        <v>662</v>
      </c>
      <c r="B353" s="2" t="s">
        <v>663</v>
      </c>
      <c r="C353" s="2" t="n">
        <v>3</v>
      </c>
      <c r="D353" s="2" t="s">
        <v>664</v>
      </c>
      <c r="E353" s="2" t="s">
        <v>236</v>
      </c>
      <c r="F353" s="2" t="s">
        <v>665</v>
      </c>
      <c r="G353" s="2" t="s">
        <v>238</v>
      </c>
      <c r="H353" s="7"/>
    </row>
    <row r="354" customFormat="false" ht="15" hidden="false" customHeight="false" outlineLevel="0" collapsed="false">
      <c r="A354" s="2" t="s">
        <v>662</v>
      </c>
      <c r="B354" s="2" t="s">
        <v>663</v>
      </c>
      <c r="C354" s="2" t="n">
        <v>3</v>
      </c>
      <c r="D354" s="2" t="s">
        <v>656</v>
      </c>
      <c r="E354" s="2" t="s">
        <v>57</v>
      </c>
      <c r="F354" s="2" t="s">
        <v>657</v>
      </c>
      <c r="G354" s="2" t="s">
        <v>59</v>
      </c>
      <c r="H354" s="7"/>
    </row>
    <row r="355" customFormat="false" ht="15" hidden="false" customHeight="false" outlineLevel="0" collapsed="false">
      <c r="A355" s="2" t="s">
        <v>666</v>
      </c>
      <c r="B355" s="2" t="s">
        <v>667</v>
      </c>
      <c r="C355" s="2" t="n">
        <v>2</v>
      </c>
      <c r="D355" s="2" t="s">
        <v>668</v>
      </c>
      <c r="E355" s="2" t="s">
        <v>57</v>
      </c>
      <c r="F355" s="2" t="s">
        <v>669</v>
      </c>
      <c r="G355" s="2" t="s">
        <v>59</v>
      </c>
      <c r="H355" s="7"/>
    </row>
    <row r="356" customFormat="false" ht="15" hidden="false" customHeight="false" outlineLevel="0" collapsed="false">
      <c r="A356" s="2" t="s">
        <v>666</v>
      </c>
      <c r="B356" s="2" t="s">
        <v>667</v>
      </c>
      <c r="C356" s="2" t="n">
        <v>2</v>
      </c>
      <c r="D356" s="2" t="s">
        <v>670</v>
      </c>
      <c r="E356" s="2" t="s">
        <v>236</v>
      </c>
      <c r="F356" s="2" t="s">
        <v>671</v>
      </c>
      <c r="G356" s="2" t="s">
        <v>238</v>
      </c>
      <c r="H356" s="7"/>
    </row>
    <row r="357" customFormat="false" ht="15" hidden="false" customHeight="false" outlineLevel="0" collapsed="false">
      <c r="A357" s="2" t="s">
        <v>672</v>
      </c>
      <c r="B357" s="2" t="s">
        <v>673</v>
      </c>
      <c r="C357" s="2" t="n">
        <v>3</v>
      </c>
      <c r="D357" s="2" t="s">
        <v>670</v>
      </c>
      <c r="E357" s="2" t="s">
        <v>236</v>
      </c>
      <c r="F357" s="2" t="s">
        <v>671</v>
      </c>
      <c r="G357" s="2" t="s">
        <v>238</v>
      </c>
      <c r="H357" s="7"/>
    </row>
    <row r="358" customFormat="false" ht="15" hidden="false" customHeight="false" outlineLevel="0" collapsed="false">
      <c r="A358" s="2" t="s">
        <v>672</v>
      </c>
      <c r="B358" s="2" t="s">
        <v>673</v>
      </c>
      <c r="C358" s="2" t="n">
        <v>3</v>
      </c>
      <c r="D358" s="2" t="s">
        <v>668</v>
      </c>
      <c r="E358" s="2" t="s">
        <v>57</v>
      </c>
      <c r="F358" s="2" t="s">
        <v>669</v>
      </c>
      <c r="G358" s="2" t="s">
        <v>59</v>
      </c>
      <c r="H358" s="7"/>
    </row>
    <row r="359" customFormat="false" ht="15" hidden="false" customHeight="false" outlineLevel="0" collapsed="false">
      <c r="A359" s="2" t="s">
        <v>674</v>
      </c>
      <c r="B359" s="2" t="s">
        <v>675</v>
      </c>
      <c r="C359" s="2" t="n">
        <v>2</v>
      </c>
      <c r="D359" s="2" t="s">
        <v>239</v>
      </c>
      <c r="E359" s="2" t="s">
        <v>63</v>
      </c>
      <c r="F359" s="2" t="s">
        <v>240</v>
      </c>
      <c r="G359" s="2" t="s">
        <v>65</v>
      </c>
      <c r="H359" s="7"/>
    </row>
    <row r="360" customFormat="false" ht="23.85" hidden="false" customHeight="false" outlineLevel="0" collapsed="false">
      <c r="A360" s="2" t="s">
        <v>674</v>
      </c>
      <c r="B360" s="2" t="s">
        <v>675</v>
      </c>
      <c r="C360" s="2" t="n">
        <v>2</v>
      </c>
      <c r="D360" s="2" t="s">
        <v>241</v>
      </c>
      <c r="E360" s="2" t="s">
        <v>47</v>
      </c>
      <c r="F360" s="2" t="s">
        <v>242</v>
      </c>
      <c r="G360" s="2" t="s">
        <v>49</v>
      </c>
      <c r="H360" s="7"/>
    </row>
    <row r="361" customFormat="false" ht="15" hidden="false" customHeight="false" outlineLevel="0" collapsed="false">
      <c r="A361" s="2" t="s">
        <v>674</v>
      </c>
      <c r="B361" s="2" t="s">
        <v>675</v>
      </c>
      <c r="C361" s="2" t="n">
        <v>2</v>
      </c>
      <c r="D361" s="2" t="s">
        <v>235</v>
      </c>
      <c r="E361" s="2" t="s">
        <v>236</v>
      </c>
      <c r="F361" s="2" t="s">
        <v>237</v>
      </c>
      <c r="G361" s="2" t="s">
        <v>238</v>
      </c>
      <c r="H361" s="7"/>
    </row>
    <row r="362" customFormat="false" ht="23.85" hidden="false" customHeight="false" outlineLevel="0" collapsed="false">
      <c r="A362" s="2" t="s">
        <v>676</v>
      </c>
      <c r="B362" s="2" t="s">
        <v>677</v>
      </c>
      <c r="C362" s="2" t="n">
        <v>3</v>
      </c>
      <c r="D362" s="2" t="s">
        <v>239</v>
      </c>
      <c r="E362" s="2" t="s">
        <v>63</v>
      </c>
      <c r="F362" s="2" t="s">
        <v>240</v>
      </c>
      <c r="G362" s="2" t="s">
        <v>65</v>
      </c>
      <c r="H362" s="7"/>
    </row>
    <row r="363" customFormat="false" ht="23.85" hidden="false" customHeight="false" outlineLevel="0" collapsed="false">
      <c r="A363" s="2" t="s">
        <v>676</v>
      </c>
      <c r="B363" s="2" t="s">
        <v>677</v>
      </c>
      <c r="C363" s="2" t="n">
        <v>3</v>
      </c>
      <c r="D363" s="2" t="s">
        <v>368</v>
      </c>
      <c r="E363" s="2" t="s">
        <v>306</v>
      </c>
      <c r="F363" s="2" t="s">
        <v>369</v>
      </c>
      <c r="G363" s="2" t="s">
        <v>308</v>
      </c>
      <c r="H363" s="7"/>
    </row>
    <row r="364" customFormat="false" ht="15" hidden="false" customHeight="false" outlineLevel="0" collapsed="false">
      <c r="A364" s="2" t="s">
        <v>678</v>
      </c>
      <c r="B364" s="2" t="s">
        <v>679</v>
      </c>
      <c r="C364" s="2" t="n">
        <v>3</v>
      </c>
      <c r="D364" s="2" t="s">
        <v>209</v>
      </c>
      <c r="E364" s="2" t="s">
        <v>183</v>
      </c>
      <c r="F364" s="2" t="s">
        <v>210</v>
      </c>
      <c r="G364" s="2" t="s">
        <v>151</v>
      </c>
      <c r="H364" s="7"/>
    </row>
    <row r="365" customFormat="false" ht="15" hidden="false" customHeight="false" outlineLevel="0" collapsed="false">
      <c r="A365" s="2" t="s">
        <v>678</v>
      </c>
      <c r="B365" s="2" t="s">
        <v>679</v>
      </c>
      <c r="C365" s="2" t="n">
        <v>3</v>
      </c>
      <c r="D365" s="2" t="s">
        <v>235</v>
      </c>
      <c r="E365" s="2" t="s">
        <v>236</v>
      </c>
      <c r="F365" s="2" t="s">
        <v>237</v>
      </c>
      <c r="G365" s="2" t="s">
        <v>238</v>
      </c>
      <c r="H365" s="7"/>
    </row>
    <row r="366" customFormat="false" ht="15" hidden="false" customHeight="false" outlineLevel="0" collapsed="false">
      <c r="A366" s="2" t="s">
        <v>680</v>
      </c>
      <c r="B366" s="2" t="s">
        <v>681</v>
      </c>
      <c r="C366" s="2" t="n">
        <v>3</v>
      </c>
      <c r="D366" s="2" t="s">
        <v>682</v>
      </c>
      <c r="E366" s="2" t="s">
        <v>228</v>
      </c>
      <c r="F366" s="2" t="s">
        <v>683</v>
      </c>
      <c r="G366" s="2" t="s">
        <v>230</v>
      </c>
      <c r="H366" s="7"/>
    </row>
    <row r="367" customFormat="false" ht="23.85" hidden="false" customHeight="false" outlineLevel="0" collapsed="false">
      <c r="A367" s="2" t="s">
        <v>680</v>
      </c>
      <c r="B367" s="2" t="s">
        <v>681</v>
      </c>
      <c r="C367" s="2" t="n">
        <v>3</v>
      </c>
      <c r="D367" s="2" t="s">
        <v>241</v>
      </c>
      <c r="E367" s="2" t="s">
        <v>47</v>
      </c>
      <c r="F367" s="2" t="s">
        <v>242</v>
      </c>
      <c r="G367" s="2" t="s">
        <v>49</v>
      </c>
      <c r="H367" s="7"/>
    </row>
    <row r="368" customFormat="false" ht="15" hidden="false" customHeight="false" outlineLevel="0" collapsed="false">
      <c r="A368" s="2" t="s">
        <v>680</v>
      </c>
      <c r="B368" s="2" t="s">
        <v>681</v>
      </c>
      <c r="C368" s="2" t="n">
        <v>3</v>
      </c>
      <c r="D368" s="2" t="s">
        <v>332</v>
      </c>
      <c r="E368" s="2" t="s">
        <v>183</v>
      </c>
      <c r="F368" s="2" t="s">
        <v>333</v>
      </c>
      <c r="G368" s="2" t="s">
        <v>151</v>
      </c>
      <c r="H368" s="7"/>
    </row>
    <row r="369" customFormat="false" ht="15" hidden="false" customHeight="false" outlineLevel="0" collapsed="false">
      <c r="A369" s="2" t="s">
        <v>684</v>
      </c>
      <c r="B369" s="2" t="s">
        <v>685</v>
      </c>
      <c r="C369" s="2" t="n">
        <v>2</v>
      </c>
      <c r="D369" s="2" t="s">
        <v>686</v>
      </c>
      <c r="E369" s="2" t="s">
        <v>63</v>
      </c>
      <c r="F369" s="2" t="s">
        <v>685</v>
      </c>
      <c r="G369" s="2" t="s">
        <v>65</v>
      </c>
      <c r="H369" s="7"/>
    </row>
    <row r="370" customFormat="false" ht="15" hidden="false" customHeight="false" outlineLevel="0" collapsed="false">
      <c r="A370" s="2" t="s">
        <v>684</v>
      </c>
      <c r="B370" s="2" t="s">
        <v>685</v>
      </c>
      <c r="C370" s="2" t="n">
        <v>2</v>
      </c>
      <c r="D370" s="2" t="s">
        <v>687</v>
      </c>
      <c r="E370" s="2" t="s">
        <v>236</v>
      </c>
      <c r="F370" s="2" t="s">
        <v>688</v>
      </c>
      <c r="G370" s="2" t="s">
        <v>238</v>
      </c>
      <c r="H370" s="7"/>
    </row>
    <row r="371" customFormat="false" ht="15" hidden="false" customHeight="false" outlineLevel="0" collapsed="false">
      <c r="A371" s="2" t="s">
        <v>684</v>
      </c>
      <c r="B371" s="2" t="s">
        <v>685</v>
      </c>
      <c r="C371" s="2" t="n">
        <v>2</v>
      </c>
      <c r="D371" s="2" t="s">
        <v>613</v>
      </c>
      <c r="E371" s="2" t="s">
        <v>57</v>
      </c>
      <c r="F371" s="2" t="s">
        <v>614</v>
      </c>
      <c r="G371" s="2" t="s">
        <v>59</v>
      </c>
      <c r="H371" s="7"/>
    </row>
    <row r="372" customFormat="false" ht="15" hidden="false" customHeight="false" outlineLevel="0" collapsed="false">
      <c r="A372" s="2" t="s">
        <v>689</v>
      </c>
      <c r="B372" s="2" t="s">
        <v>690</v>
      </c>
      <c r="C372" s="2" t="n">
        <v>3</v>
      </c>
      <c r="D372" s="2" t="s">
        <v>686</v>
      </c>
      <c r="E372" s="2" t="s">
        <v>63</v>
      </c>
      <c r="F372" s="2" t="s">
        <v>685</v>
      </c>
      <c r="G372" s="2" t="s">
        <v>65</v>
      </c>
      <c r="H372" s="7"/>
    </row>
    <row r="373" customFormat="false" ht="15" hidden="false" customHeight="false" outlineLevel="0" collapsed="false">
      <c r="A373" s="2" t="s">
        <v>689</v>
      </c>
      <c r="B373" s="2" t="s">
        <v>690</v>
      </c>
      <c r="C373" s="2" t="n">
        <v>3</v>
      </c>
      <c r="D373" s="2" t="s">
        <v>156</v>
      </c>
      <c r="E373" s="2" t="s">
        <v>117</v>
      </c>
      <c r="F373" s="2" t="s">
        <v>157</v>
      </c>
      <c r="G373" s="2" t="s">
        <v>119</v>
      </c>
      <c r="H373" s="7"/>
    </row>
    <row r="374" customFormat="false" ht="23.85" hidden="false" customHeight="false" outlineLevel="0" collapsed="false">
      <c r="A374" s="2" t="s">
        <v>689</v>
      </c>
      <c r="B374" s="2" t="s">
        <v>690</v>
      </c>
      <c r="C374" s="2" t="n">
        <v>3</v>
      </c>
      <c r="D374" s="2" t="s">
        <v>241</v>
      </c>
      <c r="E374" s="2" t="s">
        <v>47</v>
      </c>
      <c r="F374" s="2" t="s">
        <v>242</v>
      </c>
      <c r="G374" s="2" t="s">
        <v>49</v>
      </c>
      <c r="H374" s="7"/>
    </row>
    <row r="375" customFormat="false" ht="15" hidden="false" customHeight="false" outlineLevel="0" collapsed="false">
      <c r="A375" s="2" t="s">
        <v>691</v>
      </c>
      <c r="B375" s="2" t="s">
        <v>692</v>
      </c>
      <c r="C375" s="2" t="n">
        <v>3</v>
      </c>
      <c r="D375" s="2" t="s">
        <v>450</v>
      </c>
      <c r="E375" s="2" t="s">
        <v>149</v>
      </c>
      <c r="F375" s="2" t="s">
        <v>451</v>
      </c>
      <c r="G375" s="2" t="s">
        <v>151</v>
      </c>
      <c r="H375" s="7"/>
    </row>
    <row r="376" customFormat="false" ht="15" hidden="false" customHeight="false" outlineLevel="0" collapsed="false">
      <c r="A376" s="2" t="s">
        <v>693</v>
      </c>
      <c r="B376" s="2" t="s">
        <v>694</v>
      </c>
      <c r="C376" s="2" t="n">
        <v>3</v>
      </c>
      <c r="D376" s="2" t="s">
        <v>686</v>
      </c>
      <c r="E376" s="2" t="s">
        <v>63</v>
      </c>
      <c r="F376" s="2" t="s">
        <v>685</v>
      </c>
      <c r="G376" s="2" t="s">
        <v>65</v>
      </c>
      <c r="H376" s="7"/>
    </row>
    <row r="377" customFormat="false" ht="15" hidden="false" customHeight="false" outlineLevel="0" collapsed="false">
      <c r="A377" s="2" t="s">
        <v>695</v>
      </c>
      <c r="B377" s="2" t="s">
        <v>696</v>
      </c>
      <c r="C377" s="2" t="n">
        <v>3</v>
      </c>
      <c r="D377" s="2" t="s">
        <v>257</v>
      </c>
      <c r="E377" s="2" t="s">
        <v>117</v>
      </c>
      <c r="F377" s="2" t="s">
        <v>258</v>
      </c>
      <c r="G377" s="2" t="s">
        <v>119</v>
      </c>
      <c r="H377" s="7"/>
    </row>
    <row r="378" customFormat="false" ht="23.85" hidden="false" customHeight="false" outlineLevel="0" collapsed="false">
      <c r="A378" s="2" t="s">
        <v>695</v>
      </c>
      <c r="B378" s="2" t="s">
        <v>696</v>
      </c>
      <c r="C378" s="2" t="n">
        <v>3</v>
      </c>
      <c r="D378" s="2" t="s">
        <v>241</v>
      </c>
      <c r="E378" s="2" t="s">
        <v>47</v>
      </c>
      <c r="F378" s="2" t="s">
        <v>242</v>
      </c>
      <c r="G378" s="2" t="s">
        <v>49</v>
      </c>
      <c r="H378" s="7"/>
    </row>
    <row r="379" customFormat="false" ht="15" hidden="false" customHeight="false" outlineLevel="0" collapsed="false">
      <c r="A379" s="2" t="s">
        <v>695</v>
      </c>
      <c r="B379" s="2" t="s">
        <v>696</v>
      </c>
      <c r="C379" s="2" t="n">
        <v>3</v>
      </c>
      <c r="D379" s="2" t="s">
        <v>613</v>
      </c>
      <c r="E379" s="2" t="s">
        <v>57</v>
      </c>
      <c r="F379" s="2" t="s">
        <v>614</v>
      </c>
      <c r="G379" s="2" t="s">
        <v>59</v>
      </c>
      <c r="H379" s="7"/>
    </row>
    <row r="380" customFormat="false" ht="15" hidden="false" customHeight="false" outlineLevel="0" collapsed="false">
      <c r="A380" s="2" t="s">
        <v>697</v>
      </c>
      <c r="B380" s="2" t="s">
        <v>698</v>
      </c>
      <c r="C380" s="2" t="n">
        <v>3</v>
      </c>
      <c r="D380" s="2" t="s">
        <v>613</v>
      </c>
      <c r="E380" s="2" t="s">
        <v>57</v>
      </c>
      <c r="F380" s="2" t="s">
        <v>614</v>
      </c>
      <c r="G380" s="2" t="s">
        <v>59</v>
      </c>
      <c r="H380" s="7"/>
    </row>
    <row r="381" customFormat="false" ht="15" hidden="false" customHeight="false" outlineLevel="0" collapsed="false">
      <c r="A381" s="2" t="s">
        <v>697</v>
      </c>
      <c r="B381" s="2" t="s">
        <v>698</v>
      </c>
      <c r="C381" s="2" t="n">
        <v>3</v>
      </c>
      <c r="D381" s="2" t="s">
        <v>257</v>
      </c>
      <c r="E381" s="2" t="s">
        <v>117</v>
      </c>
      <c r="F381" s="2" t="s">
        <v>258</v>
      </c>
      <c r="G381" s="2" t="s">
        <v>119</v>
      </c>
      <c r="H381" s="7"/>
    </row>
    <row r="382" customFormat="false" ht="23.85" hidden="false" customHeight="false" outlineLevel="0" collapsed="false">
      <c r="A382" s="2" t="s">
        <v>699</v>
      </c>
      <c r="B382" s="2" t="s">
        <v>700</v>
      </c>
      <c r="C382" s="2" t="n">
        <v>3</v>
      </c>
      <c r="D382" s="2" t="s">
        <v>241</v>
      </c>
      <c r="E382" s="2" t="s">
        <v>47</v>
      </c>
      <c r="F382" s="2" t="s">
        <v>242</v>
      </c>
      <c r="G382" s="2" t="s">
        <v>49</v>
      </c>
      <c r="H382" s="7"/>
    </row>
    <row r="383" customFormat="false" ht="15" hidden="false" customHeight="false" outlineLevel="0" collapsed="false">
      <c r="A383" s="2" t="s">
        <v>699</v>
      </c>
      <c r="B383" s="2" t="s">
        <v>700</v>
      </c>
      <c r="C383" s="2" t="n">
        <v>3</v>
      </c>
      <c r="D383" s="2" t="s">
        <v>267</v>
      </c>
      <c r="E383" s="2" t="s">
        <v>57</v>
      </c>
      <c r="F383" s="2" t="s">
        <v>268</v>
      </c>
      <c r="G383" s="2" t="s">
        <v>59</v>
      </c>
      <c r="H383" s="7"/>
    </row>
    <row r="384" customFormat="false" ht="15" hidden="false" customHeight="false" outlineLevel="0" collapsed="false">
      <c r="A384" s="2" t="s">
        <v>701</v>
      </c>
      <c r="B384" s="2" t="s">
        <v>702</v>
      </c>
      <c r="C384" s="2" t="n">
        <v>3</v>
      </c>
      <c r="D384" s="2" t="s">
        <v>195</v>
      </c>
      <c r="E384" s="2" t="s">
        <v>183</v>
      </c>
      <c r="F384" s="2" t="s">
        <v>196</v>
      </c>
      <c r="G384" s="2" t="s">
        <v>151</v>
      </c>
      <c r="H384" s="7"/>
    </row>
    <row r="385" customFormat="false" ht="15" hidden="false" customHeight="false" outlineLevel="0" collapsed="false">
      <c r="A385" s="2" t="s">
        <v>701</v>
      </c>
      <c r="B385" s="2" t="s">
        <v>702</v>
      </c>
      <c r="C385" s="2" t="n">
        <v>3</v>
      </c>
      <c r="D385" s="2" t="s">
        <v>182</v>
      </c>
      <c r="E385" s="2" t="s">
        <v>183</v>
      </c>
      <c r="F385" s="2" t="s">
        <v>184</v>
      </c>
      <c r="G385" s="2" t="s">
        <v>151</v>
      </c>
      <c r="H385" s="7"/>
    </row>
    <row r="386" customFormat="false" ht="15" hidden="false" customHeight="false" outlineLevel="0" collapsed="false">
      <c r="A386" s="2" t="s">
        <v>703</v>
      </c>
      <c r="B386" s="2" t="s">
        <v>704</v>
      </c>
      <c r="C386" s="2" t="n">
        <v>3</v>
      </c>
      <c r="D386" s="2" t="s">
        <v>705</v>
      </c>
      <c r="E386" s="2" t="s">
        <v>109</v>
      </c>
      <c r="F386" s="2" t="s">
        <v>706</v>
      </c>
      <c r="G386" s="2" t="s">
        <v>111</v>
      </c>
      <c r="H386" s="7"/>
    </row>
    <row r="387" customFormat="false" ht="15" hidden="false" customHeight="false" outlineLevel="0" collapsed="false">
      <c r="A387" s="2" t="s">
        <v>703</v>
      </c>
      <c r="B387" s="2" t="s">
        <v>704</v>
      </c>
      <c r="C387" s="2" t="n">
        <v>3</v>
      </c>
      <c r="D387" s="2" t="s">
        <v>707</v>
      </c>
      <c r="E387" s="2" t="s">
        <v>228</v>
      </c>
      <c r="F387" s="2" t="s">
        <v>708</v>
      </c>
      <c r="G387" s="2" t="s">
        <v>230</v>
      </c>
      <c r="H387" s="7"/>
    </row>
    <row r="388" customFormat="false" ht="15" hidden="false" customHeight="false" outlineLevel="0" collapsed="false">
      <c r="A388" s="2" t="s">
        <v>709</v>
      </c>
      <c r="B388" s="2" t="s">
        <v>710</v>
      </c>
      <c r="C388" s="2" t="n">
        <v>2</v>
      </c>
      <c r="D388" s="2" t="s">
        <v>711</v>
      </c>
      <c r="E388" s="2" t="s">
        <v>63</v>
      </c>
      <c r="F388" s="2" t="s">
        <v>712</v>
      </c>
      <c r="G388" s="2" t="s">
        <v>65</v>
      </c>
      <c r="H388" s="7"/>
    </row>
    <row r="389" customFormat="false" ht="15" hidden="false" customHeight="false" outlineLevel="0" collapsed="false">
      <c r="A389" s="2" t="s">
        <v>709</v>
      </c>
      <c r="B389" s="2" t="s">
        <v>710</v>
      </c>
      <c r="C389" s="2" t="n">
        <v>2</v>
      </c>
      <c r="D389" s="2" t="s">
        <v>713</v>
      </c>
      <c r="E389" s="2" t="s">
        <v>236</v>
      </c>
      <c r="F389" s="2" t="s">
        <v>714</v>
      </c>
      <c r="G389" s="2" t="s">
        <v>238</v>
      </c>
      <c r="H389" s="7"/>
    </row>
    <row r="390" customFormat="false" ht="15" hidden="false" customHeight="false" outlineLevel="0" collapsed="false">
      <c r="A390" s="2" t="s">
        <v>709</v>
      </c>
      <c r="B390" s="2" t="s">
        <v>710</v>
      </c>
      <c r="C390" s="2" t="n">
        <v>2</v>
      </c>
      <c r="D390" s="2" t="s">
        <v>715</v>
      </c>
      <c r="E390" s="2" t="s">
        <v>57</v>
      </c>
      <c r="F390" s="2" t="s">
        <v>716</v>
      </c>
      <c r="G390" s="2" t="s">
        <v>59</v>
      </c>
      <c r="H390" s="7"/>
    </row>
    <row r="391" customFormat="false" ht="15" hidden="false" customHeight="false" outlineLevel="0" collapsed="false">
      <c r="A391" s="2" t="s">
        <v>717</v>
      </c>
      <c r="B391" s="2" t="s">
        <v>718</v>
      </c>
      <c r="C391" s="2" t="n">
        <v>3</v>
      </c>
      <c r="D391" s="2" t="s">
        <v>713</v>
      </c>
      <c r="E391" s="2" t="s">
        <v>236</v>
      </c>
      <c r="F391" s="2" t="s">
        <v>714</v>
      </c>
      <c r="G391" s="2" t="s">
        <v>238</v>
      </c>
      <c r="H391" s="7"/>
    </row>
    <row r="392" customFormat="false" ht="15" hidden="false" customHeight="false" outlineLevel="0" collapsed="false">
      <c r="A392" s="2" t="s">
        <v>717</v>
      </c>
      <c r="B392" s="2" t="s">
        <v>718</v>
      </c>
      <c r="C392" s="2" t="n">
        <v>3</v>
      </c>
      <c r="D392" s="2" t="s">
        <v>711</v>
      </c>
      <c r="E392" s="2" t="s">
        <v>63</v>
      </c>
      <c r="F392" s="2" t="s">
        <v>712</v>
      </c>
      <c r="G392" s="2" t="s">
        <v>65</v>
      </c>
      <c r="H392" s="7"/>
    </row>
    <row r="393" customFormat="false" ht="15" hidden="false" customHeight="false" outlineLevel="0" collapsed="false">
      <c r="A393" s="2" t="s">
        <v>717</v>
      </c>
      <c r="B393" s="2" t="s">
        <v>718</v>
      </c>
      <c r="C393" s="2" t="n">
        <v>3</v>
      </c>
      <c r="D393" s="2" t="s">
        <v>402</v>
      </c>
      <c r="E393" s="2" t="s">
        <v>47</v>
      </c>
      <c r="F393" s="2" t="s">
        <v>403</v>
      </c>
      <c r="G393" s="2" t="s">
        <v>49</v>
      </c>
      <c r="H393" s="7"/>
    </row>
    <row r="394" customFormat="false" ht="15" hidden="false" customHeight="false" outlineLevel="0" collapsed="false">
      <c r="A394" s="2" t="s">
        <v>719</v>
      </c>
      <c r="B394" s="2" t="s">
        <v>720</v>
      </c>
      <c r="C394" s="2" t="n">
        <v>3</v>
      </c>
      <c r="D394" s="2" t="s">
        <v>713</v>
      </c>
      <c r="E394" s="2" t="s">
        <v>236</v>
      </c>
      <c r="F394" s="2" t="s">
        <v>714</v>
      </c>
      <c r="G394" s="2" t="s">
        <v>238</v>
      </c>
      <c r="H394" s="7"/>
    </row>
    <row r="395" customFormat="false" ht="15" hidden="false" customHeight="false" outlineLevel="0" collapsed="false">
      <c r="A395" s="2" t="s">
        <v>719</v>
      </c>
      <c r="B395" s="2" t="s">
        <v>720</v>
      </c>
      <c r="C395" s="2" t="n">
        <v>3</v>
      </c>
      <c r="D395" s="2" t="s">
        <v>257</v>
      </c>
      <c r="E395" s="2" t="s">
        <v>117</v>
      </c>
      <c r="F395" s="2" t="s">
        <v>258</v>
      </c>
      <c r="G395" s="2" t="s">
        <v>119</v>
      </c>
      <c r="H395" s="7"/>
    </row>
    <row r="396" customFormat="false" ht="15" hidden="false" customHeight="false" outlineLevel="0" collapsed="false">
      <c r="A396" s="2" t="s">
        <v>719</v>
      </c>
      <c r="B396" s="2" t="s">
        <v>720</v>
      </c>
      <c r="C396" s="2" t="n">
        <v>3</v>
      </c>
      <c r="D396" s="2" t="s">
        <v>182</v>
      </c>
      <c r="E396" s="2" t="s">
        <v>183</v>
      </c>
      <c r="F396" s="2" t="s">
        <v>184</v>
      </c>
      <c r="G396" s="2" t="s">
        <v>151</v>
      </c>
      <c r="H396" s="7"/>
    </row>
    <row r="397" customFormat="false" ht="15" hidden="false" customHeight="false" outlineLevel="0" collapsed="false">
      <c r="A397" s="2" t="s">
        <v>721</v>
      </c>
      <c r="B397" s="2" t="s">
        <v>722</v>
      </c>
      <c r="C397" s="2" t="n">
        <v>2</v>
      </c>
      <c r="D397" s="2" t="s">
        <v>723</v>
      </c>
      <c r="E397" s="2" t="s">
        <v>236</v>
      </c>
      <c r="F397" s="2" t="s">
        <v>724</v>
      </c>
      <c r="G397" s="2" t="s">
        <v>238</v>
      </c>
      <c r="H397" s="7"/>
    </row>
    <row r="398" customFormat="false" ht="15" hidden="false" customHeight="false" outlineLevel="0" collapsed="false">
      <c r="A398" s="2" t="s">
        <v>721</v>
      </c>
      <c r="B398" s="2" t="s">
        <v>722</v>
      </c>
      <c r="C398" s="2" t="n">
        <v>2</v>
      </c>
      <c r="D398" s="2" t="s">
        <v>725</v>
      </c>
      <c r="E398" s="2" t="s">
        <v>236</v>
      </c>
      <c r="F398" s="2" t="s">
        <v>726</v>
      </c>
      <c r="G398" s="2" t="s">
        <v>238</v>
      </c>
      <c r="H398" s="7"/>
    </row>
    <row r="399" customFormat="false" ht="15" hidden="false" customHeight="false" outlineLevel="0" collapsed="false">
      <c r="A399" s="2" t="s">
        <v>721</v>
      </c>
      <c r="B399" s="2" t="s">
        <v>722</v>
      </c>
      <c r="C399" s="2" t="n">
        <v>2</v>
      </c>
      <c r="D399" s="2" t="s">
        <v>727</v>
      </c>
      <c r="E399" s="2" t="s">
        <v>228</v>
      </c>
      <c r="F399" s="2" t="s">
        <v>728</v>
      </c>
      <c r="G399" s="2" t="s">
        <v>230</v>
      </c>
      <c r="H399" s="7"/>
    </row>
    <row r="400" customFormat="false" ht="15" hidden="false" customHeight="false" outlineLevel="0" collapsed="false">
      <c r="A400" s="2" t="s">
        <v>729</v>
      </c>
      <c r="B400" s="2" t="s">
        <v>730</v>
      </c>
      <c r="C400" s="2" t="n">
        <v>3</v>
      </c>
      <c r="D400" s="2" t="s">
        <v>727</v>
      </c>
      <c r="E400" s="2" t="s">
        <v>228</v>
      </c>
      <c r="F400" s="2" t="s">
        <v>728</v>
      </c>
      <c r="G400" s="2" t="s">
        <v>230</v>
      </c>
      <c r="H400" s="7"/>
    </row>
    <row r="401" customFormat="false" ht="15" hidden="false" customHeight="false" outlineLevel="0" collapsed="false">
      <c r="A401" s="2" t="s">
        <v>729</v>
      </c>
      <c r="B401" s="2" t="s">
        <v>730</v>
      </c>
      <c r="C401" s="2" t="n">
        <v>3</v>
      </c>
      <c r="D401" s="2" t="s">
        <v>567</v>
      </c>
      <c r="E401" s="2" t="s">
        <v>183</v>
      </c>
      <c r="F401" s="2" t="s">
        <v>568</v>
      </c>
      <c r="G401" s="2" t="s">
        <v>151</v>
      </c>
      <c r="H401" s="7"/>
    </row>
    <row r="402" customFormat="false" ht="15" hidden="false" customHeight="false" outlineLevel="0" collapsed="false">
      <c r="A402" s="2" t="s">
        <v>729</v>
      </c>
      <c r="B402" s="2" t="s">
        <v>730</v>
      </c>
      <c r="C402" s="2" t="n">
        <v>3</v>
      </c>
      <c r="D402" s="2" t="s">
        <v>723</v>
      </c>
      <c r="E402" s="2" t="s">
        <v>236</v>
      </c>
      <c r="F402" s="2" t="s">
        <v>724</v>
      </c>
      <c r="G402" s="2" t="s">
        <v>238</v>
      </c>
      <c r="H402" s="7"/>
    </row>
    <row r="403" customFormat="false" ht="15" hidden="false" customHeight="false" outlineLevel="0" collapsed="false">
      <c r="A403" s="2" t="s">
        <v>731</v>
      </c>
      <c r="B403" s="2" t="s">
        <v>732</v>
      </c>
      <c r="C403" s="2" t="n">
        <v>3</v>
      </c>
      <c r="D403" s="2" t="s">
        <v>725</v>
      </c>
      <c r="E403" s="2" t="s">
        <v>236</v>
      </c>
      <c r="F403" s="2" t="s">
        <v>726</v>
      </c>
      <c r="G403" s="2" t="s">
        <v>238</v>
      </c>
      <c r="H403" s="7"/>
    </row>
    <row r="404" customFormat="false" ht="15" hidden="false" customHeight="false" outlineLevel="0" collapsed="false">
      <c r="A404" s="2" t="s">
        <v>731</v>
      </c>
      <c r="B404" s="2" t="s">
        <v>732</v>
      </c>
      <c r="C404" s="2" t="n">
        <v>3</v>
      </c>
      <c r="D404" s="2" t="s">
        <v>257</v>
      </c>
      <c r="E404" s="2" t="s">
        <v>117</v>
      </c>
      <c r="F404" s="2" t="s">
        <v>258</v>
      </c>
      <c r="G404" s="2" t="s">
        <v>119</v>
      </c>
      <c r="H404" s="7"/>
    </row>
    <row r="405" customFormat="false" ht="15" hidden="false" customHeight="false" outlineLevel="0" collapsed="false">
      <c r="A405" s="2" t="s">
        <v>733</v>
      </c>
      <c r="B405" s="2" t="s">
        <v>734</v>
      </c>
      <c r="C405" s="2" t="n">
        <v>3</v>
      </c>
      <c r="D405" s="2" t="s">
        <v>735</v>
      </c>
      <c r="E405" s="2" t="s">
        <v>53</v>
      </c>
      <c r="F405" s="2" t="s">
        <v>736</v>
      </c>
      <c r="G405" s="2" t="s">
        <v>55</v>
      </c>
      <c r="H405" s="7"/>
    </row>
    <row r="406" customFormat="false" ht="15" hidden="false" customHeight="false" outlineLevel="0" collapsed="false">
      <c r="A406" s="2" t="s">
        <v>733</v>
      </c>
      <c r="B406" s="2" t="s">
        <v>734</v>
      </c>
      <c r="C406" s="2" t="n">
        <v>3</v>
      </c>
      <c r="D406" s="2" t="s">
        <v>705</v>
      </c>
      <c r="E406" s="2" t="s">
        <v>109</v>
      </c>
      <c r="F406" s="2" t="s">
        <v>706</v>
      </c>
      <c r="G406" s="2" t="s">
        <v>111</v>
      </c>
      <c r="H406" s="7"/>
    </row>
    <row r="407" customFormat="false" ht="15" hidden="false" customHeight="false" outlineLevel="0" collapsed="false">
      <c r="A407" s="2" t="s">
        <v>737</v>
      </c>
      <c r="B407" s="2" t="s">
        <v>738</v>
      </c>
      <c r="C407" s="2" t="n">
        <v>3</v>
      </c>
      <c r="D407" s="2" t="s">
        <v>735</v>
      </c>
      <c r="E407" s="2" t="s">
        <v>53</v>
      </c>
      <c r="F407" s="2" t="s">
        <v>736</v>
      </c>
      <c r="G407" s="2" t="s">
        <v>55</v>
      </c>
      <c r="H407" s="7"/>
    </row>
    <row r="408" customFormat="false" ht="15" hidden="false" customHeight="false" outlineLevel="0" collapsed="false">
      <c r="A408" s="2" t="s">
        <v>737</v>
      </c>
      <c r="B408" s="2" t="s">
        <v>738</v>
      </c>
      <c r="C408" s="2" t="n">
        <v>3</v>
      </c>
      <c r="D408" s="2" t="s">
        <v>116</v>
      </c>
      <c r="E408" s="2" t="s">
        <v>117</v>
      </c>
      <c r="F408" s="2" t="s">
        <v>118</v>
      </c>
      <c r="G408" s="2" t="s">
        <v>119</v>
      </c>
      <c r="H408" s="7"/>
    </row>
    <row r="409" customFormat="false" ht="15" hidden="false" customHeight="false" outlineLevel="0" collapsed="false">
      <c r="A409" s="2" t="s">
        <v>739</v>
      </c>
      <c r="B409" s="2" t="s">
        <v>740</v>
      </c>
      <c r="C409" s="2" t="n">
        <v>2</v>
      </c>
      <c r="D409" s="2" t="s">
        <v>741</v>
      </c>
      <c r="E409" s="2" t="s">
        <v>236</v>
      </c>
      <c r="F409" s="2" t="s">
        <v>742</v>
      </c>
      <c r="G409" s="2" t="s">
        <v>238</v>
      </c>
      <c r="H409" s="7"/>
    </row>
    <row r="410" customFormat="false" ht="15" hidden="false" customHeight="false" outlineLevel="0" collapsed="false">
      <c r="A410" s="2" t="s">
        <v>739</v>
      </c>
      <c r="B410" s="2" t="s">
        <v>740</v>
      </c>
      <c r="C410" s="2" t="n">
        <v>2</v>
      </c>
      <c r="D410" s="2" t="s">
        <v>743</v>
      </c>
      <c r="E410" s="2" t="s">
        <v>236</v>
      </c>
      <c r="F410" s="2" t="s">
        <v>744</v>
      </c>
      <c r="G410" s="2" t="s">
        <v>238</v>
      </c>
      <c r="H410" s="7"/>
    </row>
    <row r="411" customFormat="false" ht="15" hidden="false" customHeight="false" outlineLevel="0" collapsed="false">
      <c r="A411" s="2" t="s">
        <v>739</v>
      </c>
      <c r="B411" s="2" t="s">
        <v>740</v>
      </c>
      <c r="C411" s="2" t="n">
        <v>2</v>
      </c>
      <c r="D411" s="2" t="s">
        <v>715</v>
      </c>
      <c r="E411" s="2" t="s">
        <v>57</v>
      </c>
      <c r="F411" s="2" t="s">
        <v>716</v>
      </c>
      <c r="G411" s="2" t="s">
        <v>59</v>
      </c>
      <c r="H411" s="7"/>
    </row>
    <row r="412" customFormat="false" ht="15" hidden="false" customHeight="false" outlineLevel="0" collapsed="false">
      <c r="A412" s="2" t="s">
        <v>745</v>
      </c>
      <c r="B412" s="2" t="s">
        <v>742</v>
      </c>
      <c r="C412" s="2" t="n">
        <v>3</v>
      </c>
      <c r="D412" s="2" t="s">
        <v>741</v>
      </c>
      <c r="E412" s="2" t="s">
        <v>236</v>
      </c>
      <c r="F412" s="2" t="s">
        <v>742</v>
      </c>
      <c r="G412" s="2" t="s">
        <v>238</v>
      </c>
      <c r="H412" s="7"/>
    </row>
    <row r="413" customFormat="false" ht="15" hidden="false" customHeight="false" outlineLevel="0" collapsed="false">
      <c r="A413" s="2" t="s">
        <v>745</v>
      </c>
      <c r="B413" s="2" t="s">
        <v>742</v>
      </c>
      <c r="C413" s="2" t="n">
        <v>3</v>
      </c>
      <c r="D413" s="2" t="s">
        <v>450</v>
      </c>
      <c r="E413" s="2" t="s">
        <v>149</v>
      </c>
      <c r="F413" s="2" t="s">
        <v>451</v>
      </c>
      <c r="G413" s="2" t="s">
        <v>151</v>
      </c>
      <c r="H413" s="7"/>
    </row>
    <row r="414" customFormat="false" ht="15" hidden="false" customHeight="false" outlineLevel="0" collapsed="false">
      <c r="A414" s="2" t="s">
        <v>746</v>
      </c>
      <c r="B414" s="2" t="s">
        <v>747</v>
      </c>
      <c r="C414" s="2" t="n">
        <v>3</v>
      </c>
      <c r="D414" s="2" t="s">
        <v>743</v>
      </c>
      <c r="E414" s="2" t="s">
        <v>236</v>
      </c>
      <c r="F414" s="2" t="s">
        <v>744</v>
      </c>
      <c r="G414" s="2" t="s">
        <v>238</v>
      </c>
      <c r="H414" s="7"/>
    </row>
    <row r="415" customFormat="false" ht="15" hidden="false" customHeight="false" outlineLevel="0" collapsed="false">
      <c r="A415" s="2" t="s">
        <v>748</v>
      </c>
      <c r="B415" s="2" t="s">
        <v>749</v>
      </c>
      <c r="C415" s="2" t="n">
        <v>3</v>
      </c>
      <c r="D415" s="2" t="s">
        <v>715</v>
      </c>
      <c r="E415" s="2" t="s">
        <v>57</v>
      </c>
      <c r="F415" s="2" t="s">
        <v>716</v>
      </c>
      <c r="G415" s="2" t="s">
        <v>59</v>
      </c>
      <c r="H415" s="7"/>
    </row>
    <row r="416" customFormat="false" ht="15" hidden="false" customHeight="false" outlineLevel="0" collapsed="false">
      <c r="A416" s="2" t="s">
        <v>748</v>
      </c>
      <c r="B416" s="2" t="s">
        <v>749</v>
      </c>
      <c r="C416" s="2" t="n">
        <v>3</v>
      </c>
      <c r="D416" s="2" t="s">
        <v>326</v>
      </c>
      <c r="E416" s="2" t="s">
        <v>306</v>
      </c>
      <c r="F416" s="2" t="s">
        <v>327</v>
      </c>
      <c r="G416" s="2" t="s">
        <v>308</v>
      </c>
      <c r="H416" s="7"/>
    </row>
    <row r="417" customFormat="false" ht="15" hidden="false" customHeight="false" outlineLevel="0" collapsed="false">
      <c r="A417" s="2" t="s">
        <v>750</v>
      </c>
      <c r="B417" s="2" t="s">
        <v>751</v>
      </c>
      <c r="C417" s="2" t="n">
        <v>2</v>
      </c>
      <c r="D417" s="2" t="s">
        <v>752</v>
      </c>
      <c r="E417" s="2" t="s">
        <v>63</v>
      </c>
      <c r="F417" s="2" t="s">
        <v>753</v>
      </c>
      <c r="G417" s="2" t="s">
        <v>65</v>
      </c>
      <c r="H417" s="7"/>
    </row>
    <row r="418" customFormat="false" ht="15" hidden="false" customHeight="false" outlineLevel="0" collapsed="false">
      <c r="A418" s="2" t="s">
        <v>750</v>
      </c>
      <c r="B418" s="2" t="s">
        <v>751</v>
      </c>
      <c r="C418" s="2" t="n">
        <v>2</v>
      </c>
      <c r="D418" s="2" t="s">
        <v>754</v>
      </c>
      <c r="E418" s="2" t="s">
        <v>57</v>
      </c>
      <c r="F418" s="2" t="s">
        <v>755</v>
      </c>
      <c r="G418" s="2" t="s">
        <v>59</v>
      </c>
      <c r="H418" s="7"/>
    </row>
    <row r="419" customFormat="false" ht="15" hidden="false" customHeight="false" outlineLevel="0" collapsed="false">
      <c r="A419" s="2" t="s">
        <v>756</v>
      </c>
      <c r="B419" s="2" t="s">
        <v>757</v>
      </c>
      <c r="C419" s="2" t="n">
        <v>3</v>
      </c>
      <c r="D419" s="2" t="s">
        <v>758</v>
      </c>
      <c r="E419" s="2" t="s">
        <v>236</v>
      </c>
      <c r="F419" s="2" t="s">
        <v>759</v>
      </c>
      <c r="G419" s="2" t="s">
        <v>238</v>
      </c>
      <c r="H419" s="7"/>
    </row>
    <row r="420" customFormat="false" ht="15" hidden="false" customHeight="false" outlineLevel="0" collapsed="false">
      <c r="A420" s="2" t="s">
        <v>756</v>
      </c>
      <c r="B420" s="2" t="s">
        <v>757</v>
      </c>
      <c r="C420" s="2" t="n">
        <v>3</v>
      </c>
      <c r="D420" s="2" t="s">
        <v>402</v>
      </c>
      <c r="E420" s="2" t="s">
        <v>47</v>
      </c>
      <c r="F420" s="2" t="s">
        <v>403</v>
      </c>
      <c r="G420" s="2" t="s">
        <v>49</v>
      </c>
      <c r="H420" s="7"/>
    </row>
    <row r="421" customFormat="false" ht="15" hidden="false" customHeight="false" outlineLevel="0" collapsed="false">
      <c r="A421" s="2" t="s">
        <v>760</v>
      </c>
      <c r="B421" s="2" t="s">
        <v>761</v>
      </c>
      <c r="C421" s="2" t="n">
        <v>3</v>
      </c>
      <c r="D421" s="2" t="s">
        <v>762</v>
      </c>
      <c r="E421" s="2" t="s">
        <v>236</v>
      </c>
      <c r="F421" s="2" t="s">
        <v>763</v>
      </c>
      <c r="G421" s="2" t="s">
        <v>238</v>
      </c>
      <c r="H421" s="7"/>
    </row>
    <row r="422" customFormat="false" ht="15" hidden="false" customHeight="false" outlineLevel="0" collapsed="false">
      <c r="A422" s="2" t="s">
        <v>764</v>
      </c>
      <c r="B422" s="2" t="s">
        <v>765</v>
      </c>
      <c r="C422" s="2" t="n">
        <v>3</v>
      </c>
      <c r="D422" s="2" t="s">
        <v>257</v>
      </c>
      <c r="E422" s="2" t="s">
        <v>117</v>
      </c>
      <c r="F422" s="2" t="s">
        <v>258</v>
      </c>
      <c r="G422" s="2" t="s">
        <v>119</v>
      </c>
      <c r="H422" s="7"/>
    </row>
    <row r="423" customFormat="false" ht="15" hidden="false" customHeight="false" outlineLevel="0" collapsed="false">
      <c r="A423" s="2" t="s">
        <v>764</v>
      </c>
      <c r="B423" s="2" t="s">
        <v>765</v>
      </c>
      <c r="C423" s="2" t="n">
        <v>3</v>
      </c>
      <c r="D423" s="2" t="s">
        <v>754</v>
      </c>
      <c r="E423" s="2" t="s">
        <v>57</v>
      </c>
      <c r="F423" s="2" t="s">
        <v>755</v>
      </c>
      <c r="G423" s="2" t="s">
        <v>59</v>
      </c>
      <c r="H423" s="7"/>
    </row>
    <row r="424" customFormat="false" ht="15" hidden="false" customHeight="false" outlineLevel="0" collapsed="false">
      <c r="A424" s="2" t="s">
        <v>766</v>
      </c>
      <c r="B424" s="2" t="s">
        <v>767</v>
      </c>
      <c r="C424" s="2" t="n">
        <v>3</v>
      </c>
      <c r="D424" s="2" t="s">
        <v>346</v>
      </c>
      <c r="E424" s="2" t="s">
        <v>183</v>
      </c>
      <c r="F424" s="2" t="s">
        <v>347</v>
      </c>
      <c r="G424" s="2" t="s">
        <v>151</v>
      </c>
      <c r="H424" s="7"/>
    </row>
    <row r="425" customFormat="false" ht="15" hidden="false" customHeight="false" outlineLevel="0" collapsed="false">
      <c r="A425" s="2" t="s">
        <v>766</v>
      </c>
      <c r="B425" s="2" t="s">
        <v>767</v>
      </c>
      <c r="C425" s="2" t="n">
        <v>3</v>
      </c>
      <c r="D425" s="2" t="s">
        <v>78</v>
      </c>
      <c r="E425" s="2" t="s">
        <v>73</v>
      </c>
      <c r="F425" s="2" t="s">
        <v>79</v>
      </c>
      <c r="G425" s="2" t="s">
        <v>75</v>
      </c>
      <c r="H425" s="7"/>
    </row>
    <row r="426" customFormat="false" ht="15" hidden="false" customHeight="false" outlineLevel="0" collapsed="false">
      <c r="A426" s="2" t="s">
        <v>768</v>
      </c>
      <c r="B426" s="2" t="s">
        <v>769</v>
      </c>
      <c r="C426" s="2" t="n">
        <v>2</v>
      </c>
      <c r="D426" s="2" t="s">
        <v>770</v>
      </c>
      <c r="E426" s="2" t="s">
        <v>228</v>
      </c>
      <c r="F426" s="2" t="s">
        <v>771</v>
      </c>
      <c r="G426" s="2" t="s">
        <v>230</v>
      </c>
      <c r="H426" s="7"/>
    </row>
    <row r="427" customFormat="false" ht="15" hidden="false" customHeight="false" outlineLevel="0" collapsed="false">
      <c r="A427" s="2" t="s">
        <v>768</v>
      </c>
      <c r="B427" s="2" t="s">
        <v>769</v>
      </c>
      <c r="C427" s="2" t="n">
        <v>2</v>
      </c>
      <c r="D427" s="2" t="s">
        <v>772</v>
      </c>
      <c r="E427" s="2" t="s">
        <v>236</v>
      </c>
      <c r="F427" s="2" t="s">
        <v>773</v>
      </c>
      <c r="G427" s="2" t="s">
        <v>238</v>
      </c>
      <c r="H427" s="7"/>
    </row>
    <row r="428" customFormat="false" ht="15" hidden="false" customHeight="false" outlineLevel="0" collapsed="false">
      <c r="A428" s="2" t="s">
        <v>768</v>
      </c>
      <c r="B428" s="2" t="s">
        <v>769</v>
      </c>
      <c r="C428" s="2" t="n">
        <v>2</v>
      </c>
      <c r="D428" s="2" t="s">
        <v>265</v>
      </c>
      <c r="E428" s="2" t="s">
        <v>47</v>
      </c>
      <c r="F428" s="2" t="s">
        <v>266</v>
      </c>
      <c r="G428" s="2" t="s">
        <v>49</v>
      </c>
      <c r="H428" s="7"/>
    </row>
    <row r="429" customFormat="false" ht="15" hidden="false" customHeight="false" outlineLevel="0" collapsed="false">
      <c r="A429" s="2" t="s">
        <v>774</v>
      </c>
      <c r="B429" s="2" t="s">
        <v>775</v>
      </c>
      <c r="C429" s="2" t="n">
        <v>3</v>
      </c>
      <c r="D429" s="2" t="s">
        <v>770</v>
      </c>
      <c r="E429" s="2" t="s">
        <v>228</v>
      </c>
      <c r="F429" s="2" t="s">
        <v>771</v>
      </c>
      <c r="G429" s="2" t="s">
        <v>230</v>
      </c>
      <c r="H429" s="7"/>
    </row>
    <row r="430" customFormat="false" ht="15" hidden="false" customHeight="false" outlineLevel="0" collapsed="false">
      <c r="A430" s="2" t="s">
        <v>774</v>
      </c>
      <c r="B430" s="2" t="s">
        <v>775</v>
      </c>
      <c r="C430" s="2" t="n">
        <v>3</v>
      </c>
      <c r="D430" s="2" t="s">
        <v>567</v>
      </c>
      <c r="E430" s="2" t="s">
        <v>183</v>
      </c>
      <c r="F430" s="2" t="s">
        <v>568</v>
      </c>
      <c r="G430" s="2" t="s">
        <v>151</v>
      </c>
      <c r="H430" s="7"/>
    </row>
    <row r="431" customFormat="false" ht="15" hidden="false" customHeight="false" outlineLevel="0" collapsed="false">
      <c r="A431" s="2" t="s">
        <v>774</v>
      </c>
      <c r="B431" s="2" t="s">
        <v>775</v>
      </c>
      <c r="C431" s="2" t="n">
        <v>3</v>
      </c>
      <c r="D431" s="2" t="s">
        <v>265</v>
      </c>
      <c r="E431" s="2" t="s">
        <v>47</v>
      </c>
      <c r="F431" s="2" t="s">
        <v>266</v>
      </c>
      <c r="G431" s="2" t="s">
        <v>49</v>
      </c>
      <c r="H431" s="7"/>
    </row>
    <row r="432" customFormat="false" ht="15" hidden="false" customHeight="false" outlineLevel="0" collapsed="false">
      <c r="A432" s="2" t="s">
        <v>774</v>
      </c>
      <c r="B432" s="2" t="s">
        <v>775</v>
      </c>
      <c r="C432" s="2" t="n">
        <v>3</v>
      </c>
      <c r="D432" s="2" t="s">
        <v>776</v>
      </c>
      <c r="E432" s="2" t="s">
        <v>141</v>
      </c>
      <c r="F432" s="2" t="s">
        <v>777</v>
      </c>
      <c r="G432" s="2" t="s">
        <v>143</v>
      </c>
      <c r="H432" s="7"/>
    </row>
    <row r="433" customFormat="false" ht="15" hidden="false" customHeight="false" outlineLevel="0" collapsed="false">
      <c r="A433" s="2" t="s">
        <v>778</v>
      </c>
      <c r="B433" s="2" t="s">
        <v>779</v>
      </c>
      <c r="C433" s="2" t="n">
        <v>3</v>
      </c>
      <c r="D433" s="2" t="s">
        <v>780</v>
      </c>
      <c r="E433" s="2" t="s">
        <v>109</v>
      </c>
      <c r="F433" s="2" t="s">
        <v>781</v>
      </c>
      <c r="G433" s="2" t="s">
        <v>111</v>
      </c>
      <c r="H433" s="7"/>
    </row>
    <row r="434" customFormat="false" ht="23.85" hidden="false" customHeight="false" outlineLevel="0" collapsed="false">
      <c r="A434" s="2" t="s">
        <v>778</v>
      </c>
      <c r="B434" s="2" t="s">
        <v>779</v>
      </c>
      <c r="C434" s="2" t="n">
        <v>3</v>
      </c>
      <c r="D434" s="2" t="s">
        <v>358</v>
      </c>
      <c r="E434" s="2" t="s">
        <v>47</v>
      </c>
      <c r="F434" s="2" t="s">
        <v>359</v>
      </c>
      <c r="G434" s="2" t="s">
        <v>49</v>
      </c>
      <c r="H434" s="7"/>
    </row>
    <row r="435" customFormat="false" ht="15" hidden="false" customHeight="false" outlineLevel="0" collapsed="false">
      <c r="A435" s="2" t="s">
        <v>782</v>
      </c>
      <c r="B435" s="2" t="s">
        <v>783</v>
      </c>
      <c r="C435" s="2" t="n">
        <v>2</v>
      </c>
      <c r="D435" s="2" t="s">
        <v>784</v>
      </c>
      <c r="E435" s="2" t="s">
        <v>228</v>
      </c>
      <c r="F435" s="2" t="s">
        <v>785</v>
      </c>
      <c r="G435" s="2" t="s">
        <v>230</v>
      </c>
      <c r="H435" s="7"/>
    </row>
    <row r="436" customFormat="false" ht="15" hidden="false" customHeight="false" outlineLevel="0" collapsed="false">
      <c r="A436" s="2" t="s">
        <v>782</v>
      </c>
      <c r="B436" s="2" t="s">
        <v>783</v>
      </c>
      <c r="C436" s="2" t="n">
        <v>2</v>
      </c>
      <c r="D436" s="2" t="s">
        <v>786</v>
      </c>
      <c r="E436" s="2" t="s">
        <v>57</v>
      </c>
      <c r="F436" s="2" t="s">
        <v>787</v>
      </c>
      <c r="G436" s="2" t="s">
        <v>59</v>
      </c>
      <c r="H436" s="7"/>
    </row>
    <row r="437" customFormat="false" ht="23.85" hidden="false" customHeight="false" outlineLevel="0" collapsed="false">
      <c r="A437" s="2" t="s">
        <v>788</v>
      </c>
      <c r="B437" s="2" t="s">
        <v>789</v>
      </c>
      <c r="C437" s="2" t="n">
        <v>3</v>
      </c>
      <c r="D437" s="2" t="s">
        <v>784</v>
      </c>
      <c r="E437" s="2" t="s">
        <v>228</v>
      </c>
      <c r="F437" s="2" t="s">
        <v>785</v>
      </c>
      <c r="G437" s="2" t="s">
        <v>230</v>
      </c>
      <c r="H437" s="7"/>
    </row>
    <row r="438" customFormat="false" ht="23.85" hidden="false" customHeight="false" outlineLevel="0" collapsed="false">
      <c r="A438" s="2" t="s">
        <v>788</v>
      </c>
      <c r="B438" s="2" t="s">
        <v>789</v>
      </c>
      <c r="C438" s="2" t="n">
        <v>3</v>
      </c>
      <c r="D438" s="2" t="s">
        <v>265</v>
      </c>
      <c r="E438" s="2" t="s">
        <v>47</v>
      </c>
      <c r="F438" s="2" t="s">
        <v>266</v>
      </c>
      <c r="G438" s="2" t="s">
        <v>49</v>
      </c>
      <c r="H438" s="7"/>
    </row>
    <row r="439" customFormat="false" ht="15" hidden="false" customHeight="false" outlineLevel="0" collapsed="false">
      <c r="A439" s="2" t="s">
        <v>790</v>
      </c>
      <c r="B439" s="2" t="s">
        <v>791</v>
      </c>
      <c r="C439" s="2" t="n">
        <v>2</v>
      </c>
      <c r="D439" s="2" t="s">
        <v>792</v>
      </c>
      <c r="E439" s="2" t="s">
        <v>57</v>
      </c>
      <c r="F439" s="2" t="s">
        <v>791</v>
      </c>
      <c r="G439" s="2" t="s">
        <v>59</v>
      </c>
      <c r="H439" s="7"/>
    </row>
    <row r="440" customFormat="false" ht="15" hidden="false" customHeight="false" outlineLevel="0" collapsed="false">
      <c r="A440" s="2" t="s">
        <v>790</v>
      </c>
      <c r="B440" s="2" t="s">
        <v>791</v>
      </c>
      <c r="C440" s="2" t="n">
        <v>2</v>
      </c>
      <c r="D440" s="2" t="s">
        <v>793</v>
      </c>
      <c r="E440" s="2" t="s">
        <v>236</v>
      </c>
      <c r="F440" s="2" t="s">
        <v>794</v>
      </c>
      <c r="G440" s="2" t="s">
        <v>238</v>
      </c>
      <c r="H440" s="7"/>
    </row>
    <row r="441" customFormat="false" ht="23.85" hidden="false" customHeight="false" outlineLevel="0" collapsed="false">
      <c r="A441" s="2" t="s">
        <v>795</v>
      </c>
      <c r="B441" s="2" t="s">
        <v>796</v>
      </c>
      <c r="C441" s="2" t="n">
        <v>3</v>
      </c>
      <c r="D441" s="2" t="s">
        <v>793</v>
      </c>
      <c r="E441" s="2" t="s">
        <v>236</v>
      </c>
      <c r="F441" s="2" t="s">
        <v>794</v>
      </c>
      <c r="G441" s="2" t="s">
        <v>238</v>
      </c>
      <c r="H441" s="7"/>
    </row>
    <row r="442" customFormat="false" ht="23.85" hidden="false" customHeight="false" outlineLevel="0" collapsed="false">
      <c r="A442" s="2" t="s">
        <v>795</v>
      </c>
      <c r="B442" s="2" t="s">
        <v>796</v>
      </c>
      <c r="C442" s="2" t="n">
        <v>3</v>
      </c>
      <c r="D442" s="2" t="s">
        <v>402</v>
      </c>
      <c r="E442" s="2" t="s">
        <v>47</v>
      </c>
      <c r="F442" s="2" t="s">
        <v>403</v>
      </c>
      <c r="G442" s="2" t="s">
        <v>49</v>
      </c>
      <c r="H442" s="7"/>
    </row>
    <row r="443" customFormat="false" ht="23.85" hidden="false" customHeight="false" outlineLevel="0" collapsed="false">
      <c r="A443" s="2" t="s">
        <v>795</v>
      </c>
      <c r="B443" s="2" t="s">
        <v>796</v>
      </c>
      <c r="C443" s="2" t="n">
        <v>3</v>
      </c>
      <c r="D443" s="2" t="s">
        <v>176</v>
      </c>
      <c r="E443" s="2" t="s">
        <v>47</v>
      </c>
      <c r="F443" s="2" t="s">
        <v>177</v>
      </c>
      <c r="G443" s="2" t="s">
        <v>49</v>
      </c>
      <c r="H443" s="7"/>
    </row>
    <row r="444" customFormat="false" ht="15" hidden="false" customHeight="false" outlineLevel="0" collapsed="false">
      <c r="A444" s="2" t="s">
        <v>797</v>
      </c>
      <c r="B444" s="2" t="s">
        <v>798</v>
      </c>
      <c r="C444" s="2" t="n">
        <v>2</v>
      </c>
      <c r="D444" s="2" t="s">
        <v>146</v>
      </c>
      <c r="E444" s="2" t="s">
        <v>141</v>
      </c>
      <c r="F444" s="2" t="s">
        <v>147</v>
      </c>
      <c r="G444" s="2" t="s">
        <v>143</v>
      </c>
      <c r="H444" s="7"/>
    </row>
    <row r="445" customFormat="false" ht="15" hidden="false" customHeight="false" outlineLevel="0" collapsed="false">
      <c r="A445" s="2" t="s">
        <v>797</v>
      </c>
      <c r="B445" s="2" t="s">
        <v>798</v>
      </c>
      <c r="C445" s="2" t="n">
        <v>2</v>
      </c>
      <c r="D445" s="2" t="s">
        <v>140</v>
      </c>
      <c r="E445" s="2" t="s">
        <v>141</v>
      </c>
      <c r="F445" s="2" t="s">
        <v>142</v>
      </c>
      <c r="G445" s="2" t="s">
        <v>143</v>
      </c>
      <c r="H445" s="7"/>
    </row>
    <row r="446" customFormat="false" ht="15" hidden="false" customHeight="false" outlineLevel="0" collapsed="false">
      <c r="A446" s="2" t="s">
        <v>797</v>
      </c>
      <c r="B446" s="2" t="s">
        <v>798</v>
      </c>
      <c r="C446" s="2" t="n">
        <v>2</v>
      </c>
      <c r="D446" s="2" t="s">
        <v>56</v>
      </c>
      <c r="E446" s="2" t="s">
        <v>57</v>
      </c>
      <c r="F446" s="2" t="s">
        <v>58</v>
      </c>
      <c r="G446" s="2" t="s">
        <v>59</v>
      </c>
      <c r="H446" s="7"/>
    </row>
    <row r="447" customFormat="false" ht="15" hidden="false" customHeight="false" outlineLevel="0" collapsed="false">
      <c r="A447" s="2" t="s">
        <v>799</v>
      </c>
      <c r="B447" s="2" t="s">
        <v>800</v>
      </c>
      <c r="C447" s="2" t="n">
        <v>3</v>
      </c>
      <c r="D447" s="2" t="s">
        <v>146</v>
      </c>
      <c r="E447" s="2" t="s">
        <v>141</v>
      </c>
      <c r="F447" s="2" t="s">
        <v>147</v>
      </c>
      <c r="G447" s="2" t="s">
        <v>143</v>
      </c>
      <c r="H447" s="7"/>
    </row>
    <row r="448" customFormat="false" ht="15" hidden="false" customHeight="false" outlineLevel="0" collapsed="false">
      <c r="A448" s="2" t="s">
        <v>799</v>
      </c>
      <c r="B448" s="2" t="s">
        <v>800</v>
      </c>
      <c r="C448" s="2" t="n">
        <v>3</v>
      </c>
      <c r="D448" s="2" t="s">
        <v>450</v>
      </c>
      <c r="E448" s="2" t="s">
        <v>149</v>
      </c>
      <c r="F448" s="2" t="s">
        <v>451</v>
      </c>
      <c r="G448" s="2" t="s">
        <v>151</v>
      </c>
      <c r="H448" s="7"/>
    </row>
    <row r="449" customFormat="false" ht="15" hidden="false" customHeight="false" outlineLevel="0" collapsed="false">
      <c r="A449" s="2" t="s">
        <v>801</v>
      </c>
      <c r="B449" s="2" t="s">
        <v>802</v>
      </c>
      <c r="C449" s="2" t="n">
        <v>3</v>
      </c>
      <c r="D449" s="2" t="s">
        <v>499</v>
      </c>
      <c r="E449" s="2" t="s">
        <v>183</v>
      </c>
      <c r="F449" s="2" t="s">
        <v>500</v>
      </c>
      <c r="G449" s="2" t="s">
        <v>151</v>
      </c>
      <c r="H449" s="7"/>
    </row>
    <row r="450" customFormat="false" ht="15" hidden="false" customHeight="false" outlineLevel="0" collapsed="false">
      <c r="A450" s="2" t="s">
        <v>803</v>
      </c>
      <c r="B450" s="2" t="s">
        <v>804</v>
      </c>
      <c r="C450" s="2" t="n">
        <v>3</v>
      </c>
      <c r="D450" s="2" t="s">
        <v>412</v>
      </c>
      <c r="E450" s="2" t="s">
        <v>57</v>
      </c>
      <c r="F450" s="2" t="s">
        <v>413</v>
      </c>
      <c r="G450" s="2" t="s">
        <v>59</v>
      </c>
      <c r="H450" s="7"/>
    </row>
    <row r="451" customFormat="false" ht="15" hidden="false" customHeight="false" outlineLevel="0" collapsed="false">
      <c r="A451" s="2" t="s">
        <v>803</v>
      </c>
      <c r="B451" s="2" t="s">
        <v>804</v>
      </c>
      <c r="C451" s="2" t="n">
        <v>3</v>
      </c>
      <c r="D451" s="2" t="s">
        <v>56</v>
      </c>
      <c r="E451" s="2" t="s">
        <v>57</v>
      </c>
      <c r="F451" s="2" t="s">
        <v>58</v>
      </c>
      <c r="G451" s="2" t="s">
        <v>59</v>
      </c>
      <c r="H451" s="7"/>
    </row>
    <row r="452" customFormat="false" ht="15" hidden="false" customHeight="false" outlineLevel="0" collapsed="false">
      <c r="A452" s="2" t="s">
        <v>805</v>
      </c>
      <c r="B452" s="2" t="s">
        <v>806</v>
      </c>
      <c r="C452" s="2" t="n">
        <v>2</v>
      </c>
      <c r="D452" s="2" t="s">
        <v>267</v>
      </c>
      <c r="E452" s="2" t="s">
        <v>57</v>
      </c>
      <c r="F452" s="2" t="s">
        <v>268</v>
      </c>
      <c r="G452" s="2" t="s">
        <v>59</v>
      </c>
      <c r="H452" s="7"/>
    </row>
    <row r="453" customFormat="false" ht="23.85" hidden="false" customHeight="false" outlineLevel="0" collapsed="false">
      <c r="A453" s="2" t="s">
        <v>807</v>
      </c>
      <c r="B453" s="2" t="s">
        <v>808</v>
      </c>
      <c r="C453" s="2" t="n">
        <v>3</v>
      </c>
      <c r="D453" s="2" t="s">
        <v>138</v>
      </c>
      <c r="E453" s="2" t="s">
        <v>133</v>
      </c>
      <c r="F453" s="2" t="s">
        <v>139</v>
      </c>
      <c r="G453" s="2" t="s">
        <v>135</v>
      </c>
      <c r="H453" s="7"/>
    </row>
    <row r="454" customFormat="false" ht="23.85" hidden="false" customHeight="false" outlineLevel="0" collapsed="false">
      <c r="A454" s="2" t="s">
        <v>807</v>
      </c>
      <c r="B454" s="2" t="s">
        <v>808</v>
      </c>
      <c r="C454" s="2" t="n">
        <v>3</v>
      </c>
      <c r="D454" s="2" t="s">
        <v>170</v>
      </c>
      <c r="E454" s="2" t="s">
        <v>133</v>
      </c>
      <c r="F454" s="2" t="s">
        <v>171</v>
      </c>
      <c r="G454" s="2" t="s">
        <v>135</v>
      </c>
      <c r="H454" s="7"/>
    </row>
    <row r="455" customFormat="false" ht="23.85" hidden="false" customHeight="false" outlineLevel="0" collapsed="false">
      <c r="A455" s="2" t="s">
        <v>807</v>
      </c>
      <c r="B455" s="2" t="s">
        <v>808</v>
      </c>
      <c r="C455" s="2" t="n">
        <v>3</v>
      </c>
      <c r="D455" s="2" t="s">
        <v>132</v>
      </c>
      <c r="E455" s="2" t="s">
        <v>133</v>
      </c>
      <c r="F455" s="2" t="s">
        <v>134</v>
      </c>
      <c r="G455" s="2" t="s">
        <v>135</v>
      </c>
      <c r="H455" s="7"/>
    </row>
    <row r="456" customFormat="false" ht="23.85" hidden="false" customHeight="false" outlineLevel="0" collapsed="false">
      <c r="A456" s="2" t="s">
        <v>807</v>
      </c>
      <c r="B456" s="2" t="s">
        <v>808</v>
      </c>
      <c r="C456" s="2" t="n">
        <v>3</v>
      </c>
      <c r="D456" s="2" t="s">
        <v>285</v>
      </c>
      <c r="E456" s="2" t="s">
        <v>133</v>
      </c>
      <c r="F456" s="2" t="s">
        <v>286</v>
      </c>
      <c r="G456" s="2" t="s">
        <v>135</v>
      </c>
      <c r="H456" s="7"/>
    </row>
    <row r="457" customFormat="false" ht="23.85" hidden="false" customHeight="false" outlineLevel="0" collapsed="false">
      <c r="A457" s="2" t="s">
        <v>807</v>
      </c>
      <c r="B457" s="2" t="s">
        <v>808</v>
      </c>
      <c r="C457" s="2" t="n">
        <v>3</v>
      </c>
      <c r="D457" s="2" t="s">
        <v>197</v>
      </c>
      <c r="E457" s="2" t="s">
        <v>183</v>
      </c>
      <c r="F457" s="2" t="s">
        <v>198</v>
      </c>
      <c r="G457" s="2" t="s">
        <v>151</v>
      </c>
      <c r="H457" s="7"/>
    </row>
    <row r="458" customFormat="false" ht="15" hidden="false" customHeight="false" outlineLevel="0" collapsed="false">
      <c r="A458" s="2" t="s">
        <v>809</v>
      </c>
      <c r="B458" s="2" t="s">
        <v>810</v>
      </c>
      <c r="C458" s="2" t="n">
        <v>2</v>
      </c>
      <c r="D458" s="2" t="s">
        <v>360</v>
      </c>
      <c r="E458" s="2" t="s">
        <v>63</v>
      </c>
      <c r="F458" s="2" t="s">
        <v>361</v>
      </c>
      <c r="G458" s="2" t="s">
        <v>65</v>
      </c>
      <c r="H458" s="7"/>
    </row>
    <row r="459" customFormat="false" ht="15" hidden="false" customHeight="false" outlineLevel="0" collapsed="false">
      <c r="A459" s="2" t="s">
        <v>809</v>
      </c>
      <c r="B459" s="2" t="s">
        <v>810</v>
      </c>
      <c r="C459" s="2" t="n">
        <v>2</v>
      </c>
      <c r="D459" s="2" t="s">
        <v>811</v>
      </c>
      <c r="E459" s="2" t="s">
        <v>53</v>
      </c>
      <c r="F459" s="2" t="s">
        <v>812</v>
      </c>
      <c r="G459" s="2" t="s">
        <v>55</v>
      </c>
      <c r="H459" s="7"/>
    </row>
    <row r="460" customFormat="false" ht="15" hidden="false" customHeight="false" outlineLevel="0" collapsed="false">
      <c r="A460" s="2" t="s">
        <v>809</v>
      </c>
      <c r="B460" s="2" t="s">
        <v>810</v>
      </c>
      <c r="C460" s="2" t="n">
        <v>2</v>
      </c>
      <c r="D460" s="2" t="s">
        <v>813</v>
      </c>
      <c r="E460" s="2" t="s">
        <v>43</v>
      </c>
      <c r="F460" s="2" t="s">
        <v>814</v>
      </c>
      <c r="G460" s="2" t="s">
        <v>45</v>
      </c>
      <c r="H460" s="7"/>
    </row>
    <row r="461" customFormat="false" ht="15" hidden="false" customHeight="false" outlineLevel="0" collapsed="false">
      <c r="A461" s="2" t="s">
        <v>809</v>
      </c>
      <c r="B461" s="2" t="s">
        <v>810</v>
      </c>
      <c r="C461" s="2" t="n">
        <v>2</v>
      </c>
      <c r="D461" s="2" t="s">
        <v>815</v>
      </c>
      <c r="E461" s="2" t="s">
        <v>149</v>
      </c>
      <c r="F461" s="2" t="s">
        <v>816</v>
      </c>
      <c r="G461" s="2" t="s">
        <v>151</v>
      </c>
      <c r="H461" s="7"/>
    </row>
    <row r="462" customFormat="false" ht="23.85" hidden="false" customHeight="false" outlineLevel="0" collapsed="false">
      <c r="A462" s="2" t="s">
        <v>817</v>
      </c>
      <c r="B462" s="2" t="s">
        <v>818</v>
      </c>
      <c r="C462" s="2" t="n">
        <v>3</v>
      </c>
      <c r="D462" s="2" t="s">
        <v>360</v>
      </c>
      <c r="E462" s="2" t="s">
        <v>63</v>
      </c>
      <c r="F462" s="2" t="s">
        <v>361</v>
      </c>
      <c r="G462" s="2" t="s">
        <v>65</v>
      </c>
      <c r="H462" s="7"/>
    </row>
    <row r="463" customFormat="false" ht="23.85" hidden="false" customHeight="false" outlineLevel="0" collapsed="false">
      <c r="A463" s="2" t="s">
        <v>817</v>
      </c>
      <c r="B463" s="2" t="s">
        <v>818</v>
      </c>
      <c r="C463" s="2" t="n">
        <v>3</v>
      </c>
      <c r="D463" s="2" t="s">
        <v>811</v>
      </c>
      <c r="E463" s="2" t="s">
        <v>53</v>
      </c>
      <c r="F463" s="2" t="s">
        <v>812</v>
      </c>
      <c r="G463" s="2" t="s">
        <v>55</v>
      </c>
      <c r="H463" s="7"/>
    </row>
    <row r="464" customFormat="false" ht="23.85" hidden="false" customHeight="false" outlineLevel="0" collapsed="false">
      <c r="A464" s="2" t="s">
        <v>817</v>
      </c>
      <c r="B464" s="2" t="s">
        <v>818</v>
      </c>
      <c r="C464" s="2" t="n">
        <v>3</v>
      </c>
      <c r="D464" s="2" t="s">
        <v>735</v>
      </c>
      <c r="E464" s="2" t="s">
        <v>53</v>
      </c>
      <c r="F464" s="2" t="s">
        <v>736</v>
      </c>
      <c r="G464" s="2" t="s">
        <v>55</v>
      </c>
      <c r="H464" s="7"/>
    </row>
    <row r="465" customFormat="false" ht="15" hidden="false" customHeight="false" outlineLevel="0" collapsed="false">
      <c r="A465" s="2" t="s">
        <v>819</v>
      </c>
      <c r="B465" s="2" t="s">
        <v>820</v>
      </c>
      <c r="C465" s="2" t="n">
        <v>3</v>
      </c>
      <c r="D465" s="2" t="s">
        <v>499</v>
      </c>
      <c r="E465" s="2" t="s">
        <v>183</v>
      </c>
      <c r="F465" s="2" t="s">
        <v>500</v>
      </c>
      <c r="G465" s="2" t="s">
        <v>151</v>
      </c>
      <c r="H465" s="7"/>
    </row>
    <row r="466" customFormat="false" ht="15" hidden="false" customHeight="false" outlineLevel="0" collapsed="false">
      <c r="A466" s="2" t="s">
        <v>821</v>
      </c>
      <c r="B466" s="2" t="s">
        <v>822</v>
      </c>
      <c r="C466" s="2" t="n">
        <v>3</v>
      </c>
      <c r="D466" s="2" t="s">
        <v>639</v>
      </c>
      <c r="E466" s="2" t="s">
        <v>53</v>
      </c>
      <c r="F466" s="2" t="s">
        <v>640</v>
      </c>
      <c r="G466" s="2" t="s">
        <v>55</v>
      </c>
      <c r="H466" s="7"/>
    </row>
    <row r="467" customFormat="false" ht="15" hidden="false" customHeight="false" outlineLevel="0" collapsed="false">
      <c r="A467" s="2" t="s">
        <v>821</v>
      </c>
      <c r="B467" s="2" t="s">
        <v>822</v>
      </c>
      <c r="C467" s="2" t="n">
        <v>3</v>
      </c>
      <c r="D467" s="2" t="s">
        <v>199</v>
      </c>
      <c r="E467" s="2" t="s">
        <v>183</v>
      </c>
      <c r="F467" s="2" t="s">
        <v>200</v>
      </c>
      <c r="G467" s="2" t="s">
        <v>151</v>
      </c>
      <c r="H467" s="7"/>
    </row>
    <row r="468" customFormat="false" ht="15" hidden="false" customHeight="false" outlineLevel="0" collapsed="false">
      <c r="A468" s="2" t="s">
        <v>823</v>
      </c>
      <c r="B468" s="2" t="s">
        <v>824</v>
      </c>
      <c r="C468" s="2" t="n">
        <v>3</v>
      </c>
      <c r="D468" s="2" t="s">
        <v>825</v>
      </c>
      <c r="E468" s="2" t="s">
        <v>53</v>
      </c>
      <c r="F468" s="2" t="s">
        <v>826</v>
      </c>
      <c r="G468" s="2" t="s">
        <v>55</v>
      </c>
      <c r="H468" s="7"/>
    </row>
    <row r="469" customFormat="false" ht="15" hidden="false" customHeight="false" outlineLevel="0" collapsed="false">
      <c r="A469" s="2" t="s">
        <v>823</v>
      </c>
      <c r="B469" s="2" t="s">
        <v>824</v>
      </c>
      <c r="C469" s="2" t="n">
        <v>3</v>
      </c>
      <c r="D469" s="2" t="s">
        <v>827</v>
      </c>
      <c r="E469" s="2" t="s">
        <v>228</v>
      </c>
      <c r="F469" s="2" t="s">
        <v>828</v>
      </c>
      <c r="G469" s="2" t="s">
        <v>230</v>
      </c>
      <c r="H469" s="7"/>
    </row>
    <row r="470" customFormat="false" ht="15" hidden="false" customHeight="false" outlineLevel="0" collapsed="false">
      <c r="A470" s="2" t="s">
        <v>823</v>
      </c>
      <c r="B470" s="2" t="s">
        <v>824</v>
      </c>
      <c r="C470" s="2" t="n">
        <v>3</v>
      </c>
      <c r="D470" s="2" t="s">
        <v>199</v>
      </c>
      <c r="E470" s="2" t="s">
        <v>183</v>
      </c>
      <c r="F470" s="2" t="s">
        <v>200</v>
      </c>
      <c r="G470" s="2" t="s">
        <v>151</v>
      </c>
      <c r="H470" s="7"/>
    </row>
    <row r="471" customFormat="false" ht="15" hidden="false" customHeight="false" outlineLevel="0" collapsed="false">
      <c r="A471" s="2" t="s">
        <v>829</v>
      </c>
      <c r="B471" s="2" t="s">
        <v>830</v>
      </c>
      <c r="C471" s="2" t="n">
        <v>3</v>
      </c>
      <c r="D471" s="2" t="s">
        <v>273</v>
      </c>
      <c r="E471" s="2" t="s">
        <v>109</v>
      </c>
      <c r="F471" s="2" t="s">
        <v>274</v>
      </c>
      <c r="G471" s="2" t="s">
        <v>111</v>
      </c>
      <c r="H471" s="7"/>
    </row>
    <row r="472" customFormat="false" ht="15" hidden="false" customHeight="false" outlineLevel="0" collapsed="false">
      <c r="A472" s="2" t="s">
        <v>829</v>
      </c>
      <c r="B472" s="2" t="s">
        <v>830</v>
      </c>
      <c r="C472" s="2" t="n">
        <v>3</v>
      </c>
      <c r="D472" s="2" t="s">
        <v>201</v>
      </c>
      <c r="E472" s="2" t="s">
        <v>183</v>
      </c>
      <c r="F472" s="2" t="s">
        <v>202</v>
      </c>
      <c r="G472" s="2" t="s">
        <v>151</v>
      </c>
      <c r="H472" s="7"/>
    </row>
    <row r="473" customFormat="false" ht="15" hidden="false" customHeight="false" outlineLevel="0" collapsed="false">
      <c r="A473" s="2" t="s">
        <v>831</v>
      </c>
      <c r="B473" s="2" t="s">
        <v>832</v>
      </c>
      <c r="C473" s="2" t="n">
        <v>3</v>
      </c>
      <c r="D473" s="2" t="s">
        <v>633</v>
      </c>
      <c r="E473" s="2" t="s">
        <v>63</v>
      </c>
      <c r="F473" s="2" t="s">
        <v>634</v>
      </c>
      <c r="G473" s="2" t="s">
        <v>65</v>
      </c>
      <c r="H473" s="7"/>
    </row>
    <row r="474" customFormat="false" ht="15" hidden="false" customHeight="false" outlineLevel="0" collapsed="false">
      <c r="A474" s="2" t="s">
        <v>831</v>
      </c>
      <c r="B474" s="2" t="s">
        <v>832</v>
      </c>
      <c r="C474" s="2" t="n">
        <v>3</v>
      </c>
      <c r="D474" s="2" t="s">
        <v>360</v>
      </c>
      <c r="E474" s="2" t="s">
        <v>63</v>
      </c>
      <c r="F474" s="2" t="s">
        <v>361</v>
      </c>
      <c r="G474" s="2" t="s">
        <v>65</v>
      </c>
      <c r="H474" s="7"/>
    </row>
    <row r="475" customFormat="false" ht="15" hidden="false" customHeight="false" outlineLevel="0" collapsed="false">
      <c r="A475" s="2" t="s">
        <v>833</v>
      </c>
      <c r="B475" s="2" t="s">
        <v>834</v>
      </c>
      <c r="C475" s="2" t="n">
        <v>2</v>
      </c>
      <c r="D475" s="2" t="s">
        <v>835</v>
      </c>
      <c r="E475" s="2" t="s">
        <v>63</v>
      </c>
      <c r="F475" s="2" t="s">
        <v>109</v>
      </c>
      <c r="G475" s="2" t="s">
        <v>65</v>
      </c>
      <c r="H475" s="7"/>
    </row>
    <row r="476" customFormat="false" ht="15" hidden="false" customHeight="false" outlineLevel="0" collapsed="false">
      <c r="A476" s="2" t="s">
        <v>833</v>
      </c>
      <c r="B476" s="2" t="s">
        <v>834</v>
      </c>
      <c r="C476" s="2" t="n">
        <v>2</v>
      </c>
      <c r="D476" s="2" t="s">
        <v>273</v>
      </c>
      <c r="E476" s="2" t="s">
        <v>109</v>
      </c>
      <c r="F476" s="2" t="s">
        <v>274</v>
      </c>
      <c r="G476" s="2" t="s">
        <v>111</v>
      </c>
      <c r="H476" s="7"/>
    </row>
    <row r="477" customFormat="false" ht="15" hidden="false" customHeight="false" outlineLevel="0" collapsed="false">
      <c r="A477" s="2" t="s">
        <v>833</v>
      </c>
      <c r="B477" s="2" t="s">
        <v>834</v>
      </c>
      <c r="C477" s="2" t="n">
        <v>2</v>
      </c>
      <c r="D477" s="2" t="s">
        <v>705</v>
      </c>
      <c r="E477" s="2" t="s">
        <v>109</v>
      </c>
      <c r="F477" s="2" t="s">
        <v>706</v>
      </c>
      <c r="G477" s="2" t="s">
        <v>111</v>
      </c>
      <c r="H477" s="7"/>
    </row>
    <row r="478" customFormat="false" ht="23.85" hidden="false" customHeight="false" outlineLevel="0" collapsed="false">
      <c r="A478" s="2" t="s">
        <v>836</v>
      </c>
      <c r="B478" s="2" t="s">
        <v>837</v>
      </c>
      <c r="C478" s="2" t="n">
        <v>3</v>
      </c>
      <c r="D478" s="2" t="s">
        <v>835</v>
      </c>
      <c r="E478" s="2" t="s">
        <v>63</v>
      </c>
      <c r="F478" s="2" t="s">
        <v>109</v>
      </c>
      <c r="G478" s="2" t="s">
        <v>65</v>
      </c>
      <c r="H478" s="7"/>
    </row>
    <row r="479" customFormat="false" ht="23.85" hidden="false" customHeight="false" outlineLevel="0" collapsed="false">
      <c r="A479" s="2" t="s">
        <v>836</v>
      </c>
      <c r="B479" s="2" t="s">
        <v>837</v>
      </c>
      <c r="C479" s="2" t="n">
        <v>3</v>
      </c>
      <c r="D479" s="2" t="s">
        <v>780</v>
      </c>
      <c r="E479" s="2" t="s">
        <v>109</v>
      </c>
      <c r="F479" s="2" t="s">
        <v>781</v>
      </c>
      <c r="G479" s="2" t="s">
        <v>111</v>
      </c>
      <c r="H479" s="7"/>
    </row>
    <row r="480" customFormat="false" ht="15" hidden="false" customHeight="false" outlineLevel="0" collapsed="false">
      <c r="A480" s="2" t="s">
        <v>838</v>
      </c>
      <c r="B480" s="2" t="s">
        <v>839</v>
      </c>
      <c r="C480" s="2" t="n">
        <v>3</v>
      </c>
      <c r="D480" s="2" t="s">
        <v>273</v>
      </c>
      <c r="E480" s="2" t="s">
        <v>109</v>
      </c>
      <c r="F480" s="2" t="s">
        <v>274</v>
      </c>
      <c r="G480" s="2" t="s">
        <v>111</v>
      </c>
      <c r="H480" s="7"/>
    </row>
    <row r="481" customFormat="false" ht="15" hidden="false" customHeight="false" outlineLevel="0" collapsed="false">
      <c r="A481" s="2" t="s">
        <v>838</v>
      </c>
      <c r="B481" s="2" t="s">
        <v>839</v>
      </c>
      <c r="C481" s="2" t="n">
        <v>3</v>
      </c>
      <c r="D481" s="2" t="s">
        <v>201</v>
      </c>
      <c r="E481" s="2" t="s">
        <v>183</v>
      </c>
      <c r="F481" s="2" t="s">
        <v>202</v>
      </c>
      <c r="G481" s="2" t="s">
        <v>151</v>
      </c>
      <c r="H481" s="7"/>
    </row>
    <row r="482" customFormat="false" ht="15" hidden="false" customHeight="false" outlineLevel="0" collapsed="false">
      <c r="A482" s="2" t="s">
        <v>840</v>
      </c>
      <c r="B482" s="2" t="s">
        <v>841</v>
      </c>
      <c r="C482" s="2" t="n">
        <v>3</v>
      </c>
      <c r="D482" s="2" t="s">
        <v>842</v>
      </c>
      <c r="E482" s="2" t="s">
        <v>109</v>
      </c>
      <c r="F482" s="2" t="s">
        <v>843</v>
      </c>
      <c r="G482" s="2" t="s">
        <v>111</v>
      </c>
      <c r="H482" s="7"/>
    </row>
    <row r="483" customFormat="false" ht="15" hidden="false" customHeight="false" outlineLevel="0" collapsed="false">
      <c r="A483" s="2" t="s">
        <v>840</v>
      </c>
      <c r="B483" s="2" t="s">
        <v>841</v>
      </c>
      <c r="C483" s="2" t="n">
        <v>3</v>
      </c>
      <c r="D483" s="2" t="s">
        <v>844</v>
      </c>
      <c r="E483" s="2" t="s">
        <v>53</v>
      </c>
      <c r="F483" s="2" t="s">
        <v>845</v>
      </c>
      <c r="G483" s="2" t="s">
        <v>55</v>
      </c>
      <c r="H483" s="7"/>
    </row>
    <row r="484" customFormat="false" ht="15" hidden="false" customHeight="false" outlineLevel="0" collapsed="false">
      <c r="A484" s="2" t="s">
        <v>840</v>
      </c>
      <c r="B484" s="2" t="s">
        <v>841</v>
      </c>
      <c r="C484" s="2" t="n">
        <v>3</v>
      </c>
      <c r="D484" s="2" t="s">
        <v>827</v>
      </c>
      <c r="E484" s="2" t="s">
        <v>228</v>
      </c>
      <c r="F484" s="2" t="s">
        <v>828</v>
      </c>
      <c r="G484" s="2" t="s">
        <v>230</v>
      </c>
      <c r="H484" s="7"/>
    </row>
    <row r="485" customFormat="false" ht="15" hidden="false" customHeight="false" outlineLevel="0" collapsed="false">
      <c r="A485" s="2" t="s">
        <v>846</v>
      </c>
      <c r="B485" s="2" t="s">
        <v>847</v>
      </c>
      <c r="C485" s="2" t="n">
        <v>3</v>
      </c>
      <c r="D485" s="2" t="s">
        <v>848</v>
      </c>
      <c r="E485" s="2" t="s">
        <v>109</v>
      </c>
      <c r="F485" s="2" t="s">
        <v>849</v>
      </c>
      <c r="G485" s="2" t="s">
        <v>111</v>
      </c>
      <c r="H485" s="7"/>
    </row>
    <row r="486" customFormat="false" ht="15" hidden="false" customHeight="false" outlineLevel="0" collapsed="false">
      <c r="A486" s="2" t="s">
        <v>850</v>
      </c>
      <c r="B486" s="2" t="s">
        <v>851</v>
      </c>
      <c r="C486" s="2" t="n">
        <v>3</v>
      </c>
      <c r="D486" s="2" t="s">
        <v>780</v>
      </c>
      <c r="E486" s="2" t="s">
        <v>109</v>
      </c>
      <c r="F486" s="2" t="s">
        <v>781</v>
      </c>
      <c r="G486" s="2" t="s">
        <v>111</v>
      </c>
      <c r="H486" s="7"/>
    </row>
    <row r="487" customFormat="false" ht="15" hidden="false" customHeight="false" outlineLevel="0" collapsed="false">
      <c r="A487" s="2" t="s">
        <v>850</v>
      </c>
      <c r="B487" s="2" t="s">
        <v>851</v>
      </c>
      <c r="C487" s="2" t="n">
        <v>3</v>
      </c>
      <c r="D487" s="2" t="s">
        <v>852</v>
      </c>
      <c r="E487" s="2" t="s">
        <v>109</v>
      </c>
      <c r="F487" s="2" t="s">
        <v>853</v>
      </c>
      <c r="G487" s="2" t="s">
        <v>111</v>
      </c>
      <c r="H487" s="7"/>
    </row>
    <row r="488" customFormat="false" ht="15" hidden="false" customHeight="false" outlineLevel="0" collapsed="false">
      <c r="A488" s="2" t="s">
        <v>854</v>
      </c>
      <c r="B488" s="2" t="s">
        <v>855</v>
      </c>
      <c r="C488" s="2" t="n">
        <v>3</v>
      </c>
      <c r="D488" s="2" t="s">
        <v>856</v>
      </c>
      <c r="E488" s="2" t="s">
        <v>109</v>
      </c>
      <c r="F488" s="2" t="s">
        <v>857</v>
      </c>
      <c r="G488" s="2" t="s">
        <v>111</v>
      </c>
      <c r="H488" s="7"/>
    </row>
    <row r="489" customFormat="false" ht="15" hidden="false" customHeight="false" outlineLevel="0" collapsed="false">
      <c r="A489" s="2" t="s">
        <v>858</v>
      </c>
      <c r="B489" s="2" t="s">
        <v>859</v>
      </c>
      <c r="C489" s="2" t="n">
        <v>2</v>
      </c>
      <c r="D489" s="2" t="s">
        <v>52</v>
      </c>
      <c r="E489" s="2" t="s">
        <v>53</v>
      </c>
      <c r="F489" s="2" t="s">
        <v>54</v>
      </c>
      <c r="G489" s="2" t="s">
        <v>55</v>
      </c>
      <c r="H489" s="7"/>
    </row>
    <row r="490" customFormat="false" ht="15" hidden="false" customHeight="false" outlineLevel="0" collapsed="false">
      <c r="A490" s="2" t="s">
        <v>858</v>
      </c>
      <c r="B490" s="2" t="s">
        <v>859</v>
      </c>
      <c r="C490" s="2" t="n">
        <v>2</v>
      </c>
      <c r="D490" s="2" t="s">
        <v>203</v>
      </c>
      <c r="E490" s="2" t="s">
        <v>183</v>
      </c>
      <c r="F490" s="2" t="s">
        <v>204</v>
      </c>
      <c r="G490" s="2" t="s">
        <v>151</v>
      </c>
      <c r="H490" s="7"/>
    </row>
    <row r="491" customFormat="false" ht="15" hidden="false" customHeight="false" outlineLevel="0" collapsed="false">
      <c r="A491" s="2" t="s">
        <v>860</v>
      </c>
      <c r="B491" s="2" t="s">
        <v>861</v>
      </c>
      <c r="C491" s="2" t="n">
        <v>3</v>
      </c>
      <c r="D491" s="2" t="s">
        <v>52</v>
      </c>
      <c r="E491" s="2" t="s">
        <v>53</v>
      </c>
      <c r="F491" s="2" t="s">
        <v>54</v>
      </c>
      <c r="G491" s="2" t="s">
        <v>55</v>
      </c>
      <c r="H491" s="7"/>
    </row>
    <row r="492" customFormat="false" ht="15" hidden="false" customHeight="false" outlineLevel="0" collapsed="false">
      <c r="A492" s="2" t="s">
        <v>860</v>
      </c>
      <c r="B492" s="2" t="s">
        <v>861</v>
      </c>
      <c r="C492" s="2" t="n">
        <v>3</v>
      </c>
      <c r="D492" s="2" t="s">
        <v>203</v>
      </c>
      <c r="E492" s="2" t="s">
        <v>183</v>
      </c>
      <c r="F492" s="2" t="s">
        <v>204</v>
      </c>
      <c r="G492" s="2" t="s">
        <v>151</v>
      </c>
      <c r="H492" s="7"/>
    </row>
    <row r="493" customFormat="false" ht="15" hidden="false" customHeight="false" outlineLevel="0" collapsed="false">
      <c r="A493" s="2" t="s">
        <v>862</v>
      </c>
      <c r="B493" s="2" t="s">
        <v>863</v>
      </c>
      <c r="C493" s="2" t="n">
        <v>3</v>
      </c>
      <c r="D493" s="2" t="s">
        <v>52</v>
      </c>
      <c r="E493" s="2" t="s">
        <v>53</v>
      </c>
      <c r="F493" s="2" t="s">
        <v>54</v>
      </c>
      <c r="G493" s="2" t="s">
        <v>55</v>
      </c>
      <c r="H493" s="7"/>
    </row>
    <row r="494" customFormat="false" ht="15" hidden="false" customHeight="false" outlineLevel="0" collapsed="false">
      <c r="A494" s="2" t="s">
        <v>862</v>
      </c>
      <c r="B494" s="2" t="s">
        <v>863</v>
      </c>
      <c r="C494" s="2" t="n">
        <v>3</v>
      </c>
      <c r="D494" s="2" t="s">
        <v>487</v>
      </c>
      <c r="E494" s="2" t="s">
        <v>163</v>
      </c>
      <c r="F494" s="2" t="s">
        <v>488</v>
      </c>
      <c r="G494" s="2" t="s">
        <v>165</v>
      </c>
      <c r="H494" s="7"/>
    </row>
    <row r="495" customFormat="false" ht="15" hidden="false" customHeight="false" outlineLevel="0" collapsed="false">
      <c r="A495" s="2" t="s">
        <v>864</v>
      </c>
      <c r="B495" s="2" t="s">
        <v>865</v>
      </c>
      <c r="C495" s="2" t="n">
        <v>2</v>
      </c>
      <c r="D495" s="2" t="s">
        <v>114</v>
      </c>
      <c r="E495" s="2" t="s">
        <v>53</v>
      </c>
      <c r="F495" s="2" t="s">
        <v>115</v>
      </c>
      <c r="G495" s="2" t="s">
        <v>55</v>
      </c>
      <c r="H495" s="7"/>
    </row>
    <row r="496" customFormat="false" ht="23.85" hidden="false" customHeight="false" outlineLevel="0" collapsed="false">
      <c r="A496" s="2" t="s">
        <v>866</v>
      </c>
      <c r="B496" s="2" t="s">
        <v>867</v>
      </c>
      <c r="C496" s="2" t="n">
        <v>3</v>
      </c>
      <c r="D496" s="2" t="s">
        <v>114</v>
      </c>
      <c r="E496" s="2" t="s">
        <v>53</v>
      </c>
      <c r="F496" s="2" t="s">
        <v>115</v>
      </c>
      <c r="G496" s="2" t="s">
        <v>55</v>
      </c>
      <c r="H496" s="7"/>
    </row>
    <row r="497" customFormat="false" ht="23.85" hidden="false" customHeight="false" outlineLevel="0" collapsed="false">
      <c r="A497" s="2" t="s">
        <v>866</v>
      </c>
      <c r="B497" s="2" t="s">
        <v>867</v>
      </c>
      <c r="C497" s="2" t="n">
        <v>3</v>
      </c>
      <c r="D497" s="2" t="s">
        <v>225</v>
      </c>
      <c r="E497" s="2" t="s">
        <v>103</v>
      </c>
      <c r="F497" s="2" t="s">
        <v>226</v>
      </c>
      <c r="G497" s="2" t="s">
        <v>105</v>
      </c>
      <c r="H497" s="7"/>
    </row>
    <row r="498" customFormat="false" ht="23.85" hidden="false" customHeight="false" outlineLevel="0" collapsed="false">
      <c r="A498" s="2" t="s">
        <v>866</v>
      </c>
      <c r="B498" s="2" t="s">
        <v>867</v>
      </c>
      <c r="C498" s="2" t="n">
        <v>3</v>
      </c>
      <c r="D498" s="2" t="s">
        <v>868</v>
      </c>
      <c r="E498" s="2" t="s">
        <v>163</v>
      </c>
      <c r="F498" s="2" t="s">
        <v>869</v>
      </c>
      <c r="G498" s="2" t="s">
        <v>165</v>
      </c>
      <c r="H498" s="7"/>
    </row>
    <row r="499" customFormat="false" ht="15" hidden="false" customHeight="false" outlineLevel="0" collapsed="false">
      <c r="A499" s="2" t="s">
        <v>870</v>
      </c>
      <c r="B499" s="2" t="s">
        <v>871</v>
      </c>
      <c r="C499" s="2" t="n">
        <v>2</v>
      </c>
      <c r="D499" s="2" t="s">
        <v>872</v>
      </c>
      <c r="E499" s="2" t="s">
        <v>43</v>
      </c>
      <c r="F499" s="2" t="s">
        <v>873</v>
      </c>
      <c r="G499" s="2" t="s">
        <v>45</v>
      </c>
      <c r="H499" s="7"/>
    </row>
    <row r="500" customFormat="false" ht="15" hidden="false" customHeight="false" outlineLevel="0" collapsed="false">
      <c r="A500" s="2" t="s">
        <v>870</v>
      </c>
      <c r="B500" s="2" t="s">
        <v>871</v>
      </c>
      <c r="C500" s="2" t="n">
        <v>2</v>
      </c>
      <c r="D500" s="2" t="s">
        <v>776</v>
      </c>
      <c r="E500" s="2" t="s">
        <v>141</v>
      </c>
      <c r="F500" s="2" t="s">
        <v>777</v>
      </c>
      <c r="G500" s="2" t="s">
        <v>143</v>
      </c>
      <c r="H500" s="7"/>
    </row>
    <row r="501" customFormat="false" ht="15" hidden="false" customHeight="false" outlineLevel="0" collapsed="false">
      <c r="A501" s="2" t="s">
        <v>870</v>
      </c>
      <c r="B501" s="2" t="s">
        <v>871</v>
      </c>
      <c r="C501" s="2" t="n">
        <v>2</v>
      </c>
      <c r="D501" s="2" t="s">
        <v>567</v>
      </c>
      <c r="E501" s="2" t="s">
        <v>183</v>
      </c>
      <c r="F501" s="2" t="s">
        <v>568</v>
      </c>
      <c r="G501" s="2" t="s">
        <v>151</v>
      </c>
      <c r="H501" s="7"/>
    </row>
    <row r="502" customFormat="false" ht="23.85" hidden="false" customHeight="false" outlineLevel="0" collapsed="false">
      <c r="A502" s="2" t="s">
        <v>874</v>
      </c>
      <c r="B502" s="2" t="s">
        <v>875</v>
      </c>
      <c r="C502" s="2" t="n">
        <v>3</v>
      </c>
      <c r="D502" s="2" t="s">
        <v>776</v>
      </c>
      <c r="E502" s="2" t="s">
        <v>141</v>
      </c>
      <c r="F502" s="2" t="s">
        <v>777</v>
      </c>
      <c r="G502" s="2" t="s">
        <v>143</v>
      </c>
      <c r="H502" s="7"/>
    </row>
    <row r="503" customFormat="false" ht="23.85" hidden="false" customHeight="false" outlineLevel="0" collapsed="false">
      <c r="A503" s="2" t="s">
        <v>874</v>
      </c>
      <c r="B503" s="2" t="s">
        <v>875</v>
      </c>
      <c r="C503" s="2" t="n">
        <v>3</v>
      </c>
      <c r="D503" s="2" t="s">
        <v>265</v>
      </c>
      <c r="E503" s="2" t="s">
        <v>47</v>
      </c>
      <c r="F503" s="2" t="s">
        <v>266</v>
      </c>
      <c r="G503" s="2" t="s">
        <v>49</v>
      </c>
      <c r="H503" s="7"/>
    </row>
    <row r="504" customFormat="false" ht="15" hidden="false" customHeight="false" outlineLevel="0" collapsed="false">
      <c r="A504" s="2" t="s">
        <v>876</v>
      </c>
      <c r="B504" s="2" t="s">
        <v>877</v>
      </c>
      <c r="C504" s="2" t="n">
        <v>3</v>
      </c>
      <c r="D504" s="2" t="s">
        <v>567</v>
      </c>
      <c r="E504" s="2" t="s">
        <v>183</v>
      </c>
      <c r="F504" s="2" t="s">
        <v>568</v>
      </c>
      <c r="G504" s="2" t="s">
        <v>151</v>
      </c>
      <c r="H504" s="7"/>
    </row>
    <row r="505" customFormat="false" ht="15" hidden="false" customHeight="false" outlineLevel="0" collapsed="false">
      <c r="A505" s="2" t="s">
        <v>876</v>
      </c>
      <c r="B505" s="2" t="s">
        <v>877</v>
      </c>
      <c r="C505" s="2" t="n">
        <v>3</v>
      </c>
      <c r="D505" s="2" t="s">
        <v>776</v>
      </c>
      <c r="E505" s="2" t="s">
        <v>141</v>
      </c>
      <c r="F505" s="2" t="s">
        <v>777</v>
      </c>
      <c r="G505" s="2" t="s">
        <v>143</v>
      </c>
      <c r="H505" s="7"/>
    </row>
    <row r="506" customFormat="false" ht="15" hidden="false" customHeight="false" outlineLevel="0" collapsed="false">
      <c r="A506" s="2" t="s">
        <v>878</v>
      </c>
      <c r="B506" s="2" t="s">
        <v>879</v>
      </c>
      <c r="C506" s="2" t="n">
        <v>3</v>
      </c>
      <c r="D506" s="2" t="s">
        <v>597</v>
      </c>
      <c r="E506" s="2" t="s">
        <v>123</v>
      </c>
      <c r="F506" s="2" t="s">
        <v>598</v>
      </c>
      <c r="G506" s="2" t="s">
        <v>125</v>
      </c>
      <c r="H506" s="7"/>
    </row>
    <row r="507" customFormat="false" ht="15" hidden="false" customHeight="false" outlineLevel="0" collapsed="false">
      <c r="A507" s="2" t="s">
        <v>880</v>
      </c>
      <c r="B507" s="2" t="s">
        <v>881</v>
      </c>
      <c r="C507" s="2" t="n">
        <v>3</v>
      </c>
      <c r="D507" s="2" t="s">
        <v>213</v>
      </c>
      <c r="E507" s="2" t="s">
        <v>149</v>
      </c>
      <c r="F507" s="2" t="s">
        <v>214</v>
      </c>
      <c r="G507" s="2" t="s">
        <v>151</v>
      </c>
      <c r="H507" s="7"/>
    </row>
    <row r="508" customFormat="false" ht="15" hidden="false" customHeight="false" outlineLevel="0" collapsed="false">
      <c r="A508" s="2" t="s">
        <v>882</v>
      </c>
      <c r="B508" s="2" t="s">
        <v>883</v>
      </c>
      <c r="C508" s="2" t="n">
        <v>3</v>
      </c>
      <c r="D508" s="2" t="s">
        <v>438</v>
      </c>
      <c r="E508" s="2" t="s">
        <v>228</v>
      </c>
      <c r="F508" s="2" t="s">
        <v>439</v>
      </c>
      <c r="G508" s="2" t="s">
        <v>230</v>
      </c>
      <c r="H508" s="7"/>
    </row>
    <row r="509" customFormat="false" ht="15" hidden="false" customHeight="false" outlineLevel="0" collapsed="false">
      <c r="A509" s="2" t="s">
        <v>884</v>
      </c>
      <c r="B509" s="2" t="s">
        <v>885</v>
      </c>
      <c r="C509" s="2" t="n">
        <v>3</v>
      </c>
      <c r="D509" s="2" t="s">
        <v>376</v>
      </c>
      <c r="E509" s="2" t="s">
        <v>228</v>
      </c>
      <c r="F509" s="2" t="s">
        <v>377</v>
      </c>
      <c r="G509" s="2" t="s">
        <v>230</v>
      </c>
      <c r="H509" s="7"/>
    </row>
    <row r="510" customFormat="false" ht="15" hidden="false" customHeight="false" outlineLevel="0" collapsed="false">
      <c r="A510" s="2" t="s">
        <v>886</v>
      </c>
      <c r="B510" s="2" t="s">
        <v>887</v>
      </c>
      <c r="C510" s="2" t="n">
        <v>3</v>
      </c>
      <c r="D510" s="2" t="s">
        <v>227</v>
      </c>
      <c r="E510" s="2" t="s">
        <v>228</v>
      </c>
      <c r="F510" s="2" t="s">
        <v>229</v>
      </c>
      <c r="G510" s="2" t="s">
        <v>230</v>
      </c>
      <c r="H510" s="7"/>
    </row>
    <row r="511" customFormat="false" ht="15" hidden="false" customHeight="false" outlineLevel="0" collapsed="false">
      <c r="A511" s="2" t="s">
        <v>888</v>
      </c>
      <c r="B511" s="2" t="s">
        <v>889</v>
      </c>
      <c r="C511" s="2" t="n">
        <v>3</v>
      </c>
      <c r="D511" s="2" t="s">
        <v>591</v>
      </c>
      <c r="E511" s="2" t="s">
        <v>228</v>
      </c>
      <c r="F511" s="2" t="s">
        <v>592</v>
      </c>
      <c r="G511" s="2" t="s">
        <v>230</v>
      </c>
      <c r="H511" s="7"/>
    </row>
    <row r="512" customFormat="false" ht="15" hidden="false" customHeight="false" outlineLevel="0" collapsed="false">
      <c r="A512" s="2" t="s">
        <v>890</v>
      </c>
      <c r="B512" s="2" t="s">
        <v>891</v>
      </c>
      <c r="C512" s="2" t="n">
        <v>3</v>
      </c>
      <c r="D512" s="2" t="s">
        <v>682</v>
      </c>
      <c r="E512" s="2" t="s">
        <v>228</v>
      </c>
      <c r="F512" s="2" t="s">
        <v>683</v>
      </c>
      <c r="G512" s="2" t="s">
        <v>230</v>
      </c>
      <c r="H512" s="7"/>
    </row>
    <row r="513" customFormat="false" ht="15" hidden="false" customHeight="false" outlineLevel="0" collapsed="false">
      <c r="A513" s="2" t="s">
        <v>892</v>
      </c>
      <c r="B513" s="2" t="s">
        <v>893</v>
      </c>
      <c r="C513" s="2" t="n">
        <v>3</v>
      </c>
      <c r="D513" s="2" t="s">
        <v>629</v>
      </c>
      <c r="E513" s="2" t="s">
        <v>228</v>
      </c>
      <c r="F513" s="2" t="s">
        <v>630</v>
      </c>
      <c r="G513" s="2" t="s">
        <v>230</v>
      </c>
      <c r="H513" s="7"/>
    </row>
    <row r="514" customFormat="false" ht="15" hidden="false" customHeight="false" outlineLevel="0" collapsed="false">
      <c r="A514" s="2" t="s">
        <v>894</v>
      </c>
      <c r="B514" s="2" t="s">
        <v>895</v>
      </c>
      <c r="C514" s="2" t="n">
        <v>3</v>
      </c>
      <c r="D514" s="2" t="s">
        <v>727</v>
      </c>
      <c r="E514" s="2" t="s">
        <v>228</v>
      </c>
      <c r="F514" s="2" t="s">
        <v>728</v>
      </c>
      <c r="G514" s="2" t="s">
        <v>230</v>
      </c>
      <c r="H514" s="7"/>
    </row>
    <row r="515" customFormat="false" ht="15" hidden="false" customHeight="false" outlineLevel="0" collapsed="false">
      <c r="A515" s="2" t="s">
        <v>896</v>
      </c>
      <c r="B515" s="2" t="s">
        <v>897</v>
      </c>
      <c r="C515" s="2" t="n">
        <v>3</v>
      </c>
      <c r="D515" s="2" t="s">
        <v>770</v>
      </c>
      <c r="E515" s="2" t="s">
        <v>228</v>
      </c>
      <c r="F515" s="2" t="s">
        <v>771</v>
      </c>
      <c r="G515" s="2" t="s">
        <v>230</v>
      </c>
      <c r="H515" s="7"/>
    </row>
    <row r="516" customFormat="false" ht="15" hidden="false" customHeight="false" outlineLevel="0" collapsed="false">
      <c r="A516" s="2" t="s">
        <v>898</v>
      </c>
      <c r="B516" s="2" t="s">
        <v>899</v>
      </c>
      <c r="C516" s="2" t="n">
        <v>3</v>
      </c>
      <c r="D516" s="2" t="s">
        <v>784</v>
      </c>
      <c r="E516" s="2" t="s">
        <v>228</v>
      </c>
      <c r="F516" s="2" t="s">
        <v>785</v>
      </c>
      <c r="G516" s="2" t="s">
        <v>230</v>
      </c>
      <c r="H516" s="7"/>
    </row>
    <row r="517" customFormat="false" ht="15" hidden="false" customHeight="false" outlineLevel="0" collapsed="false">
      <c r="A517" s="2" t="s">
        <v>900</v>
      </c>
      <c r="B517" s="2" t="s">
        <v>901</v>
      </c>
      <c r="C517" s="2" t="n">
        <v>3</v>
      </c>
      <c r="D517" s="2" t="s">
        <v>827</v>
      </c>
      <c r="E517" s="2" t="s">
        <v>228</v>
      </c>
      <c r="F517" s="2" t="s">
        <v>828</v>
      </c>
      <c r="G517" s="2" t="s">
        <v>230</v>
      </c>
      <c r="H517" s="7"/>
    </row>
    <row r="518" customFormat="false" ht="15" hidden="false" customHeight="false" outlineLevel="0" collapsed="false">
      <c r="A518" s="2" t="s">
        <v>902</v>
      </c>
      <c r="B518" s="2" t="s">
        <v>903</v>
      </c>
      <c r="C518" s="2" t="n">
        <v>3</v>
      </c>
      <c r="D518" s="2" t="s">
        <v>707</v>
      </c>
      <c r="E518" s="2" t="s">
        <v>228</v>
      </c>
      <c r="F518" s="2" t="s">
        <v>708</v>
      </c>
      <c r="G518" s="2" t="s">
        <v>230</v>
      </c>
      <c r="H518" s="7"/>
    </row>
    <row r="519" customFormat="false" ht="15" hidden="false" customHeight="false" outlineLevel="0" collapsed="false">
      <c r="A519" s="2" t="s">
        <v>904</v>
      </c>
      <c r="B519" s="2" t="s">
        <v>905</v>
      </c>
      <c r="C519" s="2" t="n">
        <v>2</v>
      </c>
      <c r="D519" s="2" t="s">
        <v>122</v>
      </c>
      <c r="E519" s="2" t="s">
        <v>123</v>
      </c>
      <c r="F519" s="2" t="s">
        <v>124</v>
      </c>
      <c r="G519" s="2" t="s">
        <v>125</v>
      </c>
      <c r="H519" s="7"/>
    </row>
    <row r="520" customFormat="false" ht="15" hidden="false" customHeight="false" outlineLevel="0" collapsed="false">
      <c r="A520" s="2" t="s">
        <v>904</v>
      </c>
      <c r="B520" s="2" t="s">
        <v>905</v>
      </c>
      <c r="C520" s="2" t="n">
        <v>2</v>
      </c>
      <c r="D520" s="2" t="s">
        <v>786</v>
      </c>
      <c r="E520" s="2" t="s">
        <v>57</v>
      </c>
      <c r="F520" s="2" t="s">
        <v>787</v>
      </c>
      <c r="G520" s="2" t="s">
        <v>59</v>
      </c>
      <c r="H520" s="7"/>
    </row>
    <row r="521" customFormat="false" ht="15" hidden="false" customHeight="false" outlineLevel="0" collapsed="false">
      <c r="A521" s="2" t="s">
        <v>906</v>
      </c>
      <c r="B521" s="2" t="s">
        <v>907</v>
      </c>
      <c r="C521" s="2" t="n">
        <v>3</v>
      </c>
      <c r="D521" s="2" t="s">
        <v>122</v>
      </c>
      <c r="E521" s="2" t="s">
        <v>123</v>
      </c>
      <c r="F521" s="2" t="s">
        <v>124</v>
      </c>
      <c r="G521" s="2" t="s">
        <v>125</v>
      </c>
      <c r="H521" s="7"/>
    </row>
    <row r="522" customFormat="false" ht="15" hidden="false" customHeight="false" outlineLevel="0" collapsed="false">
      <c r="A522" s="2" t="s">
        <v>906</v>
      </c>
      <c r="B522" s="2" t="s">
        <v>907</v>
      </c>
      <c r="C522" s="2" t="n">
        <v>3</v>
      </c>
      <c r="D522" s="2" t="s">
        <v>293</v>
      </c>
      <c r="E522" s="2" t="s">
        <v>183</v>
      </c>
      <c r="F522" s="2" t="s">
        <v>294</v>
      </c>
      <c r="G522" s="2" t="s">
        <v>151</v>
      </c>
      <c r="H522" s="7"/>
    </row>
    <row r="523" customFormat="false" ht="15" hidden="false" customHeight="false" outlineLevel="0" collapsed="false">
      <c r="A523" s="2" t="s">
        <v>908</v>
      </c>
      <c r="B523" s="2" t="s">
        <v>909</v>
      </c>
      <c r="C523" s="2" t="n">
        <v>3</v>
      </c>
      <c r="D523" s="2" t="s">
        <v>597</v>
      </c>
      <c r="E523" s="2" t="s">
        <v>123</v>
      </c>
      <c r="F523" s="2" t="s">
        <v>598</v>
      </c>
      <c r="G523" s="2" t="s">
        <v>125</v>
      </c>
      <c r="H523" s="7"/>
    </row>
    <row r="524" customFormat="false" ht="15" hidden="false" customHeight="false" outlineLevel="0" collapsed="false">
      <c r="A524" s="2" t="s">
        <v>908</v>
      </c>
      <c r="B524" s="2" t="s">
        <v>909</v>
      </c>
      <c r="C524" s="2" t="n">
        <v>3</v>
      </c>
      <c r="D524" s="2" t="s">
        <v>293</v>
      </c>
      <c r="E524" s="2" t="s">
        <v>183</v>
      </c>
      <c r="F524" s="2" t="s">
        <v>294</v>
      </c>
      <c r="G524" s="2" t="s">
        <v>151</v>
      </c>
      <c r="H524" s="7"/>
    </row>
    <row r="525" customFormat="false" ht="15" hidden="false" customHeight="false" outlineLevel="0" collapsed="false">
      <c r="A525" s="2" t="s">
        <v>910</v>
      </c>
      <c r="B525" s="2" t="s">
        <v>911</v>
      </c>
      <c r="C525" s="2" t="n">
        <v>3</v>
      </c>
      <c r="D525" s="2" t="s">
        <v>434</v>
      </c>
      <c r="E525" s="2" t="s">
        <v>123</v>
      </c>
      <c r="F525" s="2" t="s">
        <v>435</v>
      </c>
      <c r="G525" s="2" t="s">
        <v>125</v>
      </c>
      <c r="H525" s="7"/>
    </row>
    <row r="526" customFormat="false" ht="15" hidden="false" customHeight="false" outlineLevel="0" collapsed="false">
      <c r="A526" s="2" t="s">
        <v>910</v>
      </c>
      <c r="B526" s="2" t="s">
        <v>911</v>
      </c>
      <c r="C526" s="2" t="n">
        <v>3</v>
      </c>
      <c r="D526" s="2" t="s">
        <v>293</v>
      </c>
      <c r="E526" s="2" t="s">
        <v>183</v>
      </c>
      <c r="F526" s="2" t="s">
        <v>294</v>
      </c>
      <c r="G526" s="2" t="s">
        <v>151</v>
      </c>
      <c r="H526" s="7"/>
    </row>
    <row r="527" customFormat="false" ht="15" hidden="false" customHeight="false" outlineLevel="0" collapsed="false">
      <c r="A527" s="2" t="s">
        <v>912</v>
      </c>
      <c r="B527" s="2" t="s">
        <v>913</v>
      </c>
      <c r="C527" s="2" t="n">
        <v>2</v>
      </c>
      <c r="D527" s="2" t="s">
        <v>126</v>
      </c>
      <c r="E527" s="2" t="s">
        <v>123</v>
      </c>
      <c r="F527" s="2" t="s">
        <v>127</v>
      </c>
      <c r="G527" s="2" t="s">
        <v>125</v>
      </c>
      <c r="H527" s="7"/>
    </row>
    <row r="528" customFormat="false" ht="15" hidden="false" customHeight="false" outlineLevel="0" collapsed="false">
      <c r="A528" s="2" t="s">
        <v>914</v>
      </c>
      <c r="B528" s="2" t="s">
        <v>915</v>
      </c>
      <c r="C528" s="2" t="n">
        <v>3</v>
      </c>
      <c r="D528" s="2" t="s">
        <v>126</v>
      </c>
      <c r="E528" s="2" t="s">
        <v>123</v>
      </c>
      <c r="F528" s="2" t="s">
        <v>127</v>
      </c>
      <c r="G528" s="2" t="s">
        <v>125</v>
      </c>
      <c r="H528" s="7"/>
    </row>
    <row r="529" customFormat="false" ht="15" hidden="false" customHeight="false" outlineLevel="0" collapsed="false">
      <c r="A529" s="2" t="s">
        <v>914</v>
      </c>
      <c r="B529" s="2" t="s">
        <v>915</v>
      </c>
      <c r="C529" s="2" t="n">
        <v>3</v>
      </c>
      <c r="D529" s="2" t="s">
        <v>293</v>
      </c>
      <c r="E529" s="2" t="s">
        <v>183</v>
      </c>
      <c r="F529" s="2" t="s">
        <v>294</v>
      </c>
      <c r="G529" s="2" t="s">
        <v>151</v>
      </c>
      <c r="H529" s="7"/>
    </row>
    <row r="530" customFormat="false" ht="15" hidden="false" customHeight="false" outlineLevel="0" collapsed="false">
      <c r="A530" s="2" t="s">
        <v>916</v>
      </c>
      <c r="B530" s="2" t="s">
        <v>917</v>
      </c>
      <c r="C530" s="2" t="n">
        <v>2</v>
      </c>
      <c r="D530" s="2" t="s">
        <v>918</v>
      </c>
      <c r="E530" s="2" t="s">
        <v>306</v>
      </c>
      <c r="F530" s="2" t="s">
        <v>919</v>
      </c>
      <c r="G530" s="2" t="s">
        <v>313</v>
      </c>
      <c r="H530" s="7"/>
    </row>
    <row r="531" customFormat="false" ht="15" hidden="false" customHeight="false" outlineLevel="0" collapsed="false">
      <c r="A531" s="2" t="s">
        <v>916</v>
      </c>
      <c r="B531" s="2" t="s">
        <v>917</v>
      </c>
      <c r="C531" s="2" t="n">
        <v>2</v>
      </c>
      <c r="D531" s="2" t="s">
        <v>920</v>
      </c>
      <c r="E531" s="2" t="s">
        <v>123</v>
      </c>
      <c r="F531" s="2" t="s">
        <v>921</v>
      </c>
      <c r="G531" s="2" t="s">
        <v>125</v>
      </c>
      <c r="H531" s="7"/>
    </row>
    <row r="532" customFormat="false" ht="15" hidden="false" customHeight="false" outlineLevel="0" collapsed="false">
      <c r="A532" s="2" t="s">
        <v>922</v>
      </c>
      <c r="B532" s="2" t="s">
        <v>923</v>
      </c>
      <c r="C532" s="2" t="n">
        <v>3</v>
      </c>
      <c r="D532" s="2" t="s">
        <v>918</v>
      </c>
      <c r="E532" s="2" t="s">
        <v>306</v>
      </c>
      <c r="F532" s="2" t="s">
        <v>919</v>
      </c>
      <c r="G532" s="2" t="s">
        <v>313</v>
      </c>
      <c r="H532" s="7"/>
    </row>
    <row r="533" customFormat="false" ht="15" hidden="false" customHeight="false" outlineLevel="0" collapsed="false">
      <c r="A533" s="2" t="s">
        <v>922</v>
      </c>
      <c r="B533" s="2" t="s">
        <v>923</v>
      </c>
      <c r="C533" s="2" t="n">
        <v>3</v>
      </c>
      <c r="D533" s="2" t="s">
        <v>920</v>
      </c>
      <c r="E533" s="2" t="s">
        <v>123</v>
      </c>
      <c r="F533" s="2" t="s">
        <v>921</v>
      </c>
      <c r="G533" s="2" t="s">
        <v>125</v>
      </c>
      <c r="H533" s="7"/>
    </row>
    <row r="534" customFormat="false" ht="15" hidden="false" customHeight="false" outlineLevel="0" collapsed="false">
      <c r="A534" s="2" t="s">
        <v>922</v>
      </c>
      <c r="B534" s="2" t="s">
        <v>923</v>
      </c>
      <c r="C534" s="2" t="n">
        <v>3</v>
      </c>
      <c r="D534" s="2" t="s">
        <v>293</v>
      </c>
      <c r="E534" s="2" t="s">
        <v>183</v>
      </c>
      <c r="F534" s="2" t="s">
        <v>294</v>
      </c>
      <c r="G534" s="2" t="s">
        <v>151</v>
      </c>
      <c r="H534" s="7"/>
    </row>
    <row r="535" customFormat="false" ht="15" hidden="false" customHeight="false" outlineLevel="0" collapsed="false">
      <c r="A535" s="2" t="s">
        <v>924</v>
      </c>
      <c r="B535" s="2" t="s">
        <v>925</v>
      </c>
      <c r="C535" s="2" t="n">
        <v>2</v>
      </c>
      <c r="D535" s="2" t="s">
        <v>926</v>
      </c>
      <c r="E535" s="2" t="s">
        <v>141</v>
      </c>
      <c r="F535" s="2" t="s">
        <v>927</v>
      </c>
      <c r="G535" s="2" t="s">
        <v>143</v>
      </c>
      <c r="H535" s="7"/>
    </row>
    <row r="536" customFormat="false" ht="15" hidden="false" customHeight="false" outlineLevel="0" collapsed="false">
      <c r="A536" s="2" t="s">
        <v>924</v>
      </c>
      <c r="B536" s="2" t="s">
        <v>925</v>
      </c>
      <c r="C536" s="2" t="n">
        <v>2</v>
      </c>
      <c r="D536" s="2" t="s">
        <v>928</v>
      </c>
      <c r="E536" s="2" t="s">
        <v>141</v>
      </c>
      <c r="F536" s="2" t="s">
        <v>929</v>
      </c>
      <c r="G536" s="2" t="s">
        <v>143</v>
      </c>
      <c r="H536" s="7"/>
    </row>
    <row r="537" customFormat="false" ht="15" hidden="false" customHeight="false" outlineLevel="0" collapsed="false">
      <c r="A537" s="2" t="s">
        <v>924</v>
      </c>
      <c r="B537" s="2" t="s">
        <v>925</v>
      </c>
      <c r="C537" s="2" t="n">
        <v>2</v>
      </c>
      <c r="D537" s="2" t="s">
        <v>140</v>
      </c>
      <c r="E537" s="2" t="s">
        <v>141</v>
      </c>
      <c r="F537" s="2" t="s">
        <v>142</v>
      </c>
      <c r="G537" s="2" t="s">
        <v>143</v>
      </c>
      <c r="H537" s="7"/>
    </row>
    <row r="538" customFormat="false" ht="23.85" hidden="false" customHeight="false" outlineLevel="0" collapsed="false">
      <c r="A538" s="2" t="s">
        <v>930</v>
      </c>
      <c r="B538" s="2" t="s">
        <v>931</v>
      </c>
      <c r="C538" s="2" t="n">
        <v>3</v>
      </c>
      <c r="D538" s="2" t="s">
        <v>926</v>
      </c>
      <c r="E538" s="2" t="s">
        <v>141</v>
      </c>
      <c r="F538" s="2" t="s">
        <v>927</v>
      </c>
      <c r="G538" s="2" t="s">
        <v>143</v>
      </c>
      <c r="H538" s="7"/>
    </row>
    <row r="539" customFormat="false" ht="23.85" hidden="false" customHeight="false" outlineLevel="0" collapsed="false">
      <c r="A539" s="2" t="s">
        <v>930</v>
      </c>
      <c r="B539" s="2" t="s">
        <v>931</v>
      </c>
      <c r="C539" s="2" t="n">
        <v>3</v>
      </c>
      <c r="D539" s="2" t="s">
        <v>928</v>
      </c>
      <c r="E539" s="2" t="s">
        <v>141</v>
      </c>
      <c r="F539" s="2" t="s">
        <v>929</v>
      </c>
      <c r="G539" s="2" t="s">
        <v>143</v>
      </c>
      <c r="H539" s="7"/>
    </row>
    <row r="540" customFormat="false" ht="23.85" hidden="false" customHeight="false" outlineLevel="0" collapsed="false">
      <c r="A540" s="2" t="s">
        <v>930</v>
      </c>
      <c r="B540" s="2" t="s">
        <v>931</v>
      </c>
      <c r="C540" s="2" t="n">
        <v>3</v>
      </c>
      <c r="D540" s="2" t="s">
        <v>140</v>
      </c>
      <c r="E540" s="2" t="s">
        <v>141</v>
      </c>
      <c r="F540" s="2" t="s">
        <v>142</v>
      </c>
      <c r="G540" s="2" t="s">
        <v>143</v>
      </c>
      <c r="H540" s="7"/>
    </row>
    <row r="541" customFormat="false" ht="23.85" hidden="false" customHeight="false" outlineLevel="0" collapsed="false">
      <c r="A541" s="2" t="s">
        <v>930</v>
      </c>
      <c r="B541" s="2" t="s">
        <v>931</v>
      </c>
      <c r="C541" s="2" t="n">
        <v>3</v>
      </c>
      <c r="D541" s="2" t="s">
        <v>932</v>
      </c>
      <c r="E541" s="2" t="s">
        <v>149</v>
      </c>
      <c r="F541" s="2" t="s">
        <v>933</v>
      </c>
      <c r="G541" s="2" t="s">
        <v>151</v>
      </c>
      <c r="H541" s="7"/>
    </row>
    <row r="542" customFormat="false" ht="23.85" hidden="false" customHeight="false" outlineLevel="0" collapsed="false">
      <c r="A542" s="2" t="s">
        <v>930</v>
      </c>
      <c r="B542" s="2" t="s">
        <v>931</v>
      </c>
      <c r="C542" s="2" t="n">
        <v>3</v>
      </c>
      <c r="D542" s="2" t="s">
        <v>934</v>
      </c>
      <c r="E542" s="2" t="s">
        <v>149</v>
      </c>
      <c r="F542" s="2" t="s">
        <v>935</v>
      </c>
      <c r="G542" s="2" t="s">
        <v>151</v>
      </c>
      <c r="H542" s="7"/>
    </row>
    <row r="543" customFormat="false" ht="15" hidden="false" customHeight="false" outlineLevel="0" collapsed="false">
      <c r="A543" s="2" t="s">
        <v>936</v>
      </c>
      <c r="B543" s="2" t="s">
        <v>937</v>
      </c>
      <c r="C543" s="2" t="n">
        <v>3</v>
      </c>
      <c r="D543" s="2" t="s">
        <v>926</v>
      </c>
      <c r="E543" s="2" t="s">
        <v>141</v>
      </c>
      <c r="F543" s="2" t="s">
        <v>927</v>
      </c>
      <c r="G543" s="2" t="s">
        <v>143</v>
      </c>
      <c r="H543" s="7"/>
    </row>
    <row r="544" customFormat="false" ht="15" hidden="false" customHeight="false" outlineLevel="0" collapsed="false">
      <c r="A544" s="2" t="s">
        <v>936</v>
      </c>
      <c r="B544" s="2" t="s">
        <v>937</v>
      </c>
      <c r="C544" s="2" t="n">
        <v>3</v>
      </c>
      <c r="D544" s="2" t="s">
        <v>316</v>
      </c>
      <c r="E544" s="2" t="s">
        <v>47</v>
      </c>
      <c r="F544" s="2" t="s">
        <v>317</v>
      </c>
      <c r="G544" s="2" t="s">
        <v>49</v>
      </c>
      <c r="H544" s="7"/>
    </row>
    <row r="545" customFormat="false" ht="15" hidden="false" customHeight="false" outlineLevel="0" collapsed="false">
      <c r="A545" s="2" t="s">
        <v>938</v>
      </c>
      <c r="B545" s="2" t="s">
        <v>939</v>
      </c>
      <c r="C545" s="2" t="n">
        <v>2</v>
      </c>
      <c r="D545" s="2" t="s">
        <v>130</v>
      </c>
      <c r="E545" s="2" t="s">
        <v>103</v>
      </c>
      <c r="F545" s="2" t="s">
        <v>131</v>
      </c>
      <c r="G545" s="2" t="s">
        <v>105</v>
      </c>
      <c r="H545" s="7"/>
    </row>
    <row r="546" customFormat="false" ht="15" hidden="false" customHeight="false" outlineLevel="0" collapsed="false">
      <c r="A546" s="2" t="s">
        <v>938</v>
      </c>
      <c r="B546" s="2" t="s">
        <v>939</v>
      </c>
      <c r="C546" s="2" t="n">
        <v>2</v>
      </c>
      <c r="D546" s="2" t="s">
        <v>786</v>
      </c>
      <c r="E546" s="2" t="s">
        <v>57</v>
      </c>
      <c r="F546" s="2" t="s">
        <v>787</v>
      </c>
      <c r="G546" s="2" t="s">
        <v>59</v>
      </c>
      <c r="H546" s="7"/>
    </row>
    <row r="547" customFormat="false" ht="15" hidden="false" customHeight="false" outlineLevel="0" collapsed="false">
      <c r="A547" s="2" t="s">
        <v>940</v>
      </c>
      <c r="B547" s="2" t="s">
        <v>941</v>
      </c>
      <c r="C547" s="2" t="n">
        <v>3</v>
      </c>
      <c r="D547" s="2" t="s">
        <v>130</v>
      </c>
      <c r="E547" s="2" t="s">
        <v>103</v>
      </c>
      <c r="F547" s="2" t="s">
        <v>131</v>
      </c>
      <c r="G547" s="2" t="s">
        <v>105</v>
      </c>
      <c r="H547" s="7"/>
    </row>
    <row r="548" customFormat="false" ht="15" hidden="false" customHeight="false" outlineLevel="0" collapsed="false">
      <c r="A548" s="2" t="s">
        <v>940</v>
      </c>
      <c r="B548" s="2" t="s">
        <v>941</v>
      </c>
      <c r="C548" s="2" t="n">
        <v>3</v>
      </c>
      <c r="D548" s="2" t="s">
        <v>293</v>
      </c>
      <c r="E548" s="2" t="s">
        <v>183</v>
      </c>
      <c r="F548" s="2" t="s">
        <v>294</v>
      </c>
      <c r="G548" s="2" t="s">
        <v>151</v>
      </c>
      <c r="H548" s="7"/>
    </row>
    <row r="549" customFormat="false" ht="15" hidden="false" customHeight="false" outlineLevel="0" collapsed="false">
      <c r="A549" s="2" t="s">
        <v>940</v>
      </c>
      <c r="B549" s="2" t="s">
        <v>941</v>
      </c>
      <c r="C549" s="2" t="n">
        <v>3</v>
      </c>
      <c r="D549" s="2" t="s">
        <v>786</v>
      </c>
      <c r="E549" s="2" t="s">
        <v>57</v>
      </c>
      <c r="F549" s="2" t="s">
        <v>787</v>
      </c>
      <c r="G549" s="2" t="s">
        <v>59</v>
      </c>
      <c r="H549" s="7"/>
    </row>
    <row r="550" customFormat="false" ht="15" hidden="false" customHeight="false" outlineLevel="0" collapsed="false">
      <c r="A550" s="2" t="s">
        <v>942</v>
      </c>
      <c r="B550" s="2" t="s">
        <v>943</v>
      </c>
      <c r="C550" s="2" t="n">
        <v>2</v>
      </c>
      <c r="D550" s="2" t="s">
        <v>56</v>
      </c>
      <c r="E550" s="2" t="s">
        <v>57</v>
      </c>
      <c r="F550" s="2" t="s">
        <v>58</v>
      </c>
      <c r="G550" s="2" t="s">
        <v>59</v>
      </c>
      <c r="H550" s="7"/>
    </row>
    <row r="551" customFormat="false" ht="15" hidden="false" customHeight="false" outlineLevel="0" collapsed="false">
      <c r="A551" s="2" t="s">
        <v>944</v>
      </c>
      <c r="B551" s="2" t="s">
        <v>945</v>
      </c>
      <c r="C551" s="2" t="n">
        <v>3</v>
      </c>
      <c r="D551" s="2" t="s">
        <v>56</v>
      </c>
      <c r="E551" s="2" t="s">
        <v>57</v>
      </c>
      <c r="F551" s="2" t="s">
        <v>58</v>
      </c>
      <c r="G551" s="2" t="s">
        <v>59</v>
      </c>
      <c r="H551" s="7"/>
    </row>
    <row r="552" customFormat="false" ht="15" hidden="false" customHeight="false" outlineLevel="0" collapsed="false">
      <c r="A552" s="2" t="s">
        <v>944</v>
      </c>
      <c r="B552" s="2" t="s">
        <v>945</v>
      </c>
      <c r="C552" s="2" t="n">
        <v>3</v>
      </c>
      <c r="D552" s="2" t="s">
        <v>46</v>
      </c>
      <c r="E552" s="2" t="s">
        <v>47</v>
      </c>
      <c r="F552" s="2" t="s">
        <v>48</v>
      </c>
      <c r="G552" s="2" t="s">
        <v>49</v>
      </c>
      <c r="H552" s="7"/>
    </row>
    <row r="553" customFormat="false" ht="23.85" hidden="false" customHeight="false" outlineLevel="0" collapsed="false">
      <c r="A553" s="2" t="s">
        <v>946</v>
      </c>
      <c r="B553" s="2" t="s">
        <v>947</v>
      </c>
      <c r="C553" s="2" t="n">
        <v>3</v>
      </c>
      <c r="D553" s="2" t="s">
        <v>56</v>
      </c>
      <c r="E553" s="2" t="s">
        <v>57</v>
      </c>
      <c r="F553" s="2" t="s">
        <v>58</v>
      </c>
      <c r="G553" s="2" t="s">
        <v>59</v>
      </c>
      <c r="H553" s="7"/>
    </row>
    <row r="554" customFormat="false" ht="23.85" hidden="false" customHeight="false" outlineLevel="0" collapsed="false">
      <c r="A554" s="2" t="s">
        <v>946</v>
      </c>
      <c r="B554" s="2" t="s">
        <v>947</v>
      </c>
      <c r="C554" s="2" t="n">
        <v>3</v>
      </c>
      <c r="D554" s="2" t="s">
        <v>108</v>
      </c>
      <c r="E554" s="2" t="s">
        <v>109</v>
      </c>
      <c r="F554" s="2" t="s">
        <v>110</v>
      </c>
      <c r="G554" s="2" t="s">
        <v>111</v>
      </c>
      <c r="H554" s="7"/>
    </row>
    <row r="555" customFormat="false" ht="23.85" hidden="false" customHeight="false" outlineLevel="0" collapsed="false">
      <c r="A555" s="2" t="s">
        <v>946</v>
      </c>
      <c r="B555" s="2" t="s">
        <v>947</v>
      </c>
      <c r="C555" s="2" t="n">
        <v>3</v>
      </c>
      <c r="D555" s="2" t="s">
        <v>197</v>
      </c>
      <c r="E555" s="2" t="s">
        <v>183</v>
      </c>
      <c r="F555" s="2" t="s">
        <v>198</v>
      </c>
      <c r="G555" s="2" t="s">
        <v>151</v>
      </c>
      <c r="H555" s="7"/>
    </row>
    <row r="556" customFormat="false" ht="15" hidden="false" customHeight="false" outlineLevel="0" collapsed="false">
      <c r="A556" s="2" t="s">
        <v>948</v>
      </c>
      <c r="B556" s="2" t="s">
        <v>949</v>
      </c>
      <c r="C556" s="2" t="n">
        <v>3</v>
      </c>
      <c r="D556" s="2" t="s">
        <v>56</v>
      </c>
      <c r="E556" s="2" t="s">
        <v>57</v>
      </c>
      <c r="F556" s="2" t="s">
        <v>58</v>
      </c>
      <c r="G556" s="2" t="s">
        <v>59</v>
      </c>
      <c r="H556" s="7"/>
    </row>
    <row r="557" customFormat="false" ht="15" hidden="false" customHeight="false" outlineLevel="0" collapsed="false">
      <c r="A557" s="2" t="s">
        <v>948</v>
      </c>
      <c r="B557" s="2" t="s">
        <v>949</v>
      </c>
      <c r="C557" s="2" t="n">
        <v>3</v>
      </c>
      <c r="D557" s="2" t="s">
        <v>852</v>
      </c>
      <c r="E557" s="2" t="s">
        <v>109</v>
      </c>
      <c r="F557" s="2" t="s">
        <v>853</v>
      </c>
      <c r="G557" s="2" t="s">
        <v>111</v>
      </c>
      <c r="H557" s="7"/>
    </row>
    <row r="558" customFormat="false" ht="15" hidden="false" customHeight="false" outlineLevel="0" collapsed="false">
      <c r="A558" s="2" t="s">
        <v>950</v>
      </c>
      <c r="B558" s="2" t="s">
        <v>951</v>
      </c>
      <c r="C558" s="2" t="n">
        <v>2</v>
      </c>
      <c r="D558" s="2" t="s">
        <v>952</v>
      </c>
      <c r="E558" s="2" t="s">
        <v>103</v>
      </c>
      <c r="F558" s="2" t="s">
        <v>953</v>
      </c>
      <c r="G558" s="2" t="s">
        <v>105</v>
      </c>
      <c r="H558" s="7"/>
    </row>
    <row r="559" customFormat="false" ht="23.85" hidden="false" customHeight="false" outlineLevel="0" collapsed="false">
      <c r="A559" s="2" t="s">
        <v>954</v>
      </c>
      <c r="B559" s="2" t="s">
        <v>955</v>
      </c>
      <c r="C559" s="2" t="n">
        <v>3</v>
      </c>
      <c r="D559" s="2" t="s">
        <v>952</v>
      </c>
      <c r="E559" s="2" t="s">
        <v>103</v>
      </c>
      <c r="F559" s="2" t="s">
        <v>953</v>
      </c>
      <c r="G559" s="2" t="s">
        <v>105</v>
      </c>
      <c r="H559" s="7"/>
    </row>
    <row r="560" customFormat="false" ht="23.85" hidden="false" customHeight="false" outlineLevel="0" collapsed="false">
      <c r="A560" s="2" t="s">
        <v>954</v>
      </c>
      <c r="B560" s="2" t="s">
        <v>955</v>
      </c>
      <c r="C560" s="2" t="n">
        <v>3</v>
      </c>
      <c r="D560" s="2" t="s">
        <v>332</v>
      </c>
      <c r="E560" s="2" t="s">
        <v>183</v>
      </c>
      <c r="F560" s="2" t="s">
        <v>333</v>
      </c>
      <c r="G560" s="2" t="s">
        <v>151</v>
      </c>
      <c r="H560" s="7"/>
    </row>
    <row r="561" customFormat="false" ht="23.85" hidden="false" customHeight="false" outlineLevel="0" collapsed="false">
      <c r="A561" s="2" t="s">
        <v>954</v>
      </c>
      <c r="B561" s="2" t="s">
        <v>955</v>
      </c>
      <c r="C561" s="2" t="n">
        <v>3</v>
      </c>
      <c r="D561" s="2" t="s">
        <v>956</v>
      </c>
      <c r="E561" s="2" t="s">
        <v>163</v>
      </c>
      <c r="F561" s="2" t="s">
        <v>957</v>
      </c>
      <c r="G561" s="2" t="s">
        <v>165</v>
      </c>
      <c r="H561" s="7"/>
    </row>
    <row r="562" customFormat="false" ht="15" hidden="false" customHeight="false" outlineLevel="0" collapsed="false">
      <c r="A562" s="2" t="s">
        <v>958</v>
      </c>
      <c r="B562" s="2" t="s">
        <v>959</v>
      </c>
      <c r="C562" s="2" t="n">
        <v>3</v>
      </c>
      <c r="D562" s="2" t="s">
        <v>956</v>
      </c>
      <c r="E562" s="2" t="s">
        <v>163</v>
      </c>
      <c r="F562" s="2" t="s">
        <v>957</v>
      </c>
      <c r="G562" s="2" t="s">
        <v>165</v>
      </c>
      <c r="H562" s="7"/>
    </row>
    <row r="563" customFormat="false" ht="15" hidden="false" customHeight="false" outlineLevel="0" collapsed="false">
      <c r="A563" s="2" t="s">
        <v>958</v>
      </c>
      <c r="B563" s="2" t="s">
        <v>959</v>
      </c>
      <c r="C563" s="2" t="n">
        <v>3</v>
      </c>
      <c r="D563" s="2" t="s">
        <v>868</v>
      </c>
      <c r="E563" s="2" t="s">
        <v>163</v>
      </c>
      <c r="F563" s="2" t="s">
        <v>869</v>
      </c>
      <c r="G563" s="2" t="s">
        <v>165</v>
      </c>
      <c r="H563" s="7"/>
    </row>
    <row r="564" customFormat="false" ht="23.85" hidden="false" customHeight="false" outlineLevel="0" collapsed="false">
      <c r="A564" s="2" t="s">
        <v>958</v>
      </c>
      <c r="B564" s="2" t="s">
        <v>959</v>
      </c>
      <c r="C564" s="2" t="n">
        <v>3</v>
      </c>
      <c r="D564" s="2" t="s">
        <v>358</v>
      </c>
      <c r="E564" s="2" t="s">
        <v>47</v>
      </c>
      <c r="F564" s="2" t="s">
        <v>359</v>
      </c>
      <c r="G564" s="2" t="s">
        <v>49</v>
      </c>
      <c r="H564" s="7"/>
    </row>
    <row r="565" customFormat="false" ht="15" hidden="false" customHeight="false" outlineLevel="0" collapsed="false">
      <c r="A565" s="2" t="s">
        <v>960</v>
      </c>
      <c r="B565" s="2" t="s">
        <v>961</v>
      </c>
      <c r="C565" s="2" t="n">
        <v>2</v>
      </c>
      <c r="D565" s="2" t="s">
        <v>102</v>
      </c>
      <c r="E565" s="2" t="s">
        <v>103</v>
      </c>
      <c r="F565" s="2" t="s">
        <v>104</v>
      </c>
      <c r="G565" s="2" t="s">
        <v>105</v>
      </c>
      <c r="H565" s="7"/>
    </row>
    <row r="566" customFormat="false" ht="15" hidden="false" customHeight="false" outlineLevel="0" collapsed="false">
      <c r="A566" s="2" t="s">
        <v>960</v>
      </c>
      <c r="B566" s="2" t="s">
        <v>961</v>
      </c>
      <c r="C566" s="2" t="n">
        <v>2</v>
      </c>
      <c r="D566" s="2" t="s">
        <v>279</v>
      </c>
      <c r="E566" s="2" t="s">
        <v>103</v>
      </c>
      <c r="F566" s="2" t="s">
        <v>280</v>
      </c>
      <c r="G566" s="2" t="s">
        <v>105</v>
      </c>
      <c r="H566" s="7"/>
    </row>
    <row r="567" customFormat="false" ht="15" hidden="false" customHeight="false" outlineLevel="0" collapsed="false">
      <c r="A567" s="2" t="s">
        <v>962</v>
      </c>
      <c r="B567" s="2" t="s">
        <v>963</v>
      </c>
      <c r="C567" s="2" t="n">
        <v>3</v>
      </c>
      <c r="D567" s="2" t="s">
        <v>102</v>
      </c>
      <c r="E567" s="2" t="s">
        <v>103</v>
      </c>
      <c r="F567" s="2" t="s">
        <v>104</v>
      </c>
      <c r="G567" s="2" t="s">
        <v>105</v>
      </c>
      <c r="H567" s="7"/>
    </row>
    <row r="568" customFormat="false" ht="15" hidden="false" customHeight="false" outlineLevel="0" collapsed="false">
      <c r="A568" s="2" t="s">
        <v>962</v>
      </c>
      <c r="B568" s="2" t="s">
        <v>963</v>
      </c>
      <c r="C568" s="2" t="n">
        <v>3</v>
      </c>
      <c r="D568" s="2" t="s">
        <v>46</v>
      </c>
      <c r="E568" s="2" t="s">
        <v>47</v>
      </c>
      <c r="F568" s="2" t="s">
        <v>48</v>
      </c>
      <c r="G568" s="2" t="s">
        <v>49</v>
      </c>
      <c r="H568" s="7"/>
    </row>
    <row r="569" customFormat="false" ht="15" hidden="false" customHeight="false" outlineLevel="0" collapsed="false">
      <c r="A569" s="2" t="s">
        <v>964</v>
      </c>
      <c r="B569" s="2" t="s">
        <v>965</v>
      </c>
      <c r="C569" s="2" t="n">
        <v>3</v>
      </c>
      <c r="D569" s="2" t="s">
        <v>279</v>
      </c>
      <c r="E569" s="2" t="s">
        <v>103</v>
      </c>
      <c r="F569" s="2" t="s">
        <v>280</v>
      </c>
      <c r="G569" s="2" t="s">
        <v>105</v>
      </c>
      <c r="H569" s="7"/>
    </row>
    <row r="570" customFormat="false" ht="15" hidden="false" customHeight="false" outlineLevel="0" collapsed="false">
      <c r="A570" s="2" t="s">
        <v>964</v>
      </c>
      <c r="B570" s="2" t="s">
        <v>965</v>
      </c>
      <c r="C570" s="2" t="n">
        <v>3</v>
      </c>
      <c r="D570" s="2" t="s">
        <v>277</v>
      </c>
      <c r="E570" s="2" t="s">
        <v>63</v>
      </c>
      <c r="F570" s="2" t="s">
        <v>278</v>
      </c>
      <c r="G570" s="2" t="s">
        <v>65</v>
      </c>
      <c r="H570" s="7"/>
    </row>
    <row r="571" customFormat="false" ht="15" hidden="false" customHeight="false" outlineLevel="0" collapsed="false">
      <c r="A571" s="2" t="s">
        <v>964</v>
      </c>
      <c r="B571" s="2" t="s">
        <v>965</v>
      </c>
      <c r="C571" s="2" t="n">
        <v>3</v>
      </c>
      <c r="D571" s="2" t="s">
        <v>346</v>
      </c>
      <c r="E571" s="2" t="s">
        <v>183</v>
      </c>
      <c r="F571" s="2" t="s">
        <v>347</v>
      </c>
      <c r="G571" s="2" t="s">
        <v>151</v>
      </c>
      <c r="H571" s="7"/>
    </row>
    <row r="572" customFormat="false" ht="15" hidden="false" customHeight="false" outlineLevel="0" collapsed="false">
      <c r="A572" s="2" t="s">
        <v>966</v>
      </c>
      <c r="B572" s="2" t="s">
        <v>232</v>
      </c>
      <c r="C572" s="2" t="n">
        <v>2</v>
      </c>
      <c r="D572" s="2" t="s">
        <v>225</v>
      </c>
      <c r="E572" s="2" t="s">
        <v>103</v>
      </c>
      <c r="F572" s="2" t="s">
        <v>226</v>
      </c>
      <c r="G572" s="2" t="s">
        <v>105</v>
      </c>
      <c r="H572" s="7"/>
    </row>
    <row r="573" customFormat="false" ht="15" hidden="false" customHeight="false" outlineLevel="0" collapsed="false">
      <c r="A573" s="2" t="s">
        <v>966</v>
      </c>
      <c r="B573" s="2" t="s">
        <v>232</v>
      </c>
      <c r="C573" s="2" t="n">
        <v>2</v>
      </c>
      <c r="D573" s="2" t="s">
        <v>227</v>
      </c>
      <c r="E573" s="2" t="s">
        <v>228</v>
      </c>
      <c r="F573" s="2" t="s">
        <v>229</v>
      </c>
      <c r="G573" s="2" t="s">
        <v>230</v>
      </c>
      <c r="H573" s="7"/>
    </row>
    <row r="574" customFormat="false" ht="15" hidden="false" customHeight="false" outlineLevel="0" collapsed="false">
      <c r="A574" s="2" t="s">
        <v>967</v>
      </c>
      <c r="B574" s="2" t="s">
        <v>968</v>
      </c>
      <c r="C574" s="2" t="n">
        <v>3</v>
      </c>
      <c r="D574" s="2" t="s">
        <v>225</v>
      </c>
      <c r="E574" s="2" t="s">
        <v>103</v>
      </c>
      <c r="F574" s="2" t="s">
        <v>226</v>
      </c>
      <c r="G574" s="2" t="s">
        <v>105</v>
      </c>
      <c r="H574" s="7"/>
    </row>
    <row r="575" customFormat="false" ht="15" hidden="false" customHeight="false" outlineLevel="0" collapsed="false">
      <c r="A575" s="2" t="s">
        <v>967</v>
      </c>
      <c r="B575" s="2" t="s">
        <v>968</v>
      </c>
      <c r="C575" s="2" t="n">
        <v>3</v>
      </c>
      <c r="D575" s="2" t="s">
        <v>231</v>
      </c>
      <c r="E575" s="2" t="s">
        <v>63</v>
      </c>
      <c r="F575" s="2" t="s">
        <v>232</v>
      </c>
      <c r="G575" s="2" t="s">
        <v>65</v>
      </c>
      <c r="H575" s="7"/>
    </row>
    <row r="576" customFormat="false" ht="15" hidden="false" customHeight="false" outlineLevel="0" collapsed="false">
      <c r="A576" s="2" t="s">
        <v>969</v>
      </c>
      <c r="B576" s="2" t="s">
        <v>970</v>
      </c>
      <c r="C576" s="2" t="n">
        <v>3</v>
      </c>
      <c r="D576" s="2" t="s">
        <v>332</v>
      </c>
      <c r="E576" s="2" t="s">
        <v>183</v>
      </c>
      <c r="F576" s="2" t="s">
        <v>333</v>
      </c>
      <c r="G576" s="2" t="s">
        <v>151</v>
      </c>
      <c r="H576" s="7"/>
    </row>
    <row r="577" customFormat="false" ht="15" hidden="false" customHeight="false" outlineLevel="0" collapsed="false">
      <c r="A577" s="2" t="s">
        <v>969</v>
      </c>
      <c r="B577" s="2" t="s">
        <v>970</v>
      </c>
      <c r="C577" s="2" t="n">
        <v>3</v>
      </c>
      <c r="D577" s="2" t="s">
        <v>225</v>
      </c>
      <c r="E577" s="2" t="s">
        <v>103</v>
      </c>
      <c r="F577" s="2" t="s">
        <v>226</v>
      </c>
      <c r="G577" s="2" t="s">
        <v>105</v>
      </c>
      <c r="H577" s="7"/>
    </row>
    <row r="578" customFormat="false" ht="15" hidden="false" customHeight="false" outlineLevel="0" collapsed="false">
      <c r="A578" s="2" t="s">
        <v>971</v>
      </c>
      <c r="B578" s="2" t="s">
        <v>413</v>
      </c>
      <c r="C578" s="2" t="n">
        <v>2</v>
      </c>
      <c r="D578" s="2" t="s">
        <v>412</v>
      </c>
      <c r="E578" s="2" t="s">
        <v>57</v>
      </c>
      <c r="F578" s="2" t="s">
        <v>413</v>
      </c>
      <c r="G578" s="2" t="s">
        <v>59</v>
      </c>
      <c r="H578" s="7"/>
    </row>
    <row r="579" customFormat="false" ht="15" hidden="false" customHeight="false" outlineLevel="0" collapsed="false">
      <c r="A579" s="2" t="s">
        <v>972</v>
      </c>
      <c r="B579" s="2" t="s">
        <v>973</v>
      </c>
      <c r="C579" s="2" t="n">
        <v>3</v>
      </c>
      <c r="D579" s="2" t="s">
        <v>412</v>
      </c>
      <c r="E579" s="2" t="s">
        <v>57</v>
      </c>
      <c r="F579" s="2" t="s">
        <v>413</v>
      </c>
      <c r="G579" s="2" t="s">
        <v>59</v>
      </c>
      <c r="H579" s="7"/>
    </row>
    <row r="580" customFormat="false" ht="15" hidden="false" customHeight="false" outlineLevel="0" collapsed="false">
      <c r="A580" s="2" t="s">
        <v>972</v>
      </c>
      <c r="B580" s="2" t="s">
        <v>973</v>
      </c>
      <c r="C580" s="2" t="n">
        <v>3</v>
      </c>
      <c r="D580" s="2" t="s">
        <v>114</v>
      </c>
      <c r="E580" s="2" t="s">
        <v>53</v>
      </c>
      <c r="F580" s="2" t="s">
        <v>115</v>
      </c>
      <c r="G580" s="2" t="s">
        <v>55</v>
      </c>
      <c r="H580" s="7"/>
    </row>
    <row r="581" customFormat="false" ht="15" hidden="false" customHeight="false" outlineLevel="0" collapsed="false">
      <c r="A581" s="2" t="s">
        <v>972</v>
      </c>
      <c r="B581" s="2" t="s">
        <v>973</v>
      </c>
      <c r="C581" s="2" t="n">
        <v>3</v>
      </c>
      <c r="D581" s="2" t="s">
        <v>410</v>
      </c>
      <c r="E581" s="2" t="s">
        <v>236</v>
      </c>
      <c r="F581" s="2" t="s">
        <v>411</v>
      </c>
      <c r="G581" s="2" t="s">
        <v>238</v>
      </c>
      <c r="H581"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4"/>
    <col collapsed="false" customWidth="true" hidden="false" outlineLevel="0" max="3" min="3" style="0" width="70"/>
    <col collapsed="false" customWidth="true" hidden="false" outlineLevel="0" max="4" min="4" style="0" width="18"/>
    <col collapsed="false" customWidth="true" hidden="false" outlineLevel="0" max="6" min="5" style="0" width="14"/>
    <col collapsed="false" customWidth="true" hidden="false" outlineLevel="0" max="7" min="7" style="0" width="18"/>
    <col collapsed="false" customWidth="true" hidden="false" outlineLevel="0" max="8" min="8" style="0" width="30"/>
  </cols>
  <sheetData>
    <row r="1" customFormat="false" ht="30" hidden="false" customHeight="true" outlineLevel="0" collapsed="false">
      <c r="A1" s="1" t="s">
        <v>35</v>
      </c>
      <c r="B1" s="1" t="s">
        <v>974</v>
      </c>
      <c r="C1" s="1" t="s">
        <v>975</v>
      </c>
      <c r="D1" s="1" t="s">
        <v>38</v>
      </c>
      <c r="E1" s="1" t="s">
        <v>976</v>
      </c>
      <c r="F1" s="1" t="s">
        <v>977</v>
      </c>
      <c r="G1" s="1" t="s">
        <v>978</v>
      </c>
      <c r="H1" s="1" t="s">
        <v>39</v>
      </c>
    </row>
    <row r="2" customFormat="false" ht="15" hidden="false" customHeight="false" outlineLevel="0" collapsed="false">
      <c r="A2" s="2" t="s">
        <v>402</v>
      </c>
      <c r="B2" s="2" t="s">
        <v>47</v>
      </c>
      <c r="C2" s="2" t="s">
        <v>403</v>
      </c>
      <c r="D2" s="2" t="s">
        <v>49</v>
      </c>
      <c r="E2" s="2" t="n">
        <f aca="false">COUNTIF('Anh xa'!$D$2:$D$581,A2)</f>
        <v>12</v>
      </c>
      <c r="F2" s="3" t="str">
        <f aca="false">IF(E2&gt;0,"Đã phủ","THIẾU")</f>
        <v>Đã phủ</v>
      </c>
      <c r="G2" s="7" t="s">
        <v>979</v>
      </c>
      <c r="H2" s="7"/>
    </row>
    <row r="3" customFormat="false" ht="15" hidden="false" customHeight="false" outlineLevel="0" collapsed="false">
      <c r="A3" s="2" t="s">
        <v>82</v>
      </c>
      <c r="B3" s="2" t="s">
        <v>47</v>
      </c>
      <c r="C3" s="2" t="s">
        <v>83</v>
      </c>
      <c r="D3" s="2" t="s">
        <v>49</v>
      </c>
      <c r="E3" s="2" t="n">
        <f aca="false">COUNTIF('Anh xa'!$D$2:$D$581,A3)</f>
        <v>5</v>
      </c>
      <c r="F3" s="3" t="str">
        <f aca="false">IF(E3&gt;0,"Đã phủ","THIẾU")</f>
        <v>Đã phủ</v>
      </c>
      <c r="G3" s="7" t="s">
        <v>979</v>
      </c>
      <c r="H3" s="7"/>
    </row>
    <row r="4" customFormat="false" ht="15" hidden="false" customHeight="false" outlineLevel="0" collapsed="false">
      <c r="A4" s="2" t="s">
        <v>46</v>
      </c>
      <c r="B4" s="2" t="s">
        <v>47</v>
      </c>
      <c r="C4" s="2" t="s">
        <v>48</v>
      </c>
      <c r="D4" s="2" t="s">
        <v>49</v>
      </c>
      <c r="E4" s="2" t="n">
        <f aca="false">COUNTIF('Anh xa'!$D$2:$D$581,A4)</f>
        <v>4</v>
      </c>
      <c r="F4" s="3" t="str">
        <f aca="false">IF(E4&gt;0,"Đã phủ","THIẾU")</f>
        <v>Đã phủ</v>
      </c>
      <c r="G4" s="7" t="s">
        <v>979</v>
      </c>
      <c r="H4" s="7"/>
    </row>
    <row r="5" customFormat="false" ht="15" hidden="false" customHeight="false" outlineLevel="0" collapsed="false">
      <c r="A5" s="2" t="s">
        <v>176</v>
      </c>
      <c r="B5" s="2" t="s">
        <v>47</v>
      </c>
      <c r="C5" s="2" t="s">
        <v>177</v>
      </c>
      <c r="D5" s="2" t="s">
        <v>49</v>
      </c>
      <c r="E5" s="2" t="n">
        <f aca="false">COUNTIF('Anh xa'!$D$2:$D$581,A5)</f>
        <v>6</v>
      </c>
      <c r="F5" s="3" t="str">
        <f aca="false">IF(E5&gt;0,"Đã phủ","THIẾU")</f>
        <v>Đã phủ</v>
      </c>
      <c r="G5" s="7" t="s">
        <v>979</v>
      </c>
      <c r="H5" s="7"/>
    </row>
    <row r="6" customFormat="false" ht="15" hidden="false" customHeight="false" outlineLevel="0" collapsed="false">
      <c r="A6" s="2" t="s">
        <v>265</v>
      </c>
      <c r="B6" s="2" t="s">
        <v>47</v>
      </c>
      <c r="C6" s="2" t="s">
        <v>266</v>
      </c>
      <c r="D6" s="2" t="s">
        <v>49</v>
      </c>
      <c r="E6" s="2" t="n">
        <f aca="false">COUNTIF('Anh xa'!$D$2:$D$581,A6)</f>
        <v>5</v>
      </c>
      <c r="F6" s="3" t="str">
        <f aca="false">IF(E6&gt;0,"Đã phủ","THIẾU")</f>
        <v>Đã phủ</v>
      </c>
      <c r="G6" s="7" t="s">
        <v>979</v>
      </c>
      <c r="H6" s="7"/>
    </row>
    <row r="7" customFormat="false" ht="15" hidden="false" customHeight="false" outlineLevel="0" collapsed="false">
      <c r="A7" s="2" t="s">
        <v>241</v>
      </c>
      <c r="B7" s="2" t="s">
        <v>47</v>
      </c>
      <c r="C7" s="2" t="s">
        <v>242</v>
      </c>
      <c r="D7" s="2" t="s">
        <v>49</v>
      </c>
      <c r="E7" s="2" t="n">
        <f aca="false">COUNTIF('Anh xa'!$D$2:$D$581,A7)</f>
        <v>7</v>
      </c>
      <c r="F7" s="3" t="str">
        <f aca="false">IF(E7&gt;0,"Đã phủ","THIẾU")</f>
        <v>Đã phủ</v>
      </c>
      <c r="G7" s="7" t="s">
        <v>979</v>
      </c>
      <c r="H7" s="7"/>
    </row>
    <row r="8" customFormat="false" ht="15" hidden="false" customHeight="false" outlineLevel="0" collapsed="false">
      <c r="A8" s="2" t="s">
        <v>301</v>
      </c>
      <c r="B8" s="2" t="s">
        <v>47</v>
      </c>
      <c r="C8" s="2" t="s">
        <v>302</v>
      </c>
      <c r="D8" s="2" t="s">
        <v>49</v>
      </c>
      <c r="E8" s="2" t="n">
        <f aca="false">COUNTIF('Anh xa'!$D$2:$D$581,A8)</f>
        <v>4</v>
      </c>
      <c r="F8" s="3" t="str">
        <f aca="false">IF(E8&gt;0,"Đã phủ","THIẾU")</f>
        <v>Đã phủ</v>
      </c>
      <c r="G8" s="7" t="s">
        <v>979</v>
      </c>
      <c r="H8" s="7"/>
    </row>
    <row r="9" customFormat="false" ht="15" hidden="false" customHeight="false" outlineLevel="0" collapsed="false">
      <c r="A9" s="2" t="s">
        <v>316</v>
      </c>
      <c r="B9" s="2" t="s">
        <v>47</v>
      </c>
      <c r="C9" s="2" t="s">
        <v>317</v>
      </c>
      <c r="D9" s="2" t="s">
        <v>49</v>
      </c>
      <c r="E9" s="2" t="n">
        <f aca="false">COUNTIF('Anh xa'!$D$2:$D$581,A9)</f>
        <v>2</v>
      </c>
      <c r="F9" s="3" t="str">
        <f aca="false">IF(E9&gt;0,"Đã phủ","THIẾU")</f>
        <v>Đã phủ</v>
      </c>
      <c r="G9" s="7" t="s">
        <v>979</v>
      </c>
      <c r="H9" s="7"/>
    </row>
    <row r="10" customFormat="false" ht="23.85" hidden="false" customHeight="false" outlineLevel="0" collapsed="false">
      <c r="A10" s="2" t="s">
        <v>358</v>
      </c>
      <c r="B10" s="2" t="s">
        <v>47</v>
      </c>
      <c r="C10" s="2" t="s">
        <v>359</v>
      </c>
      <c r="D10" s="2" t="s">
        <v>49</v>
      </c>
      <c r="E10" s="2" t="n">
        <f aca="false">COUNTIF('Anh xa'!$D$2:$D$581,A10)</f>
        <v>3</v>
      </c>
      <c r="F10" s="3" t="str">
        <f aca="false">IF(E10&gt;0,"Đã phủ","THIẾU")</f>
        <v>Đã phủ</v>
      </c>
      <c r="G10" s="7" t="s">
        <v>979</v>
      </c>
      <c r="H10" s="7"/>
    </row>
    <row r="11" customFormat="false" ht="15" hidden="false" customHeight="false" outlineLevel="0" collapsed="false">
      <c r="A11" s="2" t="s">
        <v>160</v>
      </c>
      <c r="B11" s="2" t="s">
        <v>141</v>
      </c>
      <c r="C11" s="2" t="s">
        <v>161</v>
      </c>
      <c r="D11" s="2" t="s">
        <v>143</v>
      </c>
      <c r="E11" s="2" t="n">
        <f aca="false">COUNTIF('Anh xa'!$D$2:$D$581,A11)</f>
        <v>2</v>
      </c>
      <c r="F11" s="3" t="str">
        <f aca="false">IF(E11&gt;0,"Đã phủ","THIẾU")</f>
        <v>Đã phủ</v>
      </c>
      <c r="G11" s="7" t="s">
        <v>979</v>
      </c>
      <c r="H11" s="7"/>
    </row>
    <row r="12" customFormat="false" ht="15" hidden="false" customHeight="false" outlineLevel="0" collapsed="false">
      <c r="A12" s="2" t="s">
        <v>146</v>
      </c>
      <c r="B12" s="2" t="s">
        <v>141</v>
      </c>
      <c r="C12" s="2" t="s">
        <v>147</v>
      </c>
      <c r="D12" s="2" t="s">
        <v>143</v>
      </c>
      <c r="E12" s="2" t="n">
        <f aca="false">COUNTIF('Anh xa'!$D$2:$D$581,A12)</f>
        <v>5</v>
      </c>
      <c r="F12" s="3" t="str">
        <f aca="false">IF(E12&gt;0,"Đã phủ","THIẾU")</f>
        <v>Đã phủ</v>
      </c>
      <c r="G12" s="7" t="s">
        <v>979</v>
      </c>
      <c r="H12" s="7"/>
    </row>
    <row r="13" customFormat="false" ht="15" hidden="false" customHeight="false" outlineLevel="0" collapsed="false">
      <c r="A13" s="2" t="s">
        <v>926</v>
      </c>
      <c r="B13" s="2" t="s">
        <v>141</v>
      </c>
      <c r="C13" s="2" t="s">
        <v>927</v>
      </c>
      <c r="D13" s="2" t="s">
        <v>143</v>
      </c>
      <c r="E13" s="2" t="n">
        <f aca="false">COUNTIF('Anh xa'!$D$2:$D$581,A13)</f>
        <v>3</v>
      </c>
      <c r="F13" s="3" t="str">
        <f aca="false">IF(E13&gt;0,"Đã phủ","THIẾU")</f>
        <v>Đã phủ</v>
      </c>
      <c r="G13" s="7" t="s">
        <v>979</v>
      </c>
      <c r="H13" s="7"/>
    </row>
    <row r="14" customFormat="false" ht="15" hidden="false" customHeight="false" outlineLevel="0" collapsed="false">
      <c r="A14" s="2" t="s">
        <v>928</v>
      </c>
      <c r="B14" s="2" t="s">
        <v>141</v>
      </c>
      <c r="C14" s="2" t="s">
        <v>929</v>
      </c>
      <c r="D14" s="2" t="s">
        <v>143</v>
      </c>
      <c r="E14" s="2" t="n">
        <f aca="false">COUNTIF('Anh xa'!$D$2:$D$581,A14)</f>
        <v>2</v>
      </c>
      <c r="F14" s="3" t="str">
        <f aca="false">IF(E14&gt;0,"Đã phủ","THIẾU")</f>
        <v>Đã phủ</v>
      </c>
      <c r="G14" s="7" t="s">
        <v>979</v>
      </c>
      <c r="H14" s="7"/>
    </row>
    <row r="15" customFormat="false" ht="15" hidden="false" customHeight="false" outlineLevel="0" collapsed="false">
      <c r="A15" s="2" t="s">
        <v>140</v>
      </c>
      <c r="B15" s="2" t="s">
        <v>141</v>
      </c>
      <c r="C15" s="2" t="s">
        <v>142</v>
      </c>
      <c r="D15" s="2" t="s">
        <v>143</v>
      </c>
      <c r="E15" s="2" t="n">
        <f aca="false">COUNTIF('Anh xa'!$D$2:$D$581,A15)</f>
        <v>5</v>
      </c>
      <c r="F15" s="3" t="str">
        <f aca="false">IF(E15&gt;0,"Đã phủ","THIẾU")</f>
        <v>Đã phủ</v>
      </c>
      <c r="G15" s="7" t="s">
        <v>979</v>
      </c>
      <c r="H15" s="7"/>
    </row>
    <row r="16" customFormat="false" ht="15" hidden="false" customHeight="false" outlineLevel="0" collapsed="false">
      <c r="A16" s="2" t="s">
        <v>776</v>
      </c>
      <c r="B16" s="2" t="s">
        <v>141</v>
      </c>
      <c r="C16" s="2" t="s">
        <v>777</v>
      </c>
      <c r="D16" s="2" t="s">
        <v>143</v>
      </c>
      <c r="E16" s="2" t="n">
        <f aca="false">COUNTIF('Anh xa'!$D$2:$D$581,A16)</f>
        <v>4</v>
      </c>
      <c r="F16" s="3" t="str">
        <f aca="false">IF(E16&gt;0,"Đã phủ","THIẾU")</f>
        <v>Đã phủ</v>
      </c>
      <c r="G16" s="7" t="s">
        <v>979</v>
      </c>
      <c r="H16" s="7"/>
    </row>
    <row r="17" customFormat="false" ht="15" hidden="false" customHeight="false" outlineLevel="0" collapsed="false">
      <c r="A17" s="2" t="s">
        <v>86</v>
      </c>
      <c r="B17" s="2" t="s">
        <v>87</v>
      </c>
      <c r="C17" s="2" t="s">
        <v>88</v>
      </c>
      <c r="D17" s="2" t="s">
        <v>89</v>
      </c>
      <c r="E17" s="2" t="n">
        <f aca="false">COUNTIF('Anh xa'!$D$2:$D$581,A17)</f>
        <v>2</v>
      </c>
      <c r="F17" s="3" t="str">
        <f aca="false">IF(E17&gt;0,"Đã phủ","THIẾU")</f>
        <v>Đã phủ</v>
      </c>
      <c r="G17" s="7" t="s">
        <v>979</v>
      </c>
      <c r="H17" s="7"/>
    </row>
    <row r="18" customFormat="false" ht="15" hidden="false" customHeight="false" outlineLevel="0" collapsed="false">
      <c r="A18" s="2" t="s">
        <v>90</v>
      </c>
      <c r="B18" s="2" t="s">
        <v>87</v>
      </c>
      <c r="C18" s="2" t="s">
        <v>91</v>
      </c>
      <c r="D18" s="2" t="s">
        <v>89</v>
      </c>
      <c r="E18" s="2" t="n">
        <f aca="false">COUNTIF('Anh xa'!$D$2:$D$581,A18)</f>
        <v>2</v>
      </c>
      <c r="F18" s="3" t="str">
        <f aca="false">IF(E18&gt;0,"Đã phủ","THIẾU")</f>
        <v>Đã phủ</v>
      </c>
      <c r="G18" s="7" t="s">
        <v>979</v>
      </c>
      <c r="H18" s="7"/>
    </row>
    <row r="19" customFormat="false" ht="15" hidden="false" customHeight="false" outlineLevel="0" collapsed="false">
      <c r="A19" s="2" t="s">
        <v>92</v>
      </c>
      <c r="B19" s="2" t="s">
        <v>87</v>
      </c>
      <c r="C19" s="2" t="s">
        <v>93</v>
      </c>
      <c r="D19" s="2" t="s">
        <v>89</v>
      </c>
      <c r="E19" s="2" t="n">
        <f aca="false">COUNTIF('Anh xa'!$D$2:$D$581,A19)</f>
        <v>2</v>
      </c>
      <c r="F19" s="3" t="str">
        <f aca="false">IF(E19&gt;0,"Đã phủ","THIẾU")</f>
        <v>Đã phủ</v>
      </c>
      <c r="G19" s="7" t="s">
        <v>979</v>
      </c>
      <c r="H19" s="7"/>
    </row>
    <row r="20" customFormat="false" ht="15" hidden="false" customHeight="false" outlineLevel="0" collapsed="false">
      <c r="A20" s="2" t="s">
        <v>94</v>
      </c>
      <c r="B20" s="2" t="s">
        <v>87</v>
      </c>
      <c r="C20" s="2" t="s">
        <v>95</v>
      </c>
      <c r="D20" s="2" t="s">
        <v>89</v>
      </c>
      <c r="E20" s="2" t="n">
        <f aca="false">COUNTIF('Anh xa'!$D$2:$D$581,A20)</f>
        <v>2</v>
      </c>
      <c r="F20" s="3" t="str">
        <f aca="false">IF(E20&gt;0,"Đã phủ","THIẾU")</f>
        <v>Đã phủ</v>
      </c>
      <c r="G20" s="7" t="s">
        <v>979</v>
      </c>
      <c r="H20" s="7"/>
    </row>
    <row r="21" customFormat="false" ht="15" hidden="false" customHeight="false" outlineLevel="0" collapsed="false">
      <c r="A21" s="2" t="s">
        <v>96</v>
      </c>
      <c r="B21" s="2" t="s">
        <v>87</v>
      </c>
      <c r="C21" s="2" t="s">
        <v>97</v>
      </c>
      <c r="D21" s="2" t="s">
        <v>89</v>
      </c>
      <c r="E21" s="2" t="n">
        <f aca="false">COUNTIF('Anh xa'!$D$2:$D$581,A21)</f>
        <v>1</v>
      </c>
      <c r="F21" s="3" t="str">
        <f aca="false">IF(E21&gt;0,"Đã phủ","THIẾU")</f>
        <v>Đã phủ</v>
      </c>
      <c r="G21" s="7" t="s">
        <v>979</v>
      </c>
      <c r="H21" s="7"/>
    </row>
    <row r="22" customFormat="false" ht="15" hidden="false" customHeight="false" outlineLevel="0" collapsed="false">
      <c r="A22" s="2" t="s">
        <v>98</v>
      </c>
      <c r="B22" s="2" t="s">
        <v>87</v>
      </c>
      <c r="C22" s="2" t="s">
        <v>99</v>
      </c>
      <c r="D22" s="2" t="s">
        <v>89</v>
      </c>
      <c r="E22" s="2" t="n">
        <f aca="false">COUNTIF('Anh xa'!$D$2:$D$581,A22)</f>
        <v>1</v>
      </c>
      <c r="F22" s="3" t="str">
        <f aca="false">IF(E22&gt;0,"Đã phủ","THIẾU")</f>
        <v>Đã phủ</v>
      </c>
      <c r="G22" s="7" t="s">
        <v>979</v>
      </c>
      <c r="H22" s="7"/>
    </row>
    <row r="23" customFormat="false" ht="15" hidden="false" customHeight="false" outlineLevel="0" collapsed="false">
      <c r="A23" s="2" t="s">
        <v>100</v>
      </c>
      <c r="B23" s="2" t="s">
        <v>87</v>
      </c>
      <c r="C23" s="2" t="s">
        <v>101</v>
      </c>
      <c r="D23" s="2" t="s">
        <v>89</v>
      </c>
      <c r="E23" s="2" t="n">
        <f aca="false">COUNTIF('Anh xa'!$D$2:$D$581,A23)</f>
        <v>1</v>
      </c>
      <c r="F23" s="3" t="str">
        <f aca="false">IF(E23&gt;0,"Đã phủ","THIẾU")</f>
        <v>Đã phủ</v>
      </c>
      <c r="G23" s="7" t="s">
        <v>979</v>
      </c>
      <c r="H23" s="7"/>
    </row>
    <row r="24" customFormat="false" ht="15" hidden="false" customHeight="false" outlineLevel="0" collapsed="false">
      <c r="A24" s="2" t="s">
        <v>217</v>
      </c>
      <c r="B24" s="2" t="s">
        <v>57</v>
      </c>
      <c r="C24" s="2" t="s">
        <v>218</v>
      </c>
      <c r="D24" s="2" t="s">
        <v>59</v>
      </c>
      <c r="E24" s="2" t="n">
        <f aca="false">COUNTIF('Anh xa'!$D$2:$D$581,A24)</f>
        <v>6</v>
      </c>
      <c r="F24" s="3" t="str">
        <f aca="false">IF(E24&gt;0,"Đã phủ","THIẾU")</f>
        <v>Đã phủ</v>
      </c>
      <c r="G24" s="7" t="s">
        <v>979</v>
      </c>
      <c r="H24" s="7"/>
    </row>
    <row r="25" customFormat="false" ht="15" hidden="false" customHeight="false" outlineLevel="0" collapsed="false">
      <c r="A25" s="2" t="s">
        <v>221</v>
      </c>
      <c r="B25" s="2" t="s">
        <v>57</v>
      </c>
      <c r="C25" s="2" t="s">
        <v>222</v>
      </c>
      <c r="D25" s="2" t="s">
        <v>59</v>
      </c>
      <c r="E25" s="2" t="n">
        <f aca="false">COUNTIF('Anh xa'!$D$2:$D$581,A25)</f>
        <v>6</v>
      </c>
      <c r="F25" s="3" t="str">
        <f aca="false">IF(E25&gt;0,"Đã phủ","THIẾU")</f>
        <v>Đã phủ</v>
      </c>
      <c r="G25" s="7" t="s">
        <v>979</v>
      </c>
      <c r="H25" s="7"/>
    </row>
    <row r="26" customFormat="false" ht="15" hidden="false" customHeight="false" outlineLevel="0" collapsed="false">
      <c r="A26" s="2" t="s">
        <v>613</v>
      </c>
      <c r="B26" s="2" t="s">
        <v>57</v>
      </c>
      <c r="C26" s="2" t="s">
        <v>614</v>
      </c>
      <c r="D26" s="2" t="s">
        <v>59</v>
      </c>
      <c r="E26" s="2" t="n">
        <f aca="false">COUNTIF('Anh xa'!$D$2:$D$581,A26)</f>
        <v>6</v>
      </c>
      <c r="F26" s="3" t="str">
        <f aca="false">IF(E26&gt;0,"Đã phủ","THIẾU")</f>
        <v>Đã phủ</v>
      </c>
      <c r="G26" s="7" t="s">
        <v>979</v>
      </c>
      <c r="H26" s="7"/>
    </row>
    <row r="27" customFormat="false" ht="15" hidden="false" customHeight="false" outlineLevel="0" collapsed="false">
      <c r="A27" s="2" t="s">
        <v>420</v>
      </c>
      <c r="B27" s="2" t="s">
        <v>57</v>
      </c>
      <c r="C27" s="2" t="s">
        <v>421</v>
      </c>
      <c r="D27" s="2" t="s">
        <v>59</v>
      </c>
      <c r="E27" s="2" t="n">
        <f aca="false">COUNTIF('Anh xa'!$D$2:$D$581,A27)</f>
        <v>4</v>
      </c>
      <c r="F27" s="3" t="str">
        <f aca="false">IF(E27&gt;0,"Đã phủ","THIẾU")</f>
        <v>Đã phủ</v>
      </c>
      <c r="G27" s="7" t="s">
        <v>979</v>
      </c>
      <c r="H27" s="7"/>
    </row>
    <row r="28" customFormat="false" ht="15" hidden="false" customHeight="false" outlineLevel="0" collapsed="false">
      <c r="A28" s="2" t="s">
        <v>715</v>
      </c>
      <c r="B28" s="2" t="s">
        <v>57</v>
      </c>
      <c r="C28" s="2" t="s">
        <v>716</v>
      </c>
      <c r="D28" s="2" t="s">
        <v>59</v>
      </c>
      <c r="E28" s="2" t="n">
        <f aca="false">COUNTIF('Anh xa'!$D$2:$D$581,A28)</f>
        <v>3</v>
      </c>
      <c r="F28" s="3" t="str">
        <f aca="false">IF(E28&gt;0,"Đã phủ","THIẾU")</f>
        <v>Đã phủ</v>
      </c>
      <c r="G28" s="7" t="s">
        <v>979</v>
      </c>
      <c r="H28" s="7"/>
    </row>
    <row r="29" customFormat="false" ht="15" hidden="false" customHeight="false" outlineLevel="0" collapsed="false">
      <c r="A29" s="2" t="s">
        <v>511</v>
      </c>
      <c r="B29" s="2" t="s">
        <v>57</v>
      </c>
      <c r="C29" s="2" t="s">
        <v>512</v>
      </c>
      <c r="D29" s="2" t="s">
        <v>59</v>
      </c>
      <c r="E29" s="2" t="n">
        <f aca="false">COUNTIF('Anh xa'!$D$2:$D$581,A29)</f>
        <v>2</v>
      </c>
      <c r="F29" s="3" t="str">
        <f aca="false">IF(E29&gt;0,"Đã phủ","THIẾU")</f>
        <v>Đã phủ</v>
      </c>
      <c r="G29" s="7" t="s">
        <v>979</v>
      </c>
      <c r="H29" s="7"/>
    </row>
    <row r="30" customFormat="false" ht="15" hidden="false" customHeight="false" outlineLevel="0" collapsed="false">
      <c r="A30" s="2" t="s">
        <v>464</v>
      </c>
      <c r="B30" s="2" t="s">
        <v>57</v>
      </c>
      <c r="C30" s="2" t="s">
        <v>465</v>
      </c>
      <c r="D30" s="2" t="s">
        <v>59</v>
      </c>
      <c r="E30" s="2" t="n">
        <f aca="false">COUNTIF('Anh xa'!$D$2:$D$581,A30)</f>
        <v>2</v>
      </c>
      <c r="F30" s="3" t="str">
        <f aca="false">IF(E30&gt;0,"Đã phủ","THIẾU")</f>
        <v>Đã phủ</v>
      </c>
      <c r="G30" s="7" t="s">
        <v>979</v>
      </c>
      <c r="H30" s="7"/>
    </row>
    <row r="31" customFormat="false" ht="15" hidden="false" customHeight="false" outlineLevel="0" collapsed="false">
      <c r="A31" s="2" t="s">
        <v>517</v>
      </c>
      <c r="B31" s="2" t="s">
        <v>57</v>
      </c>
      <c r="C31" s="2" t="s">
        <v>516</v>
      </c>
      <c r="D31" s="2" t="s">
        <v>59</v>
      </c>
      <c r="E31" s="2" t="n">
        <f aca="false">COUNTIF('Anh xa'!$D$2:$D$581,A31)</f>
        <v>2</v>
      </c>
      <c r="F31" s="3" t="str">
        <f aca="false">IF(E31&gt;0,"Đã phủ","THIẾU")</f>
        <v>Đã phủ</v>
      </c>
      <c r="G31" s="7" t="s">
        <v>979</v>
      </c>
      <c r="H31" s="7"/>
    </row>
    <row r="32" customFormat="false" ht="15" hidden="false" customHeight="false" outlineLevel="0" collapsed="false">
      <c r="A32" s="2" t="s">
        <v>654</v>
      </c>
      <c r="B32" s="2" t="s">
        <v>57</v>
      </c>
      <c r="C32" s="2" t="s">
        <v>655</v>
      </c>
      <c r="D32" s="2" t="s">
        <v>59</v>
      </c>
      <c r="E32" s="2" t="n">
        <f aca="false">COUNTIF('Anh xa'!$D$2:$D$581,A32)</f>
        <v>2</v>
      </c>
      <c r="F32" s="3" t="str">
        <f aca="false">IF(E32&gt;0,"Đã phủ","THIẾU")</f>
        <v>Đã phủ</v>
      </c>
      <c r="G32" s="7" t="s">
        <v>979</v>
      </c>
      <c r="H32" s="7"/>
    </row>
    <row r="33" customFormat="false" ht="15" hidden="false" customHeight="false" outlineLevel="0" collapsed="false">
      <c r="A33" s="2" t="s">
        <v>754</v>
      </c>
      <c r="B33" s="2" t="s">
        <v>57</v>
      </c>
      <c r="C33" s="2" t="s">
        <v>755</v>
      </c>
      <c r="D33" s="2" t="s">
        <v>59</v>
      </c>
      <c r="E33" s="2" t="n">
        <f aca="false">COUNTIF('Anh xa'!$D$2:$D$581,A33)</f>
        <v>2</v>
      </c>
      <c r="F33" s="3" t="str">
        <f aca="false">IF(E33&gt;0,"Đã phủ","THIẾU")</f>
        <v>Đã phủ</v>
      </c>
      <c r="G33" s="7" t="s">
        <v>979</v>
      </c>
      <c r="H33" s="7"/>
    </row>
    <row r="34" customFormat="false" ht="15" hidden="false" customHeight="false" outlineLevel="0" collapsed="false">
      <c r="A34" s="2" t="s">
        <v>668</v>
      </c>
      <c r="B34" s="2" t="s">
        <v>57</v>
      </c>
      <c r="C34" s="2" t="s">
        <v>669</v>
      </c>
      <c r="D34" s="2" t="s">
        <v>59</v>
      </c>
      <c r="E34" s="2" t="n">
        <f aca="false">COUNTIF('Anh xa'!$D$2:$D$581,A34)</f>
        <v>2</v>
      </c>
      <c r="F34" s="3" t="str">
        <f aca="false">IF(E34&gt;0,"Đã phủ","THIẾU")</f>
        <v>Đã phủ</v>
      </c>
      <c r="G34" s="7" t="s">
        <v>979</v>
      </c>
      <c r="H34" s="7"/>
    </row>
    <row r="35" customFormat="false" ht="15" hidden="false" customHeight="false" outlineLevel="0" collapsed="false">
      <c r="A35" s="2" t="s">
        <v>656</v>
      </c>
      <c r="B35" s="2" t="s">
        <v>57</v>
      </c>
      <c r="C35" s="2" t="s">
        <v>657</v>
      </c>
      <c r="D35" s="2" t="s">
        <v>59</v>
      </c>
      <c r="E35" s="2" t="n">
        <f aca="false">COUNTIF('Anh xa'!$D$2:$D$581,A35)</f>
        <v>2</v>
      </c>
      <c r="F35" s="3" t="str">
        <f aca="false">IF(E35&gt;0,"Đã phủ","THIẾU")</f>
        <v>Đã phủ</v>
      </c>
      <c r="G35" s="7" t="s">
        <v>979</v>
      </c>
      <c r="H35" s="7"/>
    </row>
    <row r="36" customFormat="false" ht="15" hidden="false" customHeight="false" outlineLevel="0" collapsed="false">
      <c r="A36" s="2" t="s">
        <v>792</v>
      </c>
      <c r="B36" s="2" t="s">
        <v>57</v>
      </c>
      <c r="C36" s="2" t="s">
        <v>791</v>
      </c>
      <c r="D36" s="2" t="s">
        <v>59</v>
      </c>
      <c r="E36" s="2" t="n">
        <f aca="false">COUNTIF('Anh xa'!$D$2:$D$581,A36)</f>
        <v>1</v>
      </c>
      <c r="F36" s="3" t="str">
        <f aca="false">IF(E36&gt;0,"Đã phủ","THIẾU")</f>
        <v>Đã phủ</v>
      </c>
      <c r="G36" s="7" t="s">
        <v>979</v>
      </c>
      <c r="H36" s="7"/>
    </row>
    <row r="37" customFormat="false" ht="15" hidden="false" customHeight="false" outlineLevel="0" collapsed="false">
      <c r="A37" s="2" t="s">
        <v>577</v>
      </c>
      <c r="B37" s="2" t="s">
        <v>57</v>
      </c>
      <c r="C37" s="2" t="s">
        <v>578</v>
      </c>
      <c r="D37" s="2" t="s">
        <v>59</v>
      </c>
      <c r="E37" s="2" t="n">
        <f aca="false">COUNTIF('Anh xa'!$D$2:$D$581,A37)</f>
        <v>2</v>
      </c>
      <c r="F37" s="3" t="str">
        <f aca="false">IF(E37&gt;0,"Đã phủ","THIẾU")</f>
        <v>Đã phủ</v>
      </c>
      <c r="G37" s="7" t="s">
        <v>979</v>
      </c>
      <c r="H37" s="7"/>
    </row>
    <row r="38" customFormat="false" ht="15" hidden="false" customHeight="false" outlineLevel="0" collapsed="false">
      <c r="A38" s="2" t="s">
        <v>571</v>
      </c>
      <c r="B38" s="2" t="s">
        <v>57</v>
      </c>
      <c r="C38" s="2" t="s">
        <v>572</v>
      </c>
      <c r="D38" s="2" t="s">
        <v>59</v>
      </c>
      <c r="E38" s="2" t="n">
        <f aca="false">COUNTIF('Anh xa'!$D$2:$D$581,A38)</f>
        <v>2</v>
      </c>
      <c r="F38" s="3" t="str">
        <f aca="false">IF(E38&gt;0,"Đã phủ","THIẾU")</f>
        <v>Đã phủ</v>
      </c>
      <c r="G38" s="7" t="s">
        <v>979</v>
      </c>
      <c r="H38" s="7"/>
    </row>
    <row r="39" customFormat="false" ht="15" hidden="false" customHeight="false" outlineLevel="0" collapsed="false">
      <c r="A39" s="2" t="s">
        <v>412</v>
      </c>
      <c r="B39" s="2" t="s">
        <v>57</v>
      </c>
      <c r="C39" s="2" t="s">
        <v>413</v>
      </c>
      <c r="D39" s="2" t="s">
        <v>59</v>
      </c>
      <c r="E39" s="2" t="n">
        <f aca="false">COUNTIF('Anh xa'!$D$2:$D$581,A39)</f>
        <v>5</v>
      </c>
      <c r="F39" s="3" t="str">
        <f aca="false">IF(E39&gt;0,"Đã phủ","THIẾU")</f>
        <v>Đã phủ</v>
      </c>
      <c r="G39" s="7" t="s">
        <v>979</v>
      </c>
      <c r="H39" s="7"/>
    </row>
    <row r="40" customFormat="false" ht="15" hidden="false" customHeight="false" outlineLevel="0" collapsed="false">
      <c r="A40" s="2" t="s">
        <v>56</v>
      </c>
      <c r="B40" s="2" t="s">
        <v>57</v>
      </c>
      <c r="C40" s="2" t="s">
        <v>58</v>
      </c>
      <c r="D40" s="2" t="s">
        <v>59</v>
      </c>
      <c r="E40" s="2" t="n">
        <f aca="false">COUNTIF('Anh xa'!$D$2:$D$581,A40)</f>
        <v>8</v>
      </c>
      <c r="F40" s="3" t="str">
        <f aca="false">IF(E40&gt;0,"Đã phủ","THIẾU")</f>
        <v>Đã phủ</v>
      </c>
      <c r="G40" s="7" t="s">
        <v>979</v>
      </c>
      <c r="H40" s="7"/>
    </row>
    <row r="41" customFormat="false" ht="15" hidden="false" customHeight="false" outlineLevel="0" collapsed="false">
      <c r="A41" s="2" t="s">
        <v>786</v>
      </c>
      <c r="B41" s="2" t="s">
        <v>57</v>
      </c>
      <c r="C41" s="2" t="s">
        <v>787</v>
      </c>
      <c r="D41" s="2" t="s">
        <v>59</v>
      </c>
      <c r="E41" s="2" t="n">
        <f aca="false">COUNTIF('Anh xa'!$D$2:$D$581,A41)</f>
        <v>4</v>
      </c>
      <c r="F41" s="3" t="str">
        <f aca="false">IF(E41&gt;0,"Đã phủ","THIẾU")</f>
        <v>Đã phủ</v>
      </c>
      <c r="G41" s="7" t="s">
        <v>979</v>
      </c>
      <c r="H41" s="7"/>
    </row>
    <row r="42" customFormat="false" ht="15" hidden="false" customHeight="false" outlineLevel="0" collapsed="false">
      <c r="A42" s="2" t="s">
        <v>267</v>
      </c>
      <c r="B42" s="2" t="s">
        <v>57</v>
      </c>
      <c r="C42" s="2" t="s">
        <v>268</v>
      </c>
      <c r="D42" s="2" t="s">
        <v>59</v>
      </c>
      <c r="E42" s="2" t="n">
        <f aca="false">COUNTIF('Anh xa'!$D$2:$D$581,A42)</f>
        <v>4</v>
      </c>
      <c r="F42" s="3" t="str">
        <f aca="false">IF(E42&gt;0,"Đã phủ","THIẾU")</f>
        <v>Đã phủ</v>
      </c>
      <c r="G42" s="7" t="s">
        <v>979</v>
      </c>
      <c r="H42" s="7"/>
    </row>
    <row r="43" customFormat="false" ht="15" hidden="false" customHeight="false" outlineLevel="0" collapsed="false">
      <c r="A43" s="2" t="s">
        <v>182</v>
      </c>
      <c r="B43" s="2" t="s">
        <v>183</v>
      </c>
      <c r="C43" s="2" t="s">
        <v>184</v>
      </c>
      <c r="D43" s="2" t="s">
        <v>151</v>
      </c>
      <c r="E43" s="2" t="n">
        <f aca="false">COUNTIF('Anh xa'!$D$2:$D$581,A43)</f>
        <v>4</v>
      </c>
      <c r="F43" s="3" t="str">
        <f aca="false">IF(E43&gt;0,"Đã phủ","THIẾU")</f>
        <v>Đã phủ</v>
      </c>
      <c r="G43" s="7" t="s">
        <v>979</v>
      </c>
      <c r="H43" s="7"/>
    </row>
    <row r="44" customFormat="false" ht="15" hidden="false" customHeight="false" outlineLevel="0" collapsed="false">
      <c r="A44" s="2" t="s">
        <v>209</v>
      </c>
      <c r="B44" s="2" t="s">
        <v>183</v>
      </c>
      <c r="C44" s="2" t="s">
        <v>210</v>
      </c>
      <c r="D44" s="2" t="s">
        <v>151</v>
      </c>
      <c r="E44" s="2" t="n">
        <f aca="false">COUNTIF('Anh xa'!$D$2:$D$581,A44)</f>
        <v>6</v>
      </c>
      <c r="F44" s="3" t="str">
        <f aca="false">IF(E44&gt;0,"Đã phủ","THIẾU")</f>
        <v>Đã phủ</v>
      </c>
      <c r="G44" s="7" t="s">
        <v>979</v>
      </c>
      <c r="H44" s="7"/>
    </row>
    <row r="45" customFormat="false" ht="15" hidden="false" customHeight="false" outlineLevel="0" collapsed="false">
      <c r="A45" s="2" t="s">
        <v>567</v>
      </c>
      <c r="B45" s="2" t="s">
        <v>183</v>
      </c>
      <c r="C45" s="2" t="s">
        <v>568</v>
      </c>
      <c r="D45" s="2" t="s">
        <v>151</v>
      </c>
      <c r="E45" s="2" t="n">
        <f aca="false">COUNTIF('Anh xa'!$D$2:$D$581,A45)</f>
        <v>7</v>
      </c>
      <c r="F45" s="3" t="str">
        <f aca="false">IF(E45&gt;0,"Đã phủ","THIẾU")</f>
        <v>Đã phủ</v>
      </c>
      <c r="G45" s="7" t="s">
        <v>979</v>
      </c>
      <c r="H45" s="7"/>
    </row>
    <row r="46" customFormat="false" ht="15" hidden="false" customHeight="false" outlineLevel="0" collapsed="false">
      <c r="A46" s="2" t="s">
        <v>346</v>
      </c>
      <c r="B46" s="2" t="s">
        <v>183</v>
      </c>
      <c r="C46" s="2" t="s">
        <v>347</v>
      </c>
      <c r="D46" s="2" t="s">
        <v>151</v>
      </c>
      <c r="E46" s="2" t="n">
        <f aca="false">COUNTIF('Anh xa'!$D$2:$D$581,A46)</f>
        <v>10</v>
      </c>
      <c r="F46" s="3" t="str">
        <f aca="false">IF(E46&gt;0,"Đã phủ","THIẾU")</f>
        <v>Đã phủ</v>
      </c>
      <c r="G46" s="7" t="s">
        <v>979</v>
      </c>
      <c r="H46" s="7"/>
    </row>
    <row r="47" customFormat="false" ht="15" hidden="false" customHeight="false" outlineLevel="0" collapsed="false">
      <c r="A47" s="2" t="s">
        <v>332</v>
      </c>
      <c r="B47" s="2" t="s">
        <v>183</v>
      </c>
      <c r="C47" s="2" t="s">
        <v>333</v>
      </c>
      <c r="D47" s="2" t="s">
        <v>151</v>
      </c>
      <c r="E47" s="2" t="n">
        <f aca="false">COUNTIF('Anh xa'!$D$2:$D$581,A47)</f>
        <v>14</v>
      </c>
      <c r="F47" s="3" t="str">
        <f aca="false">IF(E47&gt;0,"Đã phủ","THIẾU")</f>
        <v>Đã phủ</v>
      </c>
      <c r="G47" s="7" t="s">
        <v>979</v>
      </c>
      <c r="H47" s="7"/>
    </row>
    <row r="48" customFormat="false" ht="15" hidden="false" customHeight="false" outlineLevel="0" collapsed="false">
      <c r="A48" s="2" t="s">
        <v>189</v>
      </c>
      <c r="B48" s="2" t="s">
        <v>183</v>
      </c>
      <c r="C48" s="2" t="s">
        <v>190</v>
      </c>
      <c r="D48" s="2" t="s">
        <v>151</v>
      </c>
      <c r="E48" s="2" t="n">
        <f aca="false">COUNTIF('Anh xa'!$D$2:$D$581,A48)</f>
        <v>5</v>
      </c>
      <c r="F48" s="3" t="str">
        <f aca="false">IF(E48&gt;0,"Đã phủ","THIẾU")</f>
        <v>Đã phủ</v>
      </c>
      <c r="G48" s="7" t="s">
        <v>979</v>
      </c>
      <c r="H48" s="7"/>
    </row>
    <row r="49" customFormat="false" ht="15" hidden="false" customHeight="false" outlineLevel="0" collapsed="false">
      <c r="A49" s="2" t="s">
        <v>195</v>
      </c>
      <c r="B49" s="2" t="s">
        <v>183</v>
      </c>
      <c r="C49" s="2" t="s">
        <v>196</v>
      </c>
      <c r="D49" s="2" t="s">
        <v>151</v>
      </c>
      <c r="E49" s="2" t="n">
        <f aca="false">COUNTIF('Anh xa'!$D$2:$D$581,A49)</f>
        <v>3</v>
      </c>
      <c r="F49" s="3" t="str">
        <f aca="false">IF(E49&gt;0,"Đã phủ","THIẾU")</f>
        <v>Đã phủ</v>
      </c>
      <c r="G49" s="7" t="s">
        <v>979</v>
      </c>
      <c r="H49" s="7"/>
    </row>
    <row r="50" customFormat="false" ht="15" hidden="false" customHeight="false" outlineLevel="0" collapsed="false">
      <c r="A50" s="2" t="s">
        <v>199</v>
      </c>
      <c r="B50" s="2" t="s">
        <v>183</v>
      </c>
      <c r="C50" s="2" t="s">
        <v>200</v>
      </c>
      <c r="D50" s="2" t="s">
        <v>151</v>
      </c>
      <c r="E50" s="2" t="n">
        <f aca="false">COUNTIF('Anh xa'!$D$2:$D$581,A50)</f>
        <v>5</v>
      </c>
      <c r="F50" s="3" t="str">
        <f aca="false">IF(E50&gt;0,"Đã phủ","THIẾU")</f>
        <v>Đã phủ</v>
      </c>
      <c r="G50" s="7" t="s">
        <v>979</v>
      </c>
      <c r="H50" s="7"/>
    </row>
    <row r="51" customFormat="false" ht="15" hidden="false" customHeight="false" outlineLevel="0" collapsed="false">
      <c r="A51" s="2" t="s">
        <v>197</v>
      </c>
      <c r="B51" s="2" t="s">
        <v>183</v>
      </c>
      <c r="C51" s="2" t="s">
        <v>198</v>
      </c>
      <c r="D51" s="2" t="s">
        <v>151</v>
      </c>
      <c r="E51" s="2" t="n">
        <f aca="false">COUNTIF('Anh xa'!$D$2:$D$581,A51)</f>
        <v>4</v>
      </c>
      <c r="F51" s="3" t="str">
        <f aca="false">IF(E51&gt;0,"Đã phủ","THIẾU")</f>
        <v>Đã phủ</v>
      </c>
      <c r="G51" s="7" t="s">
        <v>979</v>
      </c>
      <c r="H51" s="7"/>
    </row>
    <row r="52" customFormat="false" ht="15" hidden="false" customHeight="false" outlineLevel="0" collapsed="false">
      <c r="A52" s="2" t="s">
        <v>499</v>
      </c>
      <c r="B52" s="2" t="s">
        <v>183</v>
      </c>
      <c r="C52" s="2" t="s">
        <v>500</v>
      </c>
      <c r="D52" s="2" t="s">
        <v>151</v>
      </c>
      <c r="E52" s="2" t="n">
        <f aca="false">COUNTIF('Anh xa'!$D$2:$D$581,A52)</f>
        <v>3</v>
      </c>
      <c r="F52" s="3" t="str">
        <f aca="false">IF(E52&gt;0,"Đã phủ","THIẾU")</f>
        <v>Đã phủ</v>
      </c>
      <c r="G52" s="7" t="s">
        <v>979</v>
      </c>
      <c r="H52" s="7"/>
    </row>
    <row r="53" customFormat="false" ht="15" hidden="false" customHeight="false" outlineLevel="0" collapsed="false">
      <c r="A53" s="2" t="s">
        <v>293</v>
      </c>
      <c r="B53" s="2" t="s">
        <v>183</v>
      </c>
      <c r="C53" s="2" t="s">
        <v>294</v>
      </c>
      <c r="D53" s="2" t="s">
        <v>151</v>
      </c>
      <c r="E53" s="2" t="n">
        <f aca="false">COUNTIF('Anh xa'!$D$2:$D$581,A53)</f>
        <v>8</v>
      </c>
      <c r="F53" s="3" t="str">
        <f aca="false">IF(E53&gt;0,"Đã phủ","THIẾU")</f>
        <v>Đã phủ</v>
      </c>
      <c r="G53" s="7" t="s">
        <v>979</v>
      </c>
      <c r="H53" s="7"/>
    </row>
    <row r="54" customFormat="false" ht="15" hidden="false" customHeight="false" outlineLevel="0" collapsed="false">
      <c r="A54" s="2" t="s">
        <v>201</v>
      </c>
      <c r="B54" s="2" t="s">
        <v>183</v>
      </c>
      <c r="C54" s="2" t="s">
        <v>202</v>
      </c>
      <c r="D54" s="2" t="s">
        <v>151</v>
      </c>
      <c r="E54" s="2" t="n">
        <f aca="false">COUNTIF('Anh xa'!$D$2:$D$581,A54)</f>
        <v>4</v>
      </c>
      <c r="F54" s="3" t="str">
        <f aca="false">IF(E54&gt;0,"Đã phủ","THIẾU")</f>
        <v>Đã phủ</v>
      </c>
      <c r="G54" s="7" t="s">
        <v>979</v>
      </c>
      <c r="H54" s="7"/>
    </row>
    <row r="55" customFormat="false" ht="15" hidden="false" customHeight="false" outlineLevel="0" collapsed="false">
      <c r="A55" s="2" t="s">
        <v>203</v>
      </c>
      <c r="B55" s="2" t="s">
        <v>183</v>
      </c>
      <c r="C55" s="2" t="s">
        <v>204</v>
      </c>
      <c r="D55" s="2" t="s">
        <v>151</v>
      </c>
      <c r="E55" s="2" t="n">
        <f aca="false">COUNTIF('Anh xa'!$D$2:$D$581,A55)</f>
        <v>4</v>
      </c>
      <c r="F55" s="3" t="str">
        <f aca="false">IF(E55&gt;0,"Đã phủ","THIẾU")</f>
        <v>Đã phủ</v>
      </c>
      <c r="G55" s="7" t="s">
        <v>979</v>
      </c>
      <c r="H55" s="7"/>
    </row>
    <row r="56" customFormat="false" ht="15" hidden="false" customHeight="false" outlineLevel="0" collapsed="false">
      <c r="A56" s="2" t="s">
        <v>148</v>
      </c>
      <c r="B56" s="2" t="s">
        <v>149</v>
      </c>
      <c r="C56" s="2" t="s">
        <v>150</v>
      </c>
      <c r="D56" s="2" t="s">
        <v>151</v>
      </c>
      <c r="E56" s="2" t="n">
        <f aca="false">COUNTIF('Anh xa'!$D$2:$D$581,A56)</f>
        <v>2</v>
      </c>
      <c r="F56" s="3" t="str">
        <f aca="false">IF(E56&gt;0,"Đã phủ","THIẾU")</f>
        <v>Đã phủ</v>
      </c>
      <c r="G56" s="7" t="s">
        <v>979</v>
      </c>
      <c r="H56" s="7"/>
    </row>
    <row r="57" customFormat="false" ht="23.85" hidden="false" customHeight="false" outlineLevel="0" collapsed="false">
      <c r="A57" s="2" t="s">
        <v>152</v>
      </c>
      <c r="B57" s="2" t="s">
        <v>149</v>
      </c>
      <c r="C57" s="2" t="s">
        <v>153</v>
      </c>
      <c r="D57" s="2" t="s">
        <v>151</v>
      </c>
      <c r="E57" s="2" t="n">
        <f aca="false">COUNTIF('Anh xa'!$D$2:$D$581,A57)</f>
        <v>2</v>
      </c>
      <c r="F57" s="3" t="str">
        <f aca="false">IF(E57&gt;0,"Đã phủ","THIẾU")</f>
        <v>Đã phủ</v>
      </c>
      <c r="G57" s="7" t="s">
        <v>979</v>
      </c>
      <c r="H57" s="7"/>
    </row>
    <row r="58" customFormat="false" ht="15" hidden="false" customHeight="false" outlineLevel="0" collapsed="false">
      <c r="A58" s="2" t="s">
        <v>211</v>
      </c>
      <c r="B58" s="2" t="s">
        <v>149</v>
      </c>
      <c r="C58" s="2" t="s">
        <v>212</v>
      </c>
      <c r="D58" s="2" t="s">
        <v>151</v>
      </c>
      <c r="E58" s="2" t="n">
        <f aca="false">COUNTIF('Anh xa'!$D$2:$D$581,A58)</f>
        <v>2</v>
      </c>
      <c r="F58" s="3" t="str">
        <f aca="false">IF(E58&gt;0,"Đã phủ","THIẾU")</f>
        <v>Đã phủ</v>
      </c>
      <c r="G58" s="7" t="s">
        <v>979</v>
      </c>
      <c r="H58" s="7"/>
    </row>
    <row r="59" customFormat="false" ht="15" hidden="false" customHeight="false" outlineLevel="0" collapsed="false">
      <c r="A59" s="2" t="s">
        <v>213</v>
      </c>
      <c r="B59" s="2" t="s">
        <v>149</v>
      </c>
      <c r="C59" s="2" t="s">
        <v>214</v>
      </c>
      <c r="D59" s="2" t="s">
        <v>151</v>
      </c>
      <c r="E59" s="2" t="n">
        <f aca="false">COUNTIF('Anh xa'!$D$2:$D$581,A59)</f>
        <v>3</v>
      </c>
      <c r="F59" s="3" t="str">
        <f aca="false">IF(E59&gt;0,"Đã phủ","THIẾU")</f>
        <v>Đã phủ</v>
      </c>
      <c r="G59" s="7" t="s">
        <v>979</v>
      </c>
      <c r="H59" s="7"/>
    </row>
    <row r="60" customFormat="false" ht="15" hidden="false" customHeight="false" outlineLevel="0" collapsed="false">
      <c r="A60" s="2" t="s">
        <v>932</v>
      </c>
      <c r="B60" s="2" t="s">
        <v>149</v>
      </c>
      <c r="C60" s="2" t="s">
        <v>933</v>
      </c>
      <c r="D60" s="2" t="s">
        <v>151</v>
      </c>
      <c r="E60" s="2" t="n">
        <f aca="false">COUNTIF('Anh xa'!$D$2:$D$581,A60)</f>
        <v>1</v>
      </c>
      <c r="F60" s="3" t="str">
        <f aca="false">IF(E60&gt;0,"Đã phủ","THIẾU")</f>
        <v>Đã phủ</v>
      </c>
      <c r="G60" s="7" t="s">
        <v>979</v>
      </c>
      <c r="H60" s="7"/>
    </row>
    <row r="61" customFormat="false" ht="15" hidden="false" customHeight="false" outlineLevel="0" collapsed="false">
      <c r="A61" s="2" t="s">
        <v>934</v>
      </c>
      <c r="B61" s="2" t="s">
        <v>149</v>
      </c>
      <c r="C61" s="2" t="s">
        <v>935</v>
      </c>
      <c r="D61" s="2" t="s">
        <v>151</v>
      </c>
      <c r="E61" s="2" t="n">
        <f aca="false">COUNTIF('Anh xa'!$D$2:$D$581,A61)</f>
        <v>1</v>
      </c>
      <c r="F61" s="3" t="str">
        <f aca="false">IF(E61&gt;0,"Đã phủ","THIẾU")</f>
        <v>Đã phủ</v>
      </c>
      <c r="G61" s="7" t="s">
        <v>979</v>
      </c>
      <c r="H61" s="7"/>
    </row>
    <row r="62" customFormat="false" ht="23.85" hidden="false" customHeight="false" outlineLevel="0" collapsed="false">
      <c r="A62" s="2" t="s">
        <v>450</v>
      </c>
      <c r="B62" s="2" t="s">
        <v>149</v>
      </c>
      <c r="C62" s="2" t="s">
        <v>451</v>
      </c>
      <c r="D62" s="2" t="s">
        <v>151</v>
      </c>
      <c r="E62" s="2" t="n">
        <f aca="false">COUNTIF('Anh xa'!$D$2:$D$581,A62)</f>
        <v>5</v>
      </c>
      <c r="F62" s="3" t="str">
        <f aca="false">IF(E62&gt;0,"Đã phủ","THIẾU")</f>
        <v>Đã phủ</v>
      </c>
      <c r="G62" s="7" t="s">
        <v>979</v>
      </c>
      <c r="H62" s="7"/>
    </row>
    <row r="63" customFormat="false" ht="15" hidden="false" customHeight="false" outlineLevel="0" collapsed="false">
      <c r="A63" s="2" t="s">
        <v>501</v>
      </c>
      <c r="B63" s="2" t="s">
        <v>149</v>
      </c>
      <c r="C63" s="2" t="s">
        <v>502</v>
      </c>
      <c r="D63" s="2" t="s">
        <v>151</v>
      </c>
      <c r="E63" s="2" t="n">
        <f aca="false">COUNTIF('Anh xa'!$D$2:$D$581,A63)</f>
        <v>1</v>
      </c>
      <c r="F63" s="3" t="str">
        <f aca="false">IF(E63&gt;0,"Đã phủ","THIẾU")</f>
        <v>Đã phủ</v>
      </c>
      <c r="G63" s="7" t="s">
        <v>979</v>
      </c>
      <c r="H63" s="7"/>
    </row>
    <row r="64" customFormat="false" ht="23.85" hidden="false" customHeight="false" outlineLevel="0" collapsed="false">
      <c r="A64" s="2" t="s">
        <v>559</v>
      </c>
      <c r="B64" s="2" t="s">
        <v>149</v>
      </c>
      <c r="C64" s="2" t="s">
        <v>560</v>
      </c>
      <c r="D64" s="2" t="s">
        <v>151</v>
      </c>
      <c r="E64" s="2" t="n">
        <f aca="false">COUNTIF('Anh xa'!$D$2:$D$581,A64)</f>
        <v>1</v>
      </c>
      <c r="F64" s="3" t="str">
        <f aca="false">IF(E64&gt;0,"Đã phủ","THIẾU")</f>
        <v>Đã phủ</v>
      </c>
      <c r="G64" s="7" t="s">
        <v>979</v>
      </c>
      <c r="H64" s="7"/>
    </row>
    <row r="65" customFormat="false" ht="15" hidden="false" customHeight="false" outlineLevel="0" collapsed="false">
      <c r="A65" s="2" t="s">
        <v>621</v>
      </c>
      <c r="B65" s="2" t="s">
        <v>149</v>
      </c>
      <c r="C65" s="2" t="s">
        <v>622</v>
      </c>
      <c r="D65" s="2" t="s">
        <v>151</v>
      </c>
      <c r="E65" s="2" t="n">
        <f aca="false">COUNTIF('Anh xa'!$D$2:$D$581,A65)</f>
        <v>1</v>
      </c>
      <c r="F65" s="3" t="str">
        <f aca="false">IF(E65&gt;0,"Đã phủ","THIẾU")</f>
        <v>Đã phủ</v>
      </c>
      <c r="G65" s="7" t="s">
        <v>979</v>
      </c>
      <c r="H65" s="7"/>
    </row>
    <row r="66" customFormat="false" ht="23.85" hidden="false" customHeight="false" outlineLevel="0" collapsed="false">
      <c r="A66" s="2" t="s">
        <v>623</v>
      </c>
      <c r="B66" s="2" t="s">
        <v>149</v>
      </c>
      <c r="C66" s="2" t="s">
        <v>624</v>
      </c>
      <c r="D66" s="2" t="s">
        <v>151</v>
      </c>
      <c r="E66" s="2" t="n">
        <f aca="false">COUNTIF('Anh xa'!$D$2:$D$581,A66)</f>
        <v>1</v>
      </c>
      <c r="F66" s="3" t="str">
        <f aca="false">IF(E66&gt;0,"Đã phủ","THIẾU")</f>
        <v>Đã phủ</v>
      </c>
      <c r="G66" s="7" t="s">
        <v>979</v>
      </c>
      <c r="H66" s="7"/>
    </row>
    <row r="67" customFormat="false" ht="15" hidden="false" customHeight="false" outlineLevel="0" collapsed="false">
      <c r="A67" s="2" t="s">
        <v>251</v>
      </c>
      <c r="B67" s="2" t="s">
        <v>149</v>
      </c>
      <c r="C67" s="2" t="s">
        <v>252</v>
      </c>
      <c r="D67" s="2" t="s">
        <v>151</v>
      </c>
      <c r="E67" s="2" t="n">
        <f aca="false">COUNTIF('Anh xa'!$D$2:$D$581,A67)</f>
        <v>2</v>
      </c>
      <c r="F67" s="3" t="str">
        <f aca="false">IF(E67&gt;0,"Đã phủ","THIẾU")</f>
        <v>Đã phủ</v>
      </c>
      <c r="G67" s="7" t="s">
        <v>979</v>
      </c>
      <c r="H67" s="7"/>
    </row>
    <row r="68" customFormat="false" ht="15" hidden="false" customHeight="false" outlineLevel="0" collapsed="false">
      <c r="A68" s="2" t="s">
        <v>168</v>
      </c>
      <c r="B68" s="2" t="s">
        <v>149</v>
      </c>
      <c r="C68" s="2" t="s">
        <v>169</v>
      </c>
      <c r="D68" s="2" t="s">
        <v>151</v>
      </c>
      <c r="E68" s="2" t="n">
        <f aca="false">COUNTIF('Anh xa'!$D$2:$D$581,A68)</f>
        <v>1</v>
      </c>
      <c r="F68" s="3" t="str">
        <f aca="false">IF(E68&gt;0,"Đã phủ","THIẾU")</f>
        <v>Đã phủ</v>
      </c>
      <c r="G68" s="7" t="s">
        <v>979</v>
      </c>
      <c r="H68" s="7"/>
    </row>
    <row r="69" customFormat="false" ht="15" hidden="false" customHeight="false" outlineLevel="0" collapsed="false">
      <c r="A69" s="2" t="s">
        <v>295</v>
      </c>
      <c r="B69" s="2" t="s">
        <v>149</v>
      </c>
      <c r="C69" s="2" t="s">
        <v>296</v>
      </c>
      <c r="D69" s="2" t="s">
        <v>151</v>
      </c>
      <c r="E69" s="2" t="n">
        <f aca="false">COUNTIF('Anh xa'!$D$2:$D$581,A69)</f>
        <v>1</v>
      </c>
      <c r="F69" s="3" t="str">
        <f aca="false">IF(E69&gt;0,"Đã phủ","THIẾU")</f>
        <v>Đã phủ</v>
      </c>
      <c r="G69" s="7" t="s">
        <v>979</v>
      </c>
      <c r="H69" s="7"/>
    </row>
    <row r="70" customFormat="false" ht="23.85" hidden="false" customHeight="false" outlineLevel="0" collapsed="false">
      <c r="A70" s="2" t="s">
        <v>815</v>
      </c>
      <c r="B70" s="2" t="s">
        <v>149</v>
      </c>
      <c r="C70" s="2" t="s">
        <v>816</v>
      </c>
      <c r="D70" s="2" t="s">
        <v>151</v>
      </c>
      <c r="E70" s="2" t="n">
        <f aca="false">COUNTIF('Anh xa'!$D$2:$D$581,A70)</f>
        <v>1</v>
      </c>
      <c r="F70" s="3" t="str">
        <f aca="false">IF(E70&gt;0,"Đã phủ","THIẾU")</f>
        <v>Đã phủ</v>
      </c>
      <c r="G70" s="7" t="s">
        <v>979</v>
      </c>
      <c r="H70" s="7"/>
    </row>
    <row r="71" customFormat="false" ht="15" hidden="false" customHeight="false" outlineLevel="0" collapsed="false">
      <c r="A71" s="2" t="s">
        <v>318</v>
      </c>
      <c r="B71" s="2" t="s">
        <v>149</v>
      </c>
      <c r="C71" s="2" t="s">
        <v>319</v>
      </c>
      <c r="D71" s="2" t="s">
        <v>151</v>
      </c>
      <c r="E71" s="2" t="n">
        <f aca="false">COUNTIF('Anh xa'!$D$2:$D$581,A71)</f>
        <v>1</v>
      </c>
      <c r="F71" s="3" t="str">
        <f aca="false">IF(E71&gt;0,"Đã phủ","THIẾU")</f>
        <v>Đã phủ</v>
      </c>
      <c r="G71" s="7" t="s">
        <v>979</v>
      </c>
      <c r="H71" s="7"/>
    </row>
    <row r="72" customFormat="false" ht="15" hidden="false" customHeight="false" outlineLevel="0" collapsed="false">
      <c r="A72" s="2" t="s">
        <v>438</v>
      </c>
      <c r="B72" s="2" t="s">
        <v>228</v>
      </c>
      <c r="C72" s="2" t="s">
        <v>439</v>
      </c>
      <c r="D72" s="2" t="s">
        <v>230</v>
      </c>
      <c r="E72" s="2" t="n">
        <f aca="false">COUNTIF('Anh xa'!$D$2:$D$581,A72)</f>
        <v>2</v>
      </c>
      <c r="F72" s="3" t="str">
        <f aca="false">IF(E72&gt;0,"Đã phủ","THIẾU")</f>
        <v>Đã phủ</v>
      </c>
      <c r="G72" s="7" t="s">
        <v>979</v>
      </c>
      <c r="H72" s="7"/>
    </row>
    <row r="73" customFormat="false" ht="15" hidden="false" customHeight="false" outlineLevel="0" collapsed="false">
      <c r="A73" s="2" t="s">
        <v>376</v>
      </c>
      <c r="B73" s="2" t="s">
        <v>228</v>
      </c>
      <c r="C73" s="2" t="s">
        <v>377</v>
      </c>
      <c r="D73" s="2" t="s">
        <v>230</v>
      </c>
      <c r="E73" s="2" t="n">
        <f aca="false">COUNTIF('Anh xa'!$D$2:$D$581,A73)</f>
        <v>5</v>
      </c>
      <c r="F73" s="3" t="str">
        <f aca="false">IF(E73&gt;0,"Đã phủ","THIẾU")</f>
        <v>Đã phủ</v>
      </c>
      <c r="G73" s="7" t="s">
        <v>979</v>
      </c>
      <c r="H73" s="7"/>
    </row>
    <row r="74" customFormat="false" ht="15" hidden="false" customHeight="false" outlineLevel="0" collapsed="false">
      <c r="A74" s="2" t="s">
        <v>227</v>
      </c>
      <c r="B74" s="2" t="s">
        <v>228</v>
      </c>
      <c r="C74" s="2" t="s">
        <v>229</v>
      </c>
      <c r="D74" s="2" t="s">
        <v>230</v>
      </c>
      <c r="E74" s="2" t="n">
        <f aca="false">COUNTIF('Anh xa'!$D$2:$D$581,A74)</f>
        <v>3</v>
      </c>
      <c r="F74" s="3" t="str">
        <f aca="false">IF(E74&gt;0,"Đã phủ","THIẾU")</f>
        <v>Đã phủ</v>
      </c>
      <c r="G74" s="7" t="s">
        <v>979</v>
      </c>
      <c r="H74" s="7"/>
    </row>
    <row r="75" customFormat="false" ht="15" hidden="false" customHeight="false" outlineLevel="0" collapsed="false">
      <c r="A75" s="2" t="s">
        <v>591</v>
      </c>
      <c r="B75" s="2" t="s">
        <v>228</v>
      </c>
      <c r="C75" s="2" t="s">
        <v>592</v>
      </c>
      <c r="D75" s="2" t="s">
        <v>230</v>
      </c>
      <c r="E75" s="2" t="n">
        <f aca="false">COUNTIF('Anh xa'!$D$2:$D$581,A75)</f>
        <v>3</v>
      </c>
      <c r="F75" s="3" t="str">
        <f aca="false">IF(E75&gt;0,"Đã phủ","THIẾU")</f>
        <v>Đã phủ</v>
      </c>
      <c r="G75" s="7" t="s">
        <v>979</v>
      </c>
      <c r="H75" s="7"/>
    </row>
    <row r="76" customFormat="false" ht="15" hidden="false" customHeight="false" outlineLevel="0" collapsed="false">
      <c r="A76" s="2" t="s">
        <v>682</v>
      </c>
      <c r="B76" s="2" t="s">
        <v>228</v>
      </c>
      <c r="C76" s="2" t="s">
        <v>683</v>
      </c>
      <c r="D76" s="2" t="s">
        <v>230</v>
      </c>
      <c r="E76" s="2" t="n">
        <f aca="false">COUNTIF('Anh xa'!$D$2:$D$581,A76)</f>
        <v>2</v>
      </c>
      <c r="F76" s="3" t="str">
        <f aca="false">IF(E76&gt;0,"Đã phủ","THIẾU")</f>
        <v>Đã phủ</v>
      </c>
      <c r="G76" s="7" t="s">
        <v>979</v>
      </c>
      <c r="H76" s="7"/>
    </row>
    <row r="77" customFormat="false" ht="15" hidden="false" customHeight="false" outlineLevel="0" collapsed="false">
      <c r="A77" s="2" t="s">
        <v>629</v>
      </c>
      <c r="B77" s="2" t="s">
        <v>228</v>
      </c>
      <c r="C77" s="2" t="s">
        <v>630</v>
      </c>
      <c r="D77" s="2" t="s">
        <v>230</v>
      </c>
      <c r="E77" s="2" t="n">
        <f aca="false">COUNTIF('Anh xa'!$D$2:$D$581,A77)</f>
        <v>3</v>
      </c>
      <c r="F77" s="3" t="str">
        <f aca="false">IF(E77&gt;0,"Đã phủ","THIẾU")</f>
        <v>Đã phủ</v>
      </c>
      <c r="G77" s="7" t="s">
        <v>979</v>
      </c>
      <c r="H77" s="7"/>
    </row>
    <row r="78" customFormat="false" ht="15" hidden="false" customHeight="false" outlineLevel="0" collapsed="false">
      <c r="A78" s="2" t="s">
        <v>727</v>
      </c>
      <c r="B78" s="2" t="s">
        <v>228</v>
      </c>
      <c r="C78" s="2" t="s">
        <v>728</v>
      </c>
      <c r="D78" s="2" t="s">
        <v>230</v>
      </c>
      <c r="E78" s="2" t="n">
        <f aca="false">COUNTIF('Anh xa'!$D$2:$D$581,A78)</f>
        <v>3</v>
      </c>
      <c r="F78" s="3" t="str">
        <f aca="false">IF(E78&gt;0,"Đã phủ","THIẾU")</f>
        <v>Đã phủ</v>
      </c>
      <c r="G78" s="7" t="s">
        <v>979</v>
      </c>
      <c r="H78" s="7"/>
    </row>
    <row r="79" customFormat="false" ht="15" hidden="false" customHeight="false" outlineLevel="0" collapsed="false">
      <c r="A79" s="2" t="s">
        <v>770</v>
      </c>
      <c r="B79" s="2" t="s">
        <v>228</v>
      </c>
      <c r="C79" s="2" t="s">
        <v>771</v>
      </c>
      <c r="D79" s="2" t="s">
        <v>230</v>
      </c>
      <c r="E79" s="2" t="n">
        <f aca="false">COUNTIF('Anh xa'!$D$2:$D$581,A79)</f>
        <v>3</v>
      </c>
      <c r="F79" s="3" t="str">
        <f aca="false">IF(E79&gt;0,"Đã phủ","THIẾU")</f>
        <v>Đã phủ</v>
      </c>
      <c r="G79" s="7" t="s">
        <v>979</v>
      </c>
      <c r="H79" s="7"/>
    </row>
    <row r="80" customFormat="false" ht="15" hidden="false" customHeight="false" outlineLevel="0" collapsed="false">
      <c r="A80" s="2" t="s">
        <v>784</v>
      </c>
      <c r="B80" s="2" t="s">
        <v>228</v>
      </c>
      <c r="C80" s="2" t="s">
        <v>785</v>
      </c>
      <c r="D80" s="2" t="s">
        <v>230</v>
      </c>
      <c r="E80" s="2" t="n">
        <f aca="false">COUNTIF('Anh xa'!$D$2:$D$581,A80)</f>
        <v>3</v>
      </c>
      <c r="F80" s="3" t="str">
        <f aca="false">IF(E80&gt;0,"Đã phủ","THIẾU")</f>
        <v>Đã phủ</v>
      </c>
      <c r="G80" s="7" t="s">
        <v>979</v>
      </c>
      <c r="H80" s="7"/>
    </row>
    <row r="81" customFormat="false" ht="15" hidden="false" customHeight="false" outlineLevel="0" collapsed="false">
      <c r="A81" s="2" t="s">
        <v>827</v>
      </c>
      <c r="B81" s="2" t="s">
        <v>228</v>
      </c>
      <c r="C81" s="2" t="s">
        <v>828</v>
      </c>
      <c r="D81" s="2" t="s">
        <v>230</v>
      </c>
      <c r="E81" s="2" t="n">
        <f aca="false">COUNTIF('Anh xa'!$D$2:$D$581,A81)</f>
        <v>3</v>
      </c>
      <c r="F81" s="3" t="str">
        <f aca="false">IF(E81&gt;0,"Đã phủ","THIẾU")</f>
        <v>Đã phủ</v>
      </c>
      <c r="G81" s="7" t="s">
        <v>979</v>
      </c>
      <c r="H81" s="7"/>
    </row>
    <row r="82" customFormat="false" ht="15" hidden="false" customHeight="false" outlineLevel="0" collapsed="false">
      <c r="A82" s="2" t="s">
        <v>707</v>
      </c>
      <c r="B82" s="2" t="s">
        <v>228</v>
      </c>
      <c r="C82" s="2" t="s">
        <v>708</v>
      </c>
      <c r="D82" s="2" t="s">
        <v>230</v>
      </c>
      <c r="E82" s="2" t="n">
        <f aca="false">COUNTIF('Anh xa'!$D$2:$D$581,A82)</f>
        <v>2</v>
      </c>
      <c r="F82" s="3" t="str">
        <f aca="false">IF(E82&gt;0,"Đã phủ","THIẾU")</f>
        <v>Đã phủ</v>
      </c>
      <c r="G82" s="7" t="s">
        <v>979</v>
      </c>
      <c r="H82" s="7"/>
    </row>
    <row r="83" customFormat="false" ht="15" hidden="false" customHeight="false" outlineLevel="0" collapsed="false">
      <c r="A83" s="2" t="s">
        <v>299</v>
      </c>
      <c r="B83" s="2" t="s">
        <v>63</v>
      </c>
      <c r="C83" s="2" t="s">
        <v>300</v>
      </c>
      <c r="D83" s="2" t="s">
        <v>65</v>
      </c>
      <c r="E83" s="2" t="n">
        <f aca="false">COUNTIF('Anh xa'!$D$2:$D$581,A83)</f>
        <v>3</v>
      </c>
      <c r="F83" s="3" t="str">
        <f aca="false">IF(E83&gt;0,"Đã phủ","THIẾU")</f>
        <v>Đã phủ</v>
      </c>
      <c r="G83" s="7" t="s">
        <v>979</v>
      </c>
      <c r="H83" s="7"/>
    </row>
    <row r="84" customFormat="false" ht="15" hidden="false" customHeight="false" outlineLevel="0" collapsed="false">
      <c r="A84" s="2" t="s">
        <v>374</v>
      </c>
      <c r="B84" s="2" t="s">
        <v>63</v>
      </c>
      <c r="C84" s="2" t="s">
        <v>375</v>
      </c>
      <c r="D84" s="2" t="s">
        <v>65</v>
      </c>
      <c r="E84" s="2" t="n">
        <f aca="false">COUNTIF('Anh xa'!$D$2:$D$581,A84)</f>
        <v>2</v>
      </c>
      <c r="F84" s="3" t="str">
        <f aca="false">IF(E84&gt;0,"Đã phủ","THIẾU")</f>
        <v>Đã phủ</v>
      </c>
      <c r="G84" s="7" t="s">
        <v>979</v>
      </c>
      <c r="H84" s="7"/>
    </row>
    <row r="85" customFormat="false" ht="15" hidden="false" customHeight="false" outlineLevel="0" collapsed="false">
      <c r="A85" s="2" t="s">
        <v>394</v>
      </c>
      <c r="B85" s="2" t="s">
        <v>63</v>
      </c>
      <c r="C85" s="2" t="s">
        <v>395</v>
      </c>
      <c r="D85" s="2" t="s">
        <v>65</v>
      </c>
      <c r="E85" s="2" t="n">
        <f aca="false">COUNTIF('Anh xa'!$D$2:$D$581,A85)</f>
        <v>2</v>
      </c>
      <c r="F85" s="3" t="str">
        <f aca="false">IF(E85&gt;0,"Đã phủ","THIẾU")</f>
        <v>Đã phủ</v>
      </c>
      <c r="G85" s="7" t="s">
        <v>979</v>
      </c>
      <c r="H85" s="7"/>
    </row>
    <row r="86" customFormat="false" ht="15" hidden="false" customHeight="false" outlineLevel="0" collapsed="false">
      <c r="A86" s="2" t="s">
        <v>460</v>
      </c>
      <c r="B86" s="2" t="s">
        <v>63</v>
      </c>
      <c r="C86" s="2" t="s">
        <v>461</v>
      </c>
      <c r="D86" s="2" t="s">
        <v>65</v>
      </c>
      <c r="E86" s="2" t="n">
        <f aca="false">COUNTIF('Anh xa'!$D$2:$D$581,A86)</f>
        <v>3</v>
      </c>
      <c r="F86" s="3" t="str">
        <f aca="false">IF(E86&gt;0,"Đã phủ","THIẾU")</f>
        <v>Đã phủ</v>
      </c>
      <c r="G86" s="7" t="s">
        <v>979</v>
      </c>
      <c r="H86" s="7"/>
    </row>
    <row r="87" customFormat="false" ht="15" hidden="false" customHeight="false" outlineLevel="0" collapsed="false">
      <c r="A87" s="2" t="s">
        <v>62</v>
      </c>
      <c r="B87" s="2" t="s">
        <v>63</v>
      </c>
      <c r="C87" s="2" t="s">
        <v>64</v>
      </c>
      <c r="D87" s="2" t="s">
        <v>65</v>
      </c>
      <c r="E87" s="2" t="n">
        <f aca="false">COUNTIF('Anh xa'!$D$2:$D$581,A87)</f>
        <v>4</v>
      </c>
      <c r="F87" s="3" t="str">
        <f aca="false">IF(E87&gt;0,"Đã phủ","THIẾU")</f>
        <v>Đã phủ</v>
      </c>
      <c r="G87" s="7" t="s">
        <v>979</v>
      </c>
      <c r="H87" s="7"/>
    </row>
    <row r="88" customFormat="false" ht="15" hidden="false" customHeight="false" outlineLevel="0" collapsed="false">
      <c r="A88" s="2" t="s">
        <v>495</v>
      </c>
      <c r="B88" s="2" t="s">
        <v>63</v>
      </c>
      <c r="C88" s="2" t="s">
        <v>496</v>
      </c>
      <c r="D88" s="2" t="s">
        <v>65</v>
      </c>
      <c r="E88" s="2" t="n">
        <f aca="false">COUNTIF('Anh xa'!$D$2:$D$581,A88)</f>
        <v>3</v>
      </c>
      <c r="F88" s="3" t="str">
        <f aca="false">IF(E88&gt;0,"Đã phủ","THIẾU")</f>
        <v>Đã phủ</v>
      </c>
      <c r="G88" s="7" t="s">
        <v>979</v>
      </c>
      <c r="H88" s="7"/>
    </row>
    <row r="89" customFormat="false" ht="15" hidden="false" customHeight="false" outlineLevel="0" collapsed="false">
      <c r="A89" s="2" t="s">
        <v>533</v>
      </c>
      <c r="B89" s="2" t="s">
        <v>63</v>
      </c>
      <c r="C89" s="2" t="s">
        <v>532</v>
      </c>
      <c r="D89" s="2" t="s">
        <v>65</v>
      </c>
      <c r="E89" s="2" t="n">
        <f aca="false">COUNTIF('Anh xa'!$D$2:$D$581,A89)</f>
        <v>2</v>
      </c>
      <c r="F89" s="3" t="str">
        <f aca="false">IF(E89&gt;0,"Đã phủ","THIẾU")</f>
        <v>Đã phủ</v>
      </c>
      <c r="G89" s="7" t="s">
        <v>979</v>
      </c>
      <c r="H89" s="7"/>
    </row>
    <row r="90" customFormat="false" ht="15" hidden="false" customHeight="false" outlineLevel="0" collapsed="false">
      <c r="A90" s="2" t="s">
        <v>524</v>
      </c>
      <c r="B90" s="2" t="s">
        <v>63</v>
      </c>
      <c r="C90" s="2" t="s">
        <v>523</v>
      </c>
      <c r="D90" s="2" t="s">
        <v>65</v>
      </c>
      <c r="E90" s="2" t="n">
        <f aca="false">COUNTIF('Anh xa'!$D$2:$D$581,A90)</f>
        <v>2</v>
      </c>
      <c r="F90" s="3" t="str">
        <f aca="false">IF(E90&gt;0,"Đã phủ","THIẾU")</f>
        <v>Đã phủ</v>
      </c>
      <c r="G90" s="7" t="s">
        <v>979</v>
      </c>
      <c r="H90" s="7"/>
    </row>
    <row r="91" customFormat="false" ht="15" hidden="false" customHeight="false" outlineLevel="0" collapsed="false">
      <c r="A91" s="2" t="s">
        <v>507</v>
      </c>
      <c r="B91" s="2" t="s">
        <v>63</v>
      </c>
      <c r="C91" s="2" t="s">
        <v>508</v>
      </c>
      <c r="D91" s="2" t="s">
        <v>65</v>
      </c>
      <c r="E91" s="2" t="n">
        <f aca="false">COUNTIF('Anh xa'!$D$2:$D$581,A91)</f>
        <v>3</v>
      </c>
      <c r="F91" s="3" t="str">
        <f aca="false">IF(E91&gt;0,"Đã phủ","THIẾU")</f>
        <v>Đã phủ</v>
      </c>
      <c r="G91" s="7" t="s">
        <v>979</v>
      </c>
      <c r="H91" s="7"/>
    </row>
    <row r="92" customFormat="false" ht="15" hidden="false" customHeight="false" outlineLevel="0" collapsed="false">
      <c r="A92" s="2" t="s">
        <v>548</v>
      </c>
      <c r="B92" s="2" t="s">
        <v>63</v>
      </c>
      <c r="C92" s="2" t="s">
        <v>547</v>
      </c>
      <c r="D92" s="2" t="s">
        <v>65</v>
      </c>
      <c r="E92" s="2" t="n">
        <f aca="false">COUNTIF('Anh xa'!$D$2:$D$581,A92)</f>
        <v>2</v>
      </c>
      <c r="F92" s="3" t="str">
        <f aca="false">IF(E92&gt;0,"Đã phủ","THIẾU")</f>
        <v>Đã phủ</v>
      </c>
      <c r="G92" s="7" t="s">
        <v>979</v>
      </c>
      <c r="H92" s="7"/>
    </row>
    <row r="93" customFormat="false" ht="15" hidden="false" customHeight="false" outlineLevel="0" collapsed="false">
      <c r="A93" s="2" t="s">
        <v>555</v>
      </c>
      <c r="B93" s="2" t="s">
        <v>63</v>
      </c>
      <c r="C93" s="2" t="s">
        <v>556</v>
      </c>
      <c r="D93" s="2" t="s">
        <v>65</v>
      </c>
      <c r="E93" s="2" t="n">
        <f aca="false">COUNTIF('Anh xa'!$D$2:$D$581,A93)</f>
        <v>2</v>
      </c>
      <c r="F93" s="3" t="str">
        <f aca="false">IF(E93&gt;0,"Đã phủ","THIẾU")</f>
        <v>Đã phủ</v>
      </c>
      <c r="G93" s="7" t="s">
        <v>979</v>
      </c>
      <c r="H93" s="7"/>
    </row>
    <row r="94" customFormat="false" ht="15" hidden="false" customHeight="false" outlineLevel="0" collapsed="false">
      <c r="A94" s="2" t="s">
        <v>231</v>
      </c>
      <c r="B94" s="2" t="s">
        <v>63</v>
      </c>
      <c r="C94" s="2" t="s">
        <v>232</v>
      </c>
      <c r="D94" s="2" t="s">
        <v>65</v>
      </c>
      <c r="E94" s="2" t="n">
        <f aca="false">COUNTIF('Anh xa'!$D$2:$D$581,A94)</f>
        <v>2</v>
      </c>
      <c r="F94" s="3" t="str">
        <f aca="false">IF(E94&gt;0,"Đã phủ","THIẾU")</f>
        <v>Đã phủ</v>
      </c>
      <c r="G94" s="7" t="s">
        <v>979</v>
      </c>
      <c r="H94" s="7"/>
    </row>
    <row r="95" customFormat="false" ht="15" hidden="false" customHeight="false" outlineLevel="0" collapsed="false">
      <c r="A95" s="2" t="s">
        <v>611</v>
      </c>
      <c r="B95" s="2" t="s">
        <v>63</v>
      </c>
      <c r="C95" s="2" t="s">
        <v>612</v>
      </c>
      <c r="D95" s="2" t="s">
        <v>65</v>
      </c>
      <c r="E95" s="2" t="n">
        <f aca="false">COUNTIF('Anh xa'!$D$2:$D$581,A95)</f>
        <v>2</v>
      </c>
      <c r="F95" s="3" t="str">
        <f aca="false">IF(E95&gt;0,"Đã phủ","THIẾU")</f>
        <v>Đã phủ</v>
      </c>
      <c r="G95" s="7" t="s">
        <v>979</v>
      </c>
      <c r="H95" s="7"/>
    </row>
    <row r="96" customFormat="false" ht="15" hidden="false" customHeight="false" outlineLevel="0" collapsed="false">
      <c r="A96" s="2" t="s">
        <v>633</v>
      </c>
      <c r="B96" s="2" t="s">
        <v>63</v>
      </c>
      <c r="C96" s="2" t="s">
        <v>634</v>
      </c>
      <c r="D96" s="2" t="s">
        <v>65</v>
      </c>
      <c r="E96" s="2" t="n">
        <f aca="false">COUNTIF('Anh xa'!$D$2:$D$581,A96)</f>
        <v>3</v>
      </c>
      <c r="F96" s="3" t="str">
        <f aca="false">IF(E96&gt;0,"Đã phủ","THIẾU")</f>
        <v>Đã phủ</v>
      </c>
      <c r="G96" s="7" t="s">
        <v>979</v>
      </c>
      <c r="H96" s="7"/>
    </row>
    <row r="97" customFormat="false" ht="15" hidden="false" customHeight="false" outlineLevel="0" collapsed="false">
      <c r="A97" s="2" t="s">
        <v>645</v>
      </c>
      <c r="B97" s="2" t="s">
        <v>63</v>
      </c>
      <c r="C97" s="2" t="s">
        <v>644</v>
      </c>
      <c r="D97" s="2" t="s">
        <v>65</v>
      </c>
      <c r="E97" s="2" t="n">
        <f aca="false">COUNTIF('Anh xa'!$D$2:$D$581,A97)</f>
        <v>2</v>
      </c>
      <c r="F97" s="3" t="str">
        <f aca="false">IF(E97&gt;0,"Đã phủ","THIẾU")</f>
        <v>Đã phủ</v>
      </c>
      <c r="G97" s="7" t="s">
        <v>979</v>
      </c>
      <c r="H97" s="7"/>
    </row>
    <row r="98" customFormat="false" ht="15" hidden="false" customHeight="false" outlineLevel="0" collapsed="false">
      <c r="A98" s="2" t="s">
        <v>239</v>
      </c>
      <c r="B98" s="2" t="s">
        <v>63</v>
      </c>
      <c r="C98" s="2" t="s">
        <v>240</v>
      </c>
      <c r="D98" s="2" t="s">
        <v>65</v>
      </c>
      <c r="E98" s="2" t="n">
        <f aca="false">COUNTIF('Anh xa'!$D$2:$D$581,A98)</f>
        <v>3</v>
      </c>
      <c r="F98" s="3" t="str">
        <f aca="false">IF(E98&gt;0,"Đã phủ","THIẾU")</f>
        <v>Đã phủ</v>
      </c>
      <c r="G98" s="7" t="s">
        <v>979</v>
      </c>
      <c r="H98" s="7"/>
    </row>
    <row r="99" customFormat="false" ht="15" hidden="false" customHeight="false" outlineLevel="0" collapsed="false">
      <c r="A99" s="2" t="s">
        <v>686</v>
      </c>
      <c r="B99" s="2" t="s">
        <v>63</v>
      </c>
      <c r="C99" s="2" t="s">
        <v>685</v>
      </c>
      <c r="D99" s="2" t="s">
        <v>65</v>
      </c>
      <c r="E99" s="2" t="n">
        <f aca="false">COUNTIF('Anh xa'!$D$2:$D$581,A99)</f>
        <v>3</v>
      </c>
      <c r="F99" s="3" t="str">
        <f aca="false">IF(E99&gt;0,"Đã phủ","THIẾU")</f>
        <v>Đã phủ</v>
      </c>
      <c r="G99" s="7" t="s">
        <v>979</v>
      </c>
      <c r="H99" s="7"/>
    </row>
    <row r="100" customFormat="false" ht="15" hidden="false" customHeight="false" outlineLevel="0" collapsed="false">
      <c r="A100" s="2" t="s">
        <v>752</v>
      </c>
      <c r="B100" s="2" t="s">
        <v>63</v>
      </c>
      <c r="C100" s="2" t="s">
        <v>753</v>
      </c>
      <c r="D100" s="2" t="s">
        <v>65</v>
      </c>
      <c r="E100" s="2" t="n">
        <f aca="false">COUNTIF('Anh xa'!$D$2:$D$581,A100)</f>
        <v>1</v>
      </c>
      <c r="F100" s="3" t="str">
        <f aca="false">IF(E100&gt;0,"Đã phủ","THIẾU")</f>
        <v>Đã phủ</v>
      </c>
      <c r="G100" s="7" t="s">
        <v>979</v>
      </c>
      <c r="H100" s="7"/>
    </row>
    <row r="101" customFormat="false" ht="15" hidden="false" customHeight="false" outlineLevel="0" collapsed="false">
      <c r="A101" s="2" t="s">
        <v>711</v>
      </c>
      <c r="B101" s="2" t="s">
        <v>63</v>
      </c>
      <c r="C101" s="2" t="s">
        <v>712</v>
      </c>
      <c r="D101" s="2" t="s">
        <v>65</v>
      </c>
      <c r="E101" s="2" t="n">
        <f aca="false">COUNTIF('Anh xa'!$D$2:$D$581,A101)</f>
        <v>2</v>
      </c>
      <c r="F101" s="3" t="str">
        <f aca="false">IF(E101&gt;0,"Đã phủ","THIẾU")</f>
        <v>Đã phủ</v>
      </c>
      <c r="G101" s="7" t="s">
        <v>979</v>
      </c>
      <c r="H101" s="7"/>
    </row>
    <row r="102" customFormat="false" ht="15" hidden="false" customHeight="false" outlineLevel="0" collapsed="false">
      <c r="A102" s="2" t="s">
        <v>277</v>
      </c>
      <c r="B102" s="2" t="s">
        <v>63</v>
      </c>
      <c r="C102" s="2" t="s">
        <v>278</v>
      </c>
      <c r="D102" s="2" t="s">
        <v>65</v>
      </c>
      <c r="E102" s="2" t="n">
        <f aca="false">COUNTIF('Anh xa'!$D$2:$D$581,A102)</f>
        <v>2</v>
      </c>
      <c r="F102" s="3" t="str">
        <f aca="false">IF(E102&gt;0,"Đã phủ","THIẾU")</f>
        <v>Đã phủ</v>
      </c>
      <c r="G102" s="7" t="s">
        <v>979</v>
      </c>
      <c r="H102" s="7"/>
    </row>
    <row r="103" customFormat="false" ht="15" hidden="false" customHeight="false" outlineLevel="0" collapsed="false">
      <c r="A103" s="2" t="s">
        <v>174</v>
      </c>
      <c r="B103" s="2" t="s">
        <v>63</v>
      </c>
      <c r="C103" s="2" t="s">
        <v>175</v>
      </c>
      <c r="D103" s="2" t="s">
        <v>65</v>
      </c>
      <c r="E103" s="2" t="n">
        <f aca="false">COUNTIF('Anh xa'!$D$2:$D$581,A103)</f>
        <v>2</v>
      </c>
      <c r="F103" s="3" t="str">
        <f aca="false">IF(E103&gt;0,"Đã phủ","THIẾU")</f>
        <v>Đã phủ</v>
      </c>
      <c r="G103" s="7" t="s">
        <v>979</v>
      </c>
      <c r="H103" s="7"/>
    </row>
    <row r="104" customFormat="false" ht="15" hidden="false" customHeight="false" outlineLevel="0" collapsed="false">
      <c r="A104" s="2" t="s">
        <v>360</v>
      </c>
      <c r="B104" s="2" t="s">
        <v>63</v>
      </c>
      <c r="C104" s="2" t="s">
        <v>361</v>
      </c>
      <c r="D104" s="2" t="s">
        <v>65</v>
      </c>
      <c r="E104" s="2" t="n">
        <f aca="false">COUNTIF('Anh xa'!$D$2:$D$581,A104)</f>
        <v>4</v>
      </c>
      <c r="F104" s="3" t="str">
        <f aca="false">IF(E104&gt;0,"Đã phủ","THIẾU")</f>
        <v>Đã phủ</v>
      </c>
      <c r="G104" s="7" t="s">
        <v>979</v>
      </c>
      <c r="H104" s="7"/>
    </row>
    <row r="105" customFormat="false" ht="15" hidden="false" customHeight="false" outlineLevel="0" collapsed="false">
      <c r="A105" s="2" t="s">
        <v>835</v>
      </c>
      <c r="B105" s="2" t="s">
        <v>63</v>
      </c>
      <c r="C105" s="2" t="s">
        <v>109</v>
      </c>
      <c r="D105" s="2" t="s">
        <v>65</v>
      </c>
      <c r="E105" s="2" t="n">
        <f aca="false">COUNTIF('Anh xa'!$D$2:$D$581,A105)</f>
        <v>2</v>
      </c>
      <c r="F105" s="3" t="str">
        <f aca="false">IF(E105&gt;0,"Đã phủ","THIẾU")</f>
        <v>Đã phủ</v>
      </c>
      <c r="G105" s="7" t="s">
        <v>979</v>
      </c>
      <c r="H105" s="7"/>
    </row>
    <row r="106" customFormat="false" ht="15" hidden="false" customHeight="false" outlineLevel="0" collapsed="false">
      <c r="A106" s="2" t="s">
        <v>305</v>
      </c>
      <c r="B106" s="2" t="s">
        <v>306</v>
      </c>
      <c r="C106" s="2" t="s">
        <v>307</v>
      </c>
      <c r="D106" s="2" t="s">
        <v>308</v>
      </c>
      <c r="E106" s="2" t="n">
        <f aca="false">COUNTIF('Anh xa'!$D$2:$D$581,A106)</f>
        <v>1</v>
      </c>
      <c r="F106" s="3" t="str">
        <f aca="false">IF(E106&gt;0,"Đã phủ","THIẾU")</f>
        <v>Đã phủ</v>
      </c>
      <c r="G106" s="7" t="s">
        <v>979</v>
      </c>
      <c r="H106" s="7"/>
    </row>
    <row r="107" customFormat="false" ht="15" hidden="false" customHeight="false" outlineLevel="0" collapsed="false">
      <c r="A107" s="2" t="s">
        <v>309</v>
      </c>
      <c r="B107" s="2" t="s">
        <v>306</v>
      </c>
      <c r="C107" s="2" t="s">
        <v>310</v>
      </c>
      <c r="D107" s="2" t="s">
        <v>308</v>
      </c>
      <c r="E107" s="2" t="n">
        <f aca="false">COUNTIF('Anh xa'!$D$2:$D$581,A107)</f>
        <v>4</v>
      </c>
      <c r="F107" s="3" t="str">
        <f aca="false">IF(E107&gt;0,"Đã phủ","THIẾU")</f>
        <v>Đã phủ</v>
      </c>
      <c r="G107" s="7" t="s">
        <v>979</v>
      </c>
      <c r="H107" s="7"/>
    </row>
    <row r="108" customFormat="false" ht="15" hidden="false" customHeight="false" outlineLevel="0" collapsed="false">
      <c r="A108" s="2" t="s">
        <v>368</v>
      </c>
      <c r="B108" s="2" t="s">
        <v>306</v>
      </c>
      <c r="C108" s="2" t="s">
        <v>369</v>
      </c>
      <c r="D108" s="2" t="s">
        <v>308</v>
      </c>
      <c r="E108" s="2" t="n">
        <f aca="false">COUNTIF('Anh xa'!$D$2:$D$581,A108)</f>
        <v>5</v>
      </c>
      <c r="F108" s="3" t="str">
        <f aca="false">IF(E108&gt;0,"Đã phủ","THIẾU")</f>
        <v>Đã phủ</v>
      </c>
      <c r="G108" s="7" t="s">
        <v>979</v>
      </c>
      <c r="H108" s="7"/>
    </row>
    <row r="109" customFormat="false" ht="15" hidden="false" customHeight="false" outlineLevel="0" collapsed="false">
      <c r="A109" s="2" t="s">
        <v>350</v>
      </c>
      <c r="B109" s="2" t="s">
        <v>306</v>
      </c>
      <c r="C109" s="2" t="s">
        <v>351</v>
      </c>
      <c r="D109" s="2" t="s">
        <v>308</v>
      </c>
      <c r="E109" s="2" t="n">
        <f aca="false">COUNTIF('Anh xa'!$D$2:$D$581,A109)</f>
        <v>1</v>
      </c>
      <c r="F109" s="3" t="str">
        <f aca="false">IF(E109&gt;0,"Đã phủ","THIẾU")</f>
        <v>Đã phủ</v>
      </c>
      <c r="G109" s="7" t="s">
        <v>979</v>
      </c>
      <c r="H109" s="7"/>
    </row>
    <row r="110" customFormat="false" ht="15" hidden="false" customHeight="false" outlineLevel="0" collapsed="false">
      <c r="A110" s="2" t="s">
        <v>326</v>
      </c>
      <c r="B110" s="2" t="s">
        <v>306</v>
      </c>
      <c r="C110" s="2" t="s">
        <v>327</v>
      </c>
      <c r="D110" s="2" t="s">
        <v>308</v>
      </c>
      <c r="E110" s="2" t="n">
        <f aca="false">COUNTIF('Anh xa'!$D$2:$D$581,A110)</f>
        <v>3</v>
      </c>
      <c r="F110" s="3" t="str">
        <f aca="false">IF(E110&gt;0,"Đã phủ","THIẾU")</f>
        <v>Đã phủ</v>
      </c>
      <c r="G110" s="7" t="s">
        <v>979</v>
      </c>
      <c r="H110" s="7"/>
    </row>
    <row r="111" customFormat="false" ht="15" hidden="false" customHeight="false" outlineLevel="0" collapsed="false">
      <c r="A111" s="2" t="s">
        <v>380</v>
      </c>
      <c r="B111" s="2" t="s">
        <v>306</v>
      </c>
      <c r="C111" s="2" t="s">
        <v>381</v>
      </c>
      <c r="D111" s="2" t="s">
        <v>308</v>
      </c>
      <c r="E111" s="2" t="n">
        <f aca="false">COUNTIF('Anh xa'!$D$2:$D$581,A111)</f>
        <v>1</v>
      </c>
      <c r="F111" s="3" t="str">
        <f aca="false">IF(E111&gt;0,"Đã phủ","THIẾU")</f>
        <v>Đã phủ</v>
      </c>
      <c r="G111" s="7" t="s">
        <v>979</v>
      </c>
      <c r="H111" s="7"/>
    </row>
    <row r="112" customFormat="false" ht="15" hidden="false" customHeight="false" outlineLevel="0" collapsed="false">
      <c r="A112" s="2" t="s">
        <v>311</v>
      </c>
      <c r="B112" s="2" t="s">
        <v>306</v>
      </c>
      <c r="C112" s="2" t="s">
        <v>312</v>
      </c>
      <c r="D112" s="2" t="s">
        <v>313</v>
      </c>
      <c r="E112" s="2" t="n">
        <f aca="false">COUNTIF('Anh xa'!$D$2:$D$581,A112)</f>
        <v>1</v>
      </c>
      <c r="F112" s="3" t="str">
        <f aca="false">IF(E112&gt;0,"Đã phủ","THIẾU")</f>
        <v>Đã phủ</v>
      </c>
      <c r="G112" s="7" t="s">
        <v>979</v>
      </c>
      <c r="H112" s="7"/>
    </row>
    <row r="113" customFormat="false" ht="15" hidden="false" customHeight="false" outlineLevel="0" collapsed="false">
      <c r="A113" s="2" t="s">
        <v>314</v>
      </c>
      <c r="B113" s="2" t="s">
        <v>306</v>
      </c>
      <c r="C113" s="2" t="s">
        <v>315</v>
      </c>
      <c r="D113" s="2" t="s">
        <v>313</v>
      </c>
      <c r="E113" s="2" t="n">
        <f aca="false">COUNTIF('Anh xa'!$D$2:$D$581,A113)</f>
        <v>1</v>
      </c>
      <c r="F113" s="3" t="str">
        <f aca="false">IF(E113&gt;0,"Đã phủ","THIẾU")</f>
        <v>Đã phủ</v>
      </c>
      <c r="G113" s="7" t="s">
        <v>979</v>
      </c>
      <c r="H113" s="7"/>
    </row>
    <row r="114" customFormat="false" ht="15" hidden="false" customHeight="false" outlineLevel="0" collapsed="false">
      <c r="A114" s="2" t="s">
        <v>918</v>
      </c>
      <c r="B114" s="2" t="s">
        <v>306</v>
      </c>
      <c r="C114" s="2" t="s">
        <v>919</v>
      </c>
      <c r="D114" s="2" t="s">
        <v>313</v>
      </c>
      <c r="E114" s="2" t="n">
        <f aca="false">COUNTIF('Anh xa'!$D$2:$D$581,A114)</f>
        <v>2</v>
      </c>
      <c r="F114" s="3" t="str">
        <f aca="false">IF(E114&gt;0,"Đã phủ","THIẾU")</f>
        <v>Đã phủ</v>
      </c>
      <c r="G114" s="7" t="s">
        <v>979</v>
      </c>
      <c r="H114" s="7"/>
    </row>
    <row r="115" customFormat="false" ht="15" hidden="false" customHeight="false" outlineLevel="0" collapsed="false">
      <c r="A115" s="2" t="s">
        <v>322</v>
      </c>
      <c r="B115" s="2" t="s">
        <v>117</v>
      </c>
      <c r="C115" s="2" t="s">
        <v>323</v>
      </c>
      <c r="D115" s="2" t="s">
        <v>119</v>
      </c>
      <c r="E115" s="2" t="n">
        <f aca="false">COUNTIF('Anh xa'!$D$2:$D$581,A115)</f>
        <v>1</v>
      </c>
      <c r="F115" s="3" t="str">
        <f aca="false">IF(E115&gt;0,"Đã phủ","THIẾU")</f>
        <v>Đã phủ</v>
      </c>
      <c r="G115" s="7" t="s">
        <v>979</v>
      </c>
      <c r="H115" s="7"/>
    </row>
    <row r="116" customFormat="false" ht="15" hidden="false" customHeight="false" outlineLevel="0" collapsed="false">
      <c r="A116" s="2" t="s">
        <v>156</v>
      </c>
      <c r="B116" s="2" t="s">
        <v>117</v>
      </c>
      <c r="C116" s="2" t="s">
        <v>157</v>
      </c>
      <c r="D116" s="2" t="s">
        <v>119</v>
      </c>
      <c r="E116" s="2" t="n">
        <f aca="false">COUNTIF('Anh xa'!$D$2:$D$581,A116)</f>
        <v>10</v>
      </c>
      <c r="F116" s="3" t="str">
        <f aca="false">IF(E116&gt;0,"Đã phủ","THIẾU")</f>
        <v>Đã phủ</v>
      </c>
      <c r="G116" s="7" t="s">
        <v>979</v>
      </c>
      <c r="H116" s="7"/>
    </row>
    <row r="117" customFormat="false" ht="15" hidden="false" customHeight="false" outlineLevel="0" collapsed="false">
      <c r="A117" s="2" t="s">
        <v>116</v>
      </c>
      <c r="B117" s="2" t="s">
        <v>117</v>
      </c>
      <c r="C117" s="2" t="s">
        <v>118</v>
      </c>
      <c r="D117" s="2" t="s">
        <v>119</v>
      </c>
      <c r="E117" s="2" t="n">
        <f aca="false">COUNTIF('Anh xa'!$D$2:$D$581,A117)</f>
        <v>4</v>
      </c>
      <c r="F117" s="3" t="str">
        <f aca="false">IF(E117&gt;0,"Đã phủ","THIẾU")</f>
        <v>Đã phủ</v>
      </c>
      <c r="G117" s="7" t="s">
        <v>979</v>
      </c>
      <c r="H117" s="7"/>
    </row>
    <row r="118" customFormat="false" ht="15" hidden="false" customHeight="false" outlineLevel="0" collapsed="false">
      <c r="A118" s="2" t="s">
        <v>324</v>
      </c>
      <c r="B118" s="2" t="s">
        <v>117</v>
      </c>
      <c r="C118" s="2" t="s">
        <v>325</v>
      </c>
      <c r="D118" s="2" t="s">
        <v>119</v>
      </c>
      <c r="E118" s="2" t="n">
        <f aca="false">COUNTIF('Anh xa'!$D$2:$D$581,A118)</f>
        <v>1</v>
      </c>
      <c r="F118" s="3" t="str">
        <f aca="false">IF(E118&gt;0,"Đã phủ","THIẾU")</f>
        <v>Đã phủ</v>
      </c>
      <c r="G118" s="7" t="s">
        <v>979</v>
      </c>
      <c r="H118" s="7"/>
    </row>
    <row r="119" customFormat="false" ht="15" hidden="false" customHeight="false" outlineLevel="0" collapsed="false">
      <c r="A119" s="2" t="s">
        <v>257</v>
      </c>
      <c r="B119" s="2" t="s">
        <v>117</v>
      </c>
      <c r="C119" s="2" t="s">
        <v>258</v>
      </c>
      <c r="D119" s="2" t="s">
        <v>119</v>
      </c>
      <c r="E119" s="2" t="n">
        <f aca="false">COUNTIF('Anh xa'!$D$2:$D$581,A119)</f>
        <v>17</v>
      </c>
      <c r="F119" s="3" t="str">
        <f aca="false">IF(E119&gt;0,"Đã phủ","THIẾU")</f>
        <v>Đã phủ</v>
      </c>
      <c r="G119" s="7" t="s">
        <v>979</v>
      </c>
      <c r="H119" s="7"/>
    </row>
    <row r="120" customFormat="false" ht="15" hidden="false" customHeight="false" outlineLevel="0" collapsed="false">
      <c r="A120" s="2" t="s">
        <v>334</v>
      </c>
      <c r="B120" s="2" t="s">
        <v>163</v>
      </c>
      <c r="C120" s="2" t="s">
        <v>335</v>
      </c>
      <c r="D120" s="2" t="s">
        <v>165</v>
      </c>
      <c r="E120" s="2" t="n">
        <f aca="false">COUNTIF('Anh xa'!$D$2:$D$581,A120)</f>
        <v>3</v>
      </c>
      <c r="F120" s="3" t="str">
        <f aca="false">IF(E120&gt;0,"Đã phủ","THIẾU")</f>
        <v>Đã phủ</v>
      </c>
      <c r="G120" s="7" t="s">
        <v>979</v>
      </c>
      <c r="H120" s="7"/>
    </row>
    <row r="121" customFormat="false" ht="15" hidden="false" customHeight="false" outlineLevel="0" collapsed="false">
      <c r="A121" s="2" t="s">
        <v>162</v>
      </c>
      <c r="B121" s="2" t="s">
        <v>163</v>
      </c>
      <c r="C121" s="2" t="s">
        <v>164</v>
      </c>
      <c r="D121" s="2" t="s">
        <v>165</v>
      </c>
      <c r="E121" s="2" t="n">
        <f aca="false">COUNTIF('Anh xa'!$D$2:$D$581,A121)</f>
        <v>3</v>
      </c>
      <c r="F121" s="3" t="str">
        <f aca="false">IF(E121&gt;0,"Đã phủ","THIẾU")</f>
        <v>Đã phủ</v>
      </c>
      <c r="G121" s="7" t="s">
        <v>979</v>
      </c>
      <c r="H121" s="7"/>
    </row>
    <row r="122" customFormat="false" ht="15" hidden="false" customHeight="false" outlineLevel="0" collapsed="false">
      <c r="A122" s="2" t="s">
        <v>487</v>
      </c>
      <c r="B122" s="2" t="s">
        <v>163</v>
      </c>
      <c r="C122" s="2" t="s">
        <v>488</v>
      </c>
      <c r="D122" s="2" t="s">
        <v>165</v>
      </c>
      <c r="E122" s="2" t="n">
        <f aca="false">COUNTIF('Anh xa'!$D$2:$D$581,A122)</f>
        <v>3</v>
      </c>
      <c r="F122" s="3" t="str">
        <f aca="false">IF(E122&gt;0,"Đã phủ","THIẾU")</f>
        <v>Đã phủ</v>
      </c>
      <c r="G122" s="7" t="s">
        <v>979</v>
      </c>
      <c r="H122" s="7"/>
    </row>
    <row r="123" customFormat="false" ht="15" hidden="false" customHeight="false" outlineLevel="0" collapsed="false">
      <c r="A123" s="2" t="s">
        <v>354</v>
      </c>
      <c r="B123" s="2" t="s">
        <v>163</v>
      </c>
      <c r="C123" s="2" t="s">
        <v>355</v>
      </c>
      <c r="D123" s="2" t="s">
        <v>165</v>
      </c>
      <c r="E123" s="2" t="n">
        <f aca="false">COUNTIF('Anh xa'!$D$2:$D$581,A123)</f>
        <v>1</v>
      </c>
      <c r="F123" s="3" t="str">
        <f aca="false">IF(E123&gt;0,"Đã phủ","THIẾU")</f>
        <v>Đã phủ</v>
      </c>
      <c r="G123" s="7" t="s">
        <v>979</v>
      </c>
      <c r="H123" s="7"/>
    </row>
    <row r="124" customFormat="false" ht="15" hidden="false" customHeight="false" outlineLevel="0" collapsed="false">
      <c r="A124" s="2" t="s">
        <v>956</v>
      </c>
      <c r="B124" s="2" t="s">
        <v>163</v>
      </c>
      <c r="C124" s="2" t="s">
        <v>957</v>
      </c>
      <c r="D124" s="2" t="s">
        <v>165</v>
      </c>
      <c r="E124" s="2" t="n">
        <f aca="false">COUNTIF('Anh xa'!$D$2:$D$581,A124)</f>
        <v>2</v>
      </c>
      <c r="F124" s="3" t="str">
        <f aca="false">IF(E124&gt;0,"Đã phủ","THIẾU")</f>
        <v>Đã phủ</v>
      </c>
      <c r="G124" s="7" t="s">
        <v>979</v>
      </c>
      <c r="H124" s="7"/>
    </row>
    <row r="125" customFormat="false" ht="15" hidden="false" customHeight="false" outlineLevel="0" collapsed="false">
      <c r="A125" s="2" t="s">
        <v>868</v>
      </c>
      <c r="B125" s="2" t="s">
        <v>163</v>
      </c>
      <c r="C125" s="2" t="s">
        <v>869</v>
      </c>
      <c r="D125" s="2" t="s">
        <v>165</v>
      </c>
      <c r="E125" s="2" t="n">
        <f aca="false">COUNTIF('Anh xa'!$D$2:$D$581,A125)</f>
        <v>2</v>
      </c>
      <c r="F125" s="3" t="str">
        <f aca="false">IF(E125&gt;0,"Đã phủ","THIẾU")</f>
        <v>Đã phủ</v>
      </c>
      <c r="G125" s="7" t="s">
        <v>979</v>
      </c>
      <c r="H125" s="7"/>
    </row>
    <row r="126" customFormat="false" ht="15" hidden="false" customHeight="false" outlineLevel="0" collapsed="false">
      <c r="A126" s="2" t="s">
        <v>336</v>
      </c>
      <c r="B126" s="2" t="s">
        <v>337</v>
      </c>
      <c r="C126" s="2" t="s">
        <v>338</v>
      </c>
      <c r="D126" s="2" t="s">
        <v>339</v>
      </c>
      <c r="E126" s="2" t="n">
        <f aca="false">COUNTIF('Anh xa'!$D$2:$D$581,A126)</f>
        <v>5</v>
      </c>
      <c r="F126" s="3" t="str">
        <f aca="false">IF(E126&gt;0,"Đã phủ","THIẾU")</f>
        <v>Đã phủ</v>
      </c>
      <c r="G126" s="7" t="s">
        <v>979</v>
      </c>
      <c r="H126" s="7"/>
    </row>
    <row r="127" customFormat="false" ht="15" hidden="false" customHeight="false" outlineLevel="0" collapsed="false">
      <c r="A127" s="2" t="s">
        <v>386</v>
      </c>
      <c r="B127" s="2" t="s">
        <v>337</v>
      </c>
      <c r="C127" s="2" t="s">
        <v>387</v>
      </c>
      <c r="D127" s="2" t="s">
        <v>339</v>
      </c>
      <c r="E127" s="2" t="n">
        <f aca="false">COUNTIF('Anh xa'!$D$2:$D$581,A127)</f>
        <v>2</v>
      </c>
      <c r="F127" s="3" t="str">
        <f aca="false">IF(E127&gt;0,"Đã phủ","THIẾU")</f>
        <v>Đã phủ</v>
      </c>
      <c r="G127" s="7" t="s">
        <v>979</v>
      </c>
      <c r="H127" s="7"/>
    </row>
    <row r="128" customFormat="false" ht="23.85" hidden="false" customHeight="false" outlineLevel="0" collapsed="false">
      <c r="A128" s="2" t="s">
        <v>529</v>
      </c>
      <c r="B128" s="2" t="s">
        <v>337</v>
      </c>
      <c r="C128" s="2" t="s">
        <v>530</v>
      </c>
      <c r="D128" s="2" t="s">
        <v>339</v>
      </c>
      <c r="E128" s="2" t="n">
        <f aca="false">COUNTIF('Anh xa'!$D$2:$D$581,A128)</f>
        <v>1</v>
      </c>
      <c r="F128" s="3" t="str">
        <f aca="false">IF(E128&gt;0,"Đã phủ","THIẾU")</f>
        <v>Đã phủ</v>
      </c>
      <c r="G128" s="7" t="s">
        <v>979</v>
      </c>
      <c r="H128" s="7"/>
    </row>
    <row r="129" customFormat="false" ht="15" hidden="false" customHeight="false" outlineLevel="0" collapsed="false">
      <c r="A129" s="2" t="s">
        <v>344</v>
      </c>
      <c r="B129" s="2" t="s">
        <v>337</v>
      </c>
      <c r="C129" s="2" t="s">
        <v>345</v>
      </c>
      <c r="D129" s="2" t="s">
        <v>339</v>
      </c>
      <c r="E129" s="2" t="n">
        <f aca="false">COUNTIF('Anh xa'!$D$2:$D$581,A129)</f>
        <v>3</v>
      </c>
      <c r="F129" s="3" t="str">
        <f aca="false">IF(E129&gt;0,"Đã phủ","THIẾU")</f>
        <v>Đã phủ</v>
      </c>
      <c r="G129" s="7" t="s">
        <v>979</v>
      </c>
      <c r="H129" s="7"/>
    </row>
    <row r="130" customFormat="false" ht="15" hidden="false" customHeight="false" outlineLevel="0" collapsed="false">
      <c r="A130" s="2" t="s">
        <v>625</v>
      </c>
      <c r="B130" s="2" t="s">
        <v>337</v>
      </c>
      <c r="C130" s="2" t="s">
        <v>626</v>
      </c>
      <c r="D130" s="2" t="s">
        <v>339</v>
      </c>
      <c r="E130" s="2" t="n">
        <f aca="false">COUNTIF('Anh xa'!$D$2:$D$581,A130)</f>
        <v>1</v>
      </c>
      <c r="F130" s="3" t="str">
        <f aca="false">IF(E130&gt;0,"Đã phủ","THIẾU")</f>
        <v>Đã phủ</v>
      </c>
      <c r="G130" s="7" t="s">
        <v>979</v>
      </c>
      <c r="H130" s="7"/>
    </row>
    <row r="131" customFormat="false" ht="15" hidden="false" customHeight="false" outlineLevel="0" collapsed="false">
      <c r="A131" s="2" t="s">
        <v>811</v>
      </c>
      <c r="B131" s="2" t="s">
        <v>53</v>
      </c>
      <c r="C131" s="2" t="s">
        <v>812</v>
      </c>
      <c r="D131" s="2" t="s">
        <v>55</v>
      </c>
      <c r="E131" s="2" t="n">
        <f aca="false">COUNTIF('Anh xa'!$D$2:$D$581,A131)</f>
        <v>2</v>
      </c>
      <c r="F131" s="3" t="str">
        <f aca="false">IF(E131&gt;0,"Đã phủ","THIẾU")</f>
        <v>Đã phủ</v>
      </c>
      <c r="G131" s="7" t="s">
        <v>979</v>
      </c>
      <c r="H131" s="7"/>
    </row>
    <row r="132" customFormat="false" ht="15" hidden="false" customHeight="false" outlineLevel="0" collapsed="false">
      <c r="A132" s="2" t="s">
        <v>639</v>
      </c>
      <c r="B132" s="2" t="s">
        <v>53</v>
      </c>
      <c r="C132" s="2" t="s">
        <v>640</v>
      </c>
      <c r="D132" s="2" t="s">
        <v>55</v>
      </c>
      <c r="E132" s="2" t="n">
        <f aca="false">COUNTIF('Anh xa'!$D$2:$D$581,A132)</f>
        <v>2</v>
      </c>
      <c r="F132" s="3" t="str">
        <f aca="false">IF(E132&gt;0,"Đã phủ","THIẾU")</f>
        <v>Đã phủ</v>
      </c>
      <c r="G132" s="7" t="s">
        <v>979</v>
      </c>
      <c r="H132" s="7"/>
    </row>
    <row r="133" customFormat="false" ht="15" hidden="false" customHeight="false" outlineLevel="0" collapsed="false">
      <c r="A133" s="2" t="s">
        <v>825</v>
      </c>
      <c r="B133" s="2" t="s">
        <v>53</v>
      </c>
      <c r="C133" s="2" t="s">
        <v>826</v>
      </c>
      <c r="D133" s="2" t="s">
        <v>55</v>
      </c>
      <c r="E133" s="2" t="n">
        <f aca="false">COUNTIF('Anh xa'!$D$2:$D$581,A133)</f>
        <v>1</v>
      </c>
      <c r="F133" s="3" t="str">
        <f aca="false">IF(E133&gt;0,"Đã phủ","THIẾU")</f>
        <v>Đã phủ</v>
      </c>
      <c r="G133" s="7" t="s">
        <v>979</v>
      </c>
      <c r="H133" s="7"/>
    </row>
    <row r="134" customFormat="false" ht="15" hidden="false" customHeight="false" outlineLevel="0" collapsed="false">
      <c r="A134" s="2" t="s">
        <v>844</v>
      </c>
      <c r="B134" s="2" t="s">
        <v>53</v>
      </c>
      <c r="C134" s="2" t="s">
        <v>845</v>
      </c>
      <c r="D134" s="2" t="s">
        <v>55</v>
      </c>
      <c r="E134" s="2" t="n">
        <f aca="false">COUNTIF('Anh xa'!$D$2:$D$581,A134)</f>
        <v>1</v>
      </c>
      <c r="F134" s="3" t="str">
        <f aca="false">IF(E134&gt;0,"Đã phủ","THIẾU")</f>
        <v>Đã phủ</v>
      </c>
      <c r="G134" s="7" t="s">
        <v>979</v>
      </c>
      <c r="H134" s="7"/>
    </row>
    <row r="135" customFormat="false" ht="15" hidden="false" customHeight="false" outlineLevel="0" collapsed="false">
      <c r="A135" s="2" t="s">
        <v>735</v>
      </c>
      <c r="B135" s="2" t="s">
        <v>53</v>
      </c>
      <c r="C135" s="2" t="s">
        <v>736</v>
      </c>
      <c r="D135" s="2" t="s">
        <v>55</v>
      </c>
      <c r="E135" s="2" t="n">
        <f aca="false">COUNTIF('Anh xa'!$D$2:$D$581,A135)</f>
        <v>3</v>
      </c>
      <c r="F135" s="3" t="str">
        <f aca="false">IF(E135&gt;0,"Đã phủ","THIẾU")</f>
        <v>Đã phủ</v>
      </c>
      <c r="G135" s="7" t="s">
        <v>979</v>
      </c>
      <c r="H135" s="7"/>
    </row>
    <row r="136" customFormat="false" ht="15" hidden="false" customHeight="false" outlineLevel="0" collapsed="false">
      <c r="A136" s="2" t="s">
        <v>114</v>
      </c>
      <c r="B136" s="2" t="s">
        <v>53</v>
      </c>
      <c r="C136" s="2" t="s">
        <v>115</v>
      </c>
      <c r="D136" s="2" t="s">
        <v>55</v>
      </c>
      <c r="E136" s="2" t="n">
        <f aca="false">COUNTIF('Anh xa'!$D$2:$D$581,A136)</f>
        <v>5</v>
      </c>
      <c r="F136" s="3" t="str">
        <f aca="false">IF(E136&gt;0,"Đã phủ","THIẾU")</f>
        <v>Đã phủ</v>
      </c>
      <c r="G136" s="7" t="s">
        <v>979</v>
      </c>
      <c r="H136" s="7"/>
    </row>
    <row r="137" customFormat="false" ht="15" hidden="false" customHeight="false" outlineLevel="0" collapsed="false">
      <c r="A137" s="2" t="s">
        <v>52</v>
      </c>
      <c r="B137" s="2" t="s">
        <v>53</v>
      </c>
      <c r="C137" s="2" t="s">
        <v>54</v>
      </c>
      <c r="D137" s="2" t="s">
        <v>55</v>
      </c>
      <c r="E137" s="2" t="n">
        <f aca="false">COUNTIF('Anh xa'!$D$2:$D$581,A137)</f>
        <v>5</v>
      </c>
      <c r="F137" s="3" t="str">
        <f aca="false">IF(E137&gt;0,"Đã phủ","THIẾU")</f>
        <v>Đã phủ</v>
      </c>
      <c r="G137" s="7" t="s">
        <v>979</v>
      </c>
      <c r="H137" s="7"/>
    </row>
    <row r="138" customFormat="false" ht="15" hidden="false" customHeight="false" outlineLevel="0" collapsed="false">
      <c r="A138" s="2" t="s">
        <v>245</v>
      </c>
      <c r="B138" s="2" t="s">
        <v>53</v>
      </c>
      <c r="C138" s="2" t="s">
        <v>246</v>
      </c>
      <c r="D138" s="2" t="s">
        <v>55</v>
      </c>
      <c r="E138" s="2" t="n">
        <f aca="false">COUNTIF('Anh xa'!$D$2:$D$581,A138)</f>
        <v>2</v>
      </c>
      <c r="F138" s="3" t="str">
        <f aca="false">IF(E138&gt;0,"Đã phủ","THIẾU")</f>
        <v>Đã phủ</v>
      </c>
      <c r="G138" s="7" t="s">
        <v>979</v>
      </c>
      <c r="H138" s="7"/>
    </row>
    <row r="139" customFormat="false" ht="15" hidden="false" customHeight="false" outlineLevel="0" collapsed="false">
      <c r="A139" s="2" t="s">
        <v>273</v>
      </c>
      <c r="B139" s="2" t="s">
        <v>109</v>
      </c>
      <c r="C139" s="2" t="s">
        <v>274</v>
      </c>
      <c r="D139" s="2" t="s">
        <v>111</v>
      </c>
      <c r="E139" s="2" t="n">
        <f aca="false">COUNTIF('Anh xa'!$D$2:$D$581,A139)</f>
        <v>4</v>
      </c>
      <c r="F139" s="3" t="str">
        <f aca="false">IF(E139&gt;0,"Đã phủ","THIẾU")</f>
        <v>Đã phủ</v>
      </c>
      <c r="G139" s="7" t="s">
        <v>979</v>
      </c>
      <c r="H139" s="7"/>
    </row>
    <row r="140" customFormat="false" ht="15" hidden="false" customHeight="false" outlineLevel="0" collapsed="false">
      <c r="A140" s="2" t="s">
        <v>705</v>
      </c>
      <c r="B140" s="2" t="s">
        <v>109</v>
      </c>
      <c r="C140" s="2" t="s">
        <v>706</v>
      </c>
      <c r="D140" s="2" t="s">
        <v>111</v>
      </c>
      <c r="E140" s="2" t="n">
        <f aca="false">COUNTIF('Anh xa'!$D$2:$D$581,A140)</f>
        <v>3</v>
      </c>
      <c r="F140" s="3" t="str">
        <f aca="false">IF(E140&gt;0,"Đã phủ","THIẾU")</f>
        <v>Đã phủ</v>
      </c>
      <c r="G140" s="7" t="s">
        <v>979</v>
      </c>
      <c r="H140" s="7"/>
    </row>
    <row r="141" customFormat="false" ht="15" hidden="false" customHeight="false" outlineLevel="0" collapsed="false">
      <c r="A141" s="2" t="s">
        <v>856</v>
      </c>
      <c r="B141" s="2" t="s">
        <v>109</v>
      </c>
      <c r="C141" s="2" t="s">
        <v>857</v>
      </c>
      <c r="D141" s="2" t="s">
        <v>111</v>
      </c>
      <c r="E141" s="2" t="n">
        <f aca="false">COUNTIF('Anh xa'!$D$2:$D$581,A141)</f>
        <v>1</v>
      </c>
      <c r="F141" s="3" t="str">
        <f aca="false">IF(E141&gt;0,"Đã phủ","THIẾU")</f>
        <v>Đã phủ</v>
      </c>
      <c r="G141" s="7" t="s">
        <v>979</v>
      </c>
      <c r="H141" s="7"/>
    </row>
    <row r="142" customFormat="false" ht="15" hidden="false" customHeight="false" outlineLevel="0" collapsed="false">
      <c r="A142" s="2" t="s">
        <v>780</v>
      </c>
      <c r="B142" s="2" t="s">
        <v>109</v>
      </c>
      <c r="C142" s="2" t="s">
        <v>781</v>
      </c>
      <c r="D142" s="2" t="s">
        <v>111</v>
      </c>
      <c r="E142" s="2" t="n">
        <f aca="false">COUNTIF('Anh xa'!$D$2:$D$581,A142)</f>
        <v>3</v>
      </c>
      <c r="F142" s="3" t="str">
        <f aca="false">IF(E142&gt;0,"Đã phủ","THIẾU")</f>
        <v>Đã phủ</v>
      </c>
      <c r="G142" s="7" t="s">
        <v>979</v>
      </c>
      <c r="H142" s="7"/>
    </row>
    <row r="143" customFormat="false" ht="15" hidden="false" customHeight="false" outlineLevel="0" collapsed="false">
      <c r="A143" s="2" t="s">
        <v>842</v>
      </c>
      <c r="B143" s="2" t="s">
        <v>109</v>
      </c>
      <c r="C143" s="2" t="s">
        <v>843</v>
      </c>
      <c r="D143" s="2" t="s">
        <v>111</v>
      </c>
      <c r="E143" s="2" t="n">
        <f aca="false">COUNTIF('Anh xa'!$D$2:$D$581,A143)</f>
        <v>1</v>
      </c>
      <c r="F143" s="3" t="str">
        <f aca="false">IF(E143&gt;0,"Đã phủ","THIẾU")</f>
        <v>Đã phủ</v>
      </c>
      <c r="G143" s="7" t="s">
        <v>979</v>
      </c>
      <c r="H143" s="7"/>
    </row>
    <row r="144" customFormat="false" ht="15" hidden="false" customHeight="false" outlineLevel="0" collapsed="false">
      <c r="A144" s="2" t="s">
        <v>848</v>
      </c>
      <c r="B144" s="2" t="s">
        <v>109</v>
      </c>
      <c r="C144" s="2" t="s">
        <v>849</v>
      </c>
      <c r="D144" s="2" t="s">
        <v>111</v>
      </c>
      <c r="E144" s="2" t="n">
        <f aca="false">COUNTIF('Anh xa'!$D$2:$D$581,A144)</f>
        <v>1</v>
      </c>
      <c r="F144" s="3" t="str">
        <f aca="false">IF(E144&gt;0,"Đã phủ","THIẾU")</f>
        <v>Đã phủ</v>
      </c>
      <c r="G144" s="7" t="s">
        <v>979</v>
      </c>
      <c r="H144" s="7"/>
    </row>
    <row r="145" customFormat="false" ht="15" hidden="false" customHeight="false" outlineLevel="0" collapsed="false">
      <c r="A145" s="2" t="s">
        <v>108</v>
      </c>
      <c r="B145" s="2" t="s">
        <v>109</v>
      </c>
      <c r="C145" s="2" t="s">
        <v>110</v>
      </c>
      <c r="D145" s="2" t="s">
        <v>111</v>
      </c>
      <c r="E145" s="2" t="n">
        <f aca="false">COUNTIF('Anh xa'!$D$2:$D$581,A145)</f>
        <v>2</v>
      </c>
      <c r="F145" s="3" t="str">
        <f aca="false">IF(E145&gt;0,"Đã phủ","THIẾU")</f>
        <v>Đã phủ</v>
      </c>
      <c r="G145" s="7" t="s">
        <v>979</v>
      </c>
      <c r="H145" s="7"/>
    </row>
    <row r="146" customFormat="false" ht="15" hidden="false" customHeight="false" outlineLevel="0" collapsed="false">
      <c r="A146" s="2" t="s">
        <v>852</v>
      </c>
      <c r="B146" s="2" t="s">
        <v>109</v>
      </c>
      <c r="C146" s="2" t="s">
        <v>853</v>
      </c>
      <c r="D146" s="2" t="s">
        <v>111</v>
      </c>
      <c r="E146" s="2" t="n">
        <f aca="false">COUNTIF('Anh xa'!$D$2:$D$581,A146)</f>
        <v>2</v>
      </c>
      <c r="F146" s="3" t="str">
        <f aca="false">IF(E146&gt;0,"Đã phủ","THIẾU")</f>
        <v>Đã phủ</v>
      </c>
      <c r="G146" s="7" t="s">
        <v>979</v>
      </c>
      <c r="H146" s="7"/>
    </row>
    <row r="147" customFormat="false" ht="15" hidden="false" customHeight="false" outlineLevel="0" collapsed="false">
      <c r="A147" s="2" t="s">
        <v>72</v>
      </c>
      <c r="B147" s="2" t="s">
        <v>73</v>
      </c>
      <c r="C147" s="2" t="s">
        <v>74</v>
      </c>
      <c r="D147" s="2" t="s">
        <v>75</v>
      </c>
      <c r="E147" s="2" t="n">
        <f aca="false">COUNTIF('Anh xa'!$D$2:$D$581,A147)</f>
        <v>2</v>
      </c>
      <c r="F147" s="3" t="str">
        <f aca="false">IF(E147&gt;0,"Đã phủ","THIẾU")</f>
        <v>Đã phủ</v>
      </c>
      <c r="G147" s="7" t="s">
        <v>979</v>
      </c>
      <c r="H147" s="7"/>
    </row>
    <row r="148" customFormat="false" ht="15" hidden="false" customHeight="false" outlineLevel="0" collapsed="false">
      <c r="A148" s="2" t="s">
        <v>76</v>
      </c>
      <c r="B148" s="2" t="s">
        <v>73</v>
      </c>
      <c r="C148" s="2" t="s">
        <v>77</v>
      </c>
      <c r="D148" s="2" t="s">
        <v>75</v>
      </c>
      <c r="E148" s="2" t="n">
        <f aca="false">COUNTIF('Anh xa'!$D$2:$D$581,A148)</f>
        <v>3</v>
      </c>
      <c r="F148" s="3" t="str">
        <f aca="false">IF(E148&gt;0,"Đã phủ","THIẾU")</f>
        <v>Đã phủ</v>
      </c>
      <c r="G148" s="7" t="s">
        <v>979</v>
      </c>
      <c r="H148" s="7"/>
    </row>
    <row r="149" customFormat="false" ht="15" hidden="false" customHeight="false" outlineLevel="0" collapsed="false">
      <c r="A149" s="2" t="s">
        <v>78</v>
      </c>
      <c r="B149" s="2" t="s">
        <v>73</v>
      </c>
      <c r="C149" s="2" t="s">
        <v>79</v>
      </c>
      <c r="D149" s="2" t="s">
        <v>75</v>
      </c>
      <c r="E149" s="2" t="n">
        <f aca="false">COUNTIF('Anh xa'!$D$2:$D$581,A149)</f>
        <v>5</v>
      </c>
      <c r="F149" s="3" t="str">
        <f aca="false">IF(E149&gt;0,"Đã phủ","THIẾU")</f>
        <v>Đã phủ</v>
      </c>
      <c r="G149" s="7" t="s">
        <v>979</v>
      </c>
      <c r="H149" s="7"/>
    </row>
    <row r="150" customFormat="false" ht="15" hidden="false" customHeight="false" outlineLevel="0" collapsed="false">
      <c r="A150" s="2" t="s">
        <v>80</v>
      </c>
      <c r="B150" s="2" t="s">
        <v>73</v>
      </c>
      <c r="C150" s="2" t="s">
        <v>81</v>
      </c>
      <c r="D150" s="2" t="s">
        <v>75</v>
      </c>
      <c r="E150" s="2" t="n">
        <f aca="false">COUNTIF('Anh xa'!$D$2:$D$581,A150)</f>
        <v>5</v>
      </c>
      <c r="F150" s="3" t="str">
        <f aca="false">IF(E150&gt;0,"Đã phủ","THIẾU")</f>
        <v>Đã phủ</v>
      </c>
      <c r="G150" s="7" t="s">
        <v>979</v>
      </c>
      <c r="H150" s="7"/>
    </row>
    <row r="151" customFormat="false" ht="15" hidden="false" customHeight="false" outlineLevel="0" collapsed="false">
      <c r="A151" s="2" t="s">
        <v>191</v>
      </c>
      <c r="B151" s="2" t="s">
        <v>67</v>
      </c>
      <c r="C151" s="2" t="s">
        <v>192</v>
      </c>
      <c r="D151" s="2" t="s">
        <v>69</v>
      </c>
      <c r="E151" s="2" t="n">
        <f aca="false">COUNTIF('Anh xa'!$D$2:$D$581,A151)</f>
        <v>5</v>
      </c>
      <c r="F151" s="3" t="str">
        <f aca="false">IF(E151&gt;0,"Đã phủ","THIẾU")</f>
        <v>Đã phủ</v>
      </c>
      <c r="G151" s="7" t="s">
        <v>979</v>
      </c>
      <c r="H151" s="7"/>
    </row>
    <row r="152" customFormat="false" ht="15" hidden="false" customHeight="false" outlineLevel="0" collapsed="false">
      <c r="A152" s="2" t="s">
        <v>430</v>
      </c>
      <c r="B152" s="2" t="s">
        <v>67</v>
      </c>
      <c r="C152" s="2" t="s">
        <v>431</v>
      </c>
      <c r="D152" s="2" t="s">
        <v>69</v>
      </c>
      <c r="E152" s="2" t="n">
        <f aca="false">COUNTIF('Anh xa'!$D$2:$D$581,A152)</f>
        <v>3</v>
      </c>
      <c r="F152" s="3" t="str">
        <f aca="false">IF(E152&gt;0,"Đã phủ","THIẾU")</f>
        <v>Đã phủ</v>
      </c>
      <c r="G152" s="7" t="s">
        <v>979</v>
      </c>
      <c r="H152" s="7"/>
    </row>
    <row r="153" customFormat="false" ht="15" hidden="false" customHeight="false" outlineLevel="0" collapsed="false">
      <c r="A153" s="2" t="s">
        <v>424</v>
      </c>
      <c r="B153" s="2" t="s">
        <v>67</v>
      </c>
      <c r="C153" s="2" t="s">
        <v>425</v>
      </c>
      <c r="D153" s="2" t="s">
        <v>69</v>
      </c>
      <c r="E153" s="2" t="n">
        <f aca="false">COUNTIF('Anh xa'!$D$2:$D$581,A153)</f>
        <v>2</v>
      </c>
      <c r="F153" s="3" t="str">
        <f aca="false">IF(E153&gt;0,"Đã phủ","THIẾU")</f>
        <v>Đã phủ</v>
      </c>
      <c r="G153" s="7" t="s">
        <v>979</v>
      </c>
      <c r="H153" s="7"/>
    </row>
    <row r="154" customFormat="false" ht="15" hidden="false" customHeight="false" outlineLevel="0" collapsed="false">
      <c r="A154" s="2" t="s">
        <v>446</v>
      </c>
      <c r="B154" s="2" t="s">
        <v>67</v>
      </c>
      <c r="C154" s="2" t="s">
        <v>447</v>
      </c>
      <c r="D154" s="2" t="s">
        <v>69</v>
      </c>
      <c r="E154" s="2" t="n">
        <f aca="false">COUNTIF('Anh xa'!$D$2:$D$581,A154)</f>
        <v>2</v>
      </c>
      <c r="F154" s="3" t="str">
        <f aca="false">IF(E154&gt;0,"Đã phủ","THIẾU")</f>
        <v>Đã phủ</v>
      </c>
      <c r="G154" s="7" t="s">
        <v>979</v>
      </c>
      <c r="H154" s="7"/>
    </row>
    <row r="155" customFormat="false" ht="15" hidden="false" customHeight="false" outlineLevel="0" collapsed="false">
      <c r="A155" s="2" t="s">
        <v>483</v>
      </c>
      <c r="B155" s="2" t="s">
        <v>67</v>
      </c>
      <c r="C155" s="2" t="s">
        <v>484</v>
      </c>
      <c r="D155" s="2" t="s">
        <v>69</v>
      </c>
      <c r="E155" s="2" t="n">
        <f aca="false">COUNTIF('Anh xa'!$D$2:$D$581,A155)</f>
        <v>2</v>
      </c>
      <c r="F155" s="3" t="str">
        <f aca="false">IF(E155&gt;0,"Đã phủ","THIẾU")</f>
        <v>Đã phủ</v>
      </c>
      <c r="G155" s="7" t="s">
        <v>979</v>
      </c>
      <c r="H155" s="7"/>
    </row>
    <row r="156" customFormat="false" ht="15" hidden="false" customHeight="false" outlineLevel="0" collapsed="false">
      <c r="A156" s="2" t="s">
        <v>66</v>
      </c>
      <c r="B156" s="2" t="s">
        <v>67</v>
      </c>
      <c r="C156" s="2" t="s">
        <v>68</v>
      </c>
      <c r="D156" s="2" t="s">
        <v>69</v>
      </c>
      <c r="E156" s="2" t="n">
        <f aca="false">COUNTIF('Anh xa'!$D$2:$D$581,A156)</f>
        <v>2</v>
      </c>
      <c r="F156" s="3" t="str">
        <f aca="false">IF(E156&gt;0,"Đã phủ","THIẾU")</f>
        <v>Đã phủ</v>
      </c>
      <c r="G156" s="7" t="s">
        <v>979</v>
      </c>
      <c r="H156" s="7"/>
    </row>
    <row r="157" customFormat="false" ht="15" hidden="false" customHeight="false" outlineLevel="0" collapsed="false">
      <c r="A157" s="2" t="s">
        <v>442</v>
      </c>
      <c r="B157" s="2" t="s">
        <v>67</v>
      </c>
      <c r="C157" s="2" t="s">
        <v>443</v>
      </c>
      <c r="D157" s="2" t="s">
        <v>69</v>
      </c>
      <c r="E157" s="2" t="n">
        <f aca="false">COUNTIF('Anh xa'!$D$2:$D$581,A157)</f>
        <v>2</v>
      </c>
      <c r="F157" s="3" t="str">
        <f aca="false">IF(E157&gt;0,"Đã phủ","THIẾU")</f>
        <v>Đã phủ</v>
      </c>
      <c r="G157" s="7" t="s">
        <v>979</v>
      </c>
      <c r="H157" s="7"/>
    </row>
    <row r="158" customFormat="false" ht="15" hidden="false" customHeight="false" outlineLevel="0" collapsed="false">
      <c r="A158" s="2" t="s">
        <v>289</v>
      </c>
      <c r="B158" s="2" t="s">
        <v>43</v>
      </c>
      <c r="C158" s="2" t="s">
        <v>290</v>
      </c>
      <c r="D158" s="2" t="s">
        <v>45</v>
      </c>
      <c r="E158" s="2" t="n">
        <f aca="false">COUNTIF('Anh xa'!$D$2:$D$581,A158)</f>
        <v>2</v>
      </c>
      <c r="F158" s="3" t="str">
        <f aca="false">IF(E158&gt;0,"Đã phủ","THIẾU")</f>
        <v>Đã phủ</v>
      </c>
      <c r="G158" s="7" t="s">
        <v>979</v>
      </c>
      <c r="H158" s="7"/>
    </row>
    <row r="159" customFormat="false" ht="15" hidden="false" customHeight="false" outlineLevel="0" collapsed="false">
      <c r="A159" s="2" t="s">
        <v>362</v>
      </c>
      <c r="B159" s="2" t="s">
        <v>43</v>
      </c>
      <c r="C159" s="2" t="s">
        <v>363</v>
      </c>
      <c r="D159" s="2" t="s">
        <v>45</v>
      </c>
      <c r="E159" s="2" t="n">
        <f aca="false">COUNTIF('Anh xa'!$D$2:$D$581,A159)</f>
        <v>1</v>
      </c>
      <c r="F159" s="3" t="str">
        <f aca="false">IF(E159&gt;0,"Đã phủ","THIẾU")</f>
        <v>Đã phủ</v>
      </c>
      <c r="G159" s="7" t="s">
        <v>979</v>
      </c>
      <c r="H159" s="7"/>
    </row>
    <row r="160" customFormat="false" ht="15" hidden="false" customHeight="false" outlineLevel="0" collapsed="false">
      <c r="A160" s="2" t="s">
        <v>813</v>
      </c>
      <c r="B160" s="2" t="s">
        <v>43</v>
      </c>
      <c r="C160" s="2" t="s">
        <v>814</v>
      </c>
      <c r="D160" s="2" t="s">
        <v>45</v>
      </c>
      <c r="E160" s="2" t="n">
        <f aca="false">COUNTIF('Anh xa'!$D$2:$D$581,A160)</f>
        <v>1</v>
      </c>
      <c r="F160" s="3" t="str">
        <f aca="false">IF(E160&gt;0,"Đã phủ","THIẾU")</f>
        <v>Đã phủ</v>
      </c>
      <c r="G160" s="7" t="s">
        <v>979</v>
      </c>
      <c r="H160" s="7"/>
    </row>
    <row r="161" customFormat="false" ht="23.85" hidden="false" customHeight="false" outlineLevel="0" collapsed="false">
      <c r="A161" s="2" t="s">
        <v>42</v>
      </c>
      <c r="B161" s="2" t="s">
        <v>43</v>
      </c>
      <c r="C161" s="2" t="s">
        <v>44</v>
      </c>
      <c r="D161" s="2" t="s">
        <v>45</v>
      </c>
      <c r="E161" s="2" t="n">
        <f aca="false">COUNTIF('Anh xa'!$D$2:$D$581,A161)</f>
        <v>3</v>
      </c>
      <c r="F161" s="3" t="str">
        <f aca="false">IF(E161&gt;0,"Đã phủ","THIẾU")</f>
        <v>Đã phủ</v>
      </c>
      <c r="G161" s="7" t="s">
        <v>979</v>
      </c>
      <c r="H161" s="7"/>
    </row>
    <row r="162" customFormat="false" ht="15" hidden="false" customHeight="false" outlineLevel="0" collapsed="false">
      <c r="A162" s="2" t="s">
        <v>872</v>
      </c>
      <c r="B162" s="2" t="s">
        <v>43</v>
      </c>
      <c r="C162" s="2" t="s">
        <v>873</v>
      </c>
      <c r="D162" s="2" t="s">
        <v>45</v>
      </c>
      <c r="E162" s="2" t="n">
        <f aca="false">COUNTIF('Anh xa'!$D$2:$D$581,A162)</f>
        <v>1</v>
      </c>
      <c r="F162" s="3" t="str">
        <f aca="false">IF(E162&gt;0,"Đã phủ","THIẾU")</f>
        <v>Đã phủ</v>
      </c>
      <c r="G162" s="7" t="s">
        <v>979</v>
      </c>
      <c r="H162" s="7"/>
    </row>
    <row r="163" customFormat="false" ht="15" hidden="false" customHeight="false" outlineLevel="0" collapsed="false">
      <c r="A163" s="2" t="s">
        <v>253</v>
      </c>
      <c r="B163" s="2" t="s">
        <v>43</v>
      </c>
      <c r="C163" s="2" t="s">
        <v>254</v>
      </c>
      <c r="D163" s="2" t="s">
        <v>45</v>
      </c>
      <c r="E163" s="2" t="n">
        <f aca="false">COUNTIF('Anh xa'!$D$2:$D$581,A163)</f>
        <v>1</v>
      </c>
      <c r="F163" s="3" t="str">
        <f aca="false">IF(E163&gt;0,"Đã phủ","THIẾU")</f>
        <v>Đã phủ</v>
      </c>
      <c r="G163" s="7" t="s">
        <v>979</v>
      </c>
      <c r="H163" s="7"/>
    </row>
    <row r="164" customFormat="false" ht="15" hidden="false" customHeight="false" outlineLevel="0" collapsed="false">
      <c r="A164" s="2" t="s">
        <v>952</v>
      </c>
      <c r="B164" s="2" t="s">
        <v>103</v>
      </c>
      <c r="C164" s="2" t="s">
        <v>953</v>
      </c>
      <c r="D164" s="2" t="s">
        <v>105</v>
      </c>
      <c r="E164" s="2" t="n">
        <f aca="false">COUNTIF('Anh xa'!$D$2:$D$581,A164)</f>
        <v>2</v>
      </c>
      <c r="F164" s="3" t="str">
        <f aca="false">IF(E164&gt;0,"Đã phủ","THIẾU")</f>
        <v>Đã phủ</v>
      </c>
      <c r="G164" s="7" t="s">
        <v>979</v>
      </c>
      <c r="H164" s="7"/>
    </row>
    <row r="165" customFormat="false" ht="15" hidden="false" customHeight="false" outlineLevel="0" collapsed="false">
      <c r="A165" s="2" t="s">
        <v>102</v>
      </c>
      <c r="B165" s="2" t="s">
        <v>103</v>
      </c>
      <c r="C165" s="2" t="s">
        <v>104</v>
      </c>
      <c r="D165" s="2" t="s">
        <v>105</v>
      </c>
      <c r="E165" s="2" t="n">
        <f aca="false">COUNTIF('Anh xa'!$D$2:$D$581,A165)</f>
        <v>4</v>
      </c>
      <c r="F165" s="3" t="str">
        <f aca="false">IF(E165&gt;0,"Đã phủ","THIẾU")</f>
        <v>Đã phủ</v>
      </c>
      <c r="G165" s="7" t="s">
        <v>979</v>
      </c>
      <c r="H165" s="7"/>
    </row>
    <row r="166" customFormat="false" ht="15" hidden="false" customHeight="false" outlineLevel="0" collapsed="false">
      <c r="A166" s="2" t="s">
        <v>603</v>
      </c>
      <c r="B166" s="2" t="s">
        <v>103</v>
      </c>
      <c r="C166" s="2" t="s">
        <v>604</v>
      </c>
      <c r="D166" s="2" t="s">
        <v>105</v>
      </c>
      <c r="E166" s="2" t="n">
        <f aca="false">COUNTIF('Anh xa'!$D$2:$D$581,A166)</f>
        <v>2</v>
      </c>
      <c r="F166" s="3" t="str">
        <f aca="false">IF(E166&gt;0,"Đã phủ","THIẾU")</f>
        <v>Đã phủ</v>
      </c>
      <c r="G166" s="7" t="s">
        <v>979</v>
      </c>
      <c r="H166" s="7"/>
    </row>
    <row r="167" customFormat="false" ht="15" hidden="false" customHeight="false" outlineLevel="0" collapsed="false">
      <c r="A167" s="2" t="s">
        <v>225</v>
      </c>
      <c r="B167" s="2" t="s">
        <v>103</v>
      </c>
      <c r="C167" s="2" t="s">
        <v>226</v>
      </c>
      <c r="D167" s="2" t="s">
        <v>105</v>
      </c>
      <c r="E167" s="2" t="n">
        <f aca="false">COUNTIF('Anh xa'!$D$2:$D$581,A167)</f>
        <v>5</v>
      </c>
      <c r="F167" s="3" t="str">
        <f aca="false">IF(E167&gt;0,"Đã phủ","THIẾU")</f>
        <v>Đã phủ</v>
      </c>
      <c r="G167" s="7" t="s">
        <v>979</v>
      </c>
      <c r="H167" s="7"/>
    </row>
    <row r="168" customFormat="false" ht="15" hidden="false" customHeight="false" outlineLevel="0" collapsed="false">
      <c r="A168" s="2" t="s">
        <v>261</v>
      </c>
      <c r="B168" s="2" t="s">
        <v>103</v>
      </c>
      <c r="C168" s="2" t="s">
        <v>262</v>
      </c>
      <c r="D168" s="2" t="s">
        <v>105</v>
      </c>
      <c r="E168" s="2" t="n">
        <f aca="false">COUNTIF('Anh xa'!$D$2:$D$581,A168)</f>
        <v>3</v>
      </c>
      <c r="F168" s="3" t="str">
        <f aca="false">IF(E168&gt;0,"Đã phủ","THIẾU")</f>
        <v>Đã phủ</v>
      </c>
      <c r="G168" s="7" t="s">
        <v>979</v>
      </c>
      <c r="H168" s="7"/>
    </row>
    <row r="169" customFormat="false" ht="15" hidden="false" customHeight="false" outlineLevel="0" collapsed="false">
      <c r="A169" s="2" t="s">
        <v>130</v>
      </c>
      <c r="B169" s="2" t="s">
        <v>103</v>
      </c>
      <c r="C169" s="2" t="s">
        <v>131</v>
      </c>
      <c r="D169" s="2" t="s">
        <v>105</v>
      </c>
      <c r="E169" s="2" t="n">
        <f aca="false">COUNTIF('Anh xa'!$D$2:$D$581,A169)</f>
        <v>5</v>
      </c>
      <c r="F169" s="3" t="str">
        <f aca="false">IF(E169&gt;0,"Đã phủ","THIẾU")</f>
        <v>Đã phủ</v>
      </c>
      <c r="G169" s="7" t="s">
        <v>979</v>
      </c>
      <c r="H169" s="7"/>
    </row>
    <row r="170" customFormat="false" ht="15" hidden="false" customHeight="false" outlineLevel="0" collapsed="false">
      <c r="A170" s="2" t="s">
        <v>279</v>
      </c>
      <c r="B170" s="2" t="s">
        <v>103</v>
      </c>
      <c r="C170" s="2" t="s">
        <v>280</v>
      </c>
      <c r="D170" s="2" t="s">
        <v>105</v>
      </c>
      <c r="E170" s="2" t="n">
        <f aca="false">COUNTIF('Anh xa'!$D$2:$D$581,A170)</f>
        <v>3</v>
      </c>
      <c r="F170" s="3" t="str">
        <f aca="false">IF(E170&gt;0,"Đã phủ","THIẾU")</f>
        <v>Đã phủ</v>
      </c>
      <c r="G170" s="7" t="s">
        <v>979</v>
      </c>
      <c r="H170" s="7"/>
    </row>
    <row r="171" customFormat="false" ht="15" hidden="false" customHeight="false" outlineLevel="0" collapsed="false">
      <c r="A171" s="2" t="s">
        <v>122</v>
      </c>
      <c r="B171" s="2" t="s">
        <v>123</v>
      </c>
      <c r="C171" s="2" t="s">
        <v>124</v>
      </c>
      <c r="D171" s="2" t="s">
        <v>125</v>
      </c>
      <c r="E171" s="2" t="n">
        <f aca="false">COUNTIF('Anh xa'!$D$2:$D$581,A171)</f>
        <v>3</v>
      </c>
      <c r="F171" s="3" t="str">
        <f aca="false">IF(E171&gt;0,"Đã phủ","THIẾU")</f>
        <v>Đã phủ</v>
      </c>
      <c r="G171" s="7" t="s">
        <v>979</v>
      </c>
      <c r="H171" s="7"/>
    </row>
    <row r="172" customFormat="false" ht="15" hidden="false" customHeight="false" outlineLevel="0" collapsed="false">
      <c r="A172" s="2" t="s">
        <v>434</v>
      </c>
      <c r="B172" s="2" t="s">
        <v>123</v>
      </c>
      <c r="C172" s="2" t="s">
        <v>435</v>
      </c>
      <c r="D172" s="2" t="s">
        <v>125</v>
      </c>
      <c r="E172" s="2" t="n">
        <f aca="false">COUNTIF('Anh xa'!$D$2:$D$581,A172)</f>
        <v>2</v>
      </c>
      <c r="F172" s="3" t="str">
        <f aca="false">IF(E172&gt;0,"Đã phủ","THIẾU")</f>
        <v>Đã phủ</v>
      </c>
      <c r="G172" s="7" t="s">
        <v>979</v>
      </c>
      <c r="H172" s="7"/>
    </row>
    <row r="173" customFormat="false" ht="15" hidden="false" customHeight="false" outlineLevel="0" collapsed="false">
      <c r="A173" s="2" t="s">
        <v>920</v>
      </c>
      <c r="B173" s="2" t="s">
        <v>123</v>
      </c>
      <c r="C173" s="2" t="s">
        <v>921</v>
      </c>
      <c r="D173" s="2" t="s">
        <v>125</v>
      </c>
      <c r="E173" s="2" t="n">
        <f aca="false">COUNTIF('Anh xa'!$D$2:$D$581,A173)</f>
        <v>2</v>
      </c>
      <c r="F173" s="3" t="str">
        <f aca="false">IF(E173&gt;0,"Đã phủ","THIẾU")</f>
        <v>Đã phủ</v>
      </c>
      <c r="G173" s="7" t="s">
        <v>979</v>
      </c>
      <c r="H173" s="7"/>
    </row>
    <row r="174" customFormat="false" ht="15" hidden="false" customHeight="false" outlineLevel="0" collapsed="false">
      <c r="A174" s="2" t="s">
        <v>126</v>
      </c>
      <c r="B174" s="2" t="s">
        <v>123</v>
      </c>
      <c r="C174" s="2" t="s">
        <v>127</v>
      </c>
      <c r="D174" s="2" t="s">
        <v>125</v>
      </c>
      <c r="E174" s="2" t="n">
        <f aca="false">COUNTIF('Anh xa'!$D$2:$D$581,A174)</f>
        <v>3</v>
      </c>
      <c r="F174" s="3" t="str">
        <f aca="false">IF(E174&gt;0,"Đã phủ","THIẾU")</f>
        <v>Đã phủ</v>
      </c>
      <c r="G174" s="7" t="s">
        <v>979</v>
      </c>
      <c r="H174" s="7"/>
    </row>
    <row r="175" customFormat="false" ht="15" hidden="false" customHeight="false" outlineLevel="0" collapsed="false">
      <c r="A175" s="2" t="s">
        <v>597</v>
      </c>
      <c r="B175" s="2" t="s">
        <v>123</v>
      </c>
      <c r="C175" s="2" t="s">
        <v>598</v>
      </c>
      <c r="D175" s="2" t="s">
        <v>125</v>
      </c>
      <c r="E175" s="2" t="n">
        <f aca="false">COUNTIF('Anh xa'!$D$2:$D$581,A175)</f>
        <v>3</v>
      </c>
      <c r="F175" s="3" t="str">
        <f aca="false">IF(E175&gt;0,"Đã phủ","THIẾU")</f>
        <v>Đã phủ</v>
      </c>
      <c r="G175" s="7" t="s">
        <v>979</v>
      </c>
      <c r="H175" s="7"/>
    </row>
    <row r="176" customFormat="false" ht="15" hidden="false" customHeight="false" outlineLevel="0" collapsed="false">
      <c r="A176" s="2" t="s">
        <v>138</v>
      </c>
      <c r="B176" s="2" t="s">
        <v>133</v>
      </c>
      <c r="C176" s="2" t="s">
        <v>139</v>
      </c>
      <c r="D176" s="2" t="s">
        <v>135</v>
      </c>
      <c r="E176" s="2" t="n">
        <f aca="false">COUNTIF('Anh xa'!$D$2:$D$581,A176)</f>
        <v>3</v>
      </c>
      <c r="F176" s="3" t="str">
        <f aca="false">IF(E176&gt;0,"Đã phủ","THIẾU")</f>
        <v>Đã phủ</v>
      </c>
      <c r="G176" s="7" t="s">
        <v>979</v>
      </c>
      <c r="H176" s="7"/>
    </row>
    <row r="177" customFormat="false" ht="15" hidden="false" customHeight="false" outlineLevel="0" collapsed="false">
      <c r="A177" s="2" t="s">
        <v>132</v>
      </c>
      <c r="B177" s="2" t="s">
        <v>133</v>
      </c>
      <c r="C177" s="2" t="s">
        <v>134</v>
      </c>
      <c r="D177" s="2" t="s">
        <v>135</v>
      </c>
      <c r="E177" s="2" t="n">
        <f aca="false">COUNTIF('Anh xa'!$D$2:$D$581,A177)</f>
        <v>3</v>
      </c>
      <c r="F177" s="3" t="str">
        <f aca="false">IF(E177&gt;0,"Đã phủ","THIẾU")</f>
        <v>Đã phủ</v>
      </c>
      <c r="G177" s="7" t="s">
        <v>979</v>
      </c>
      <c r="H177" s="7"/>
    </row>
    <row r="178" customFormat="false" ht="15" hidden="false" customHeight="false" outlineLevel="0" collapsed="false">
      <c r="A178" s="2" t="s">
        <v>170</v>
      </c>
      <c r="B178" s="2" t="s">
        <v>133</v>
      </c>
      <c r="C178" s="2" t="s">
        <v>171</v>
      </c>
      <c r="D178" s="2" t="s">
        <v>135</v>
      </c>
      <c r="E178" s="2" t="n">
        <f aca="false">COUNTIF('Anh xa'!$D$2:$D$581,A178)</f>
        <v>2</v>
      </c>
      <c r="F178" s="3" t="str">
        <f aca="false">IF(E178&gt;0,"Đã phủ","THIẾU")</f>
        <v>Đã phủ</v>
      </c>
      <c r="G178" s="7" t="s">
        <v>979</v>
      </c>
      <c r="H178" s="7"/>
    </row>
    <row r="179" customFormat="false" ht="15" hidden="false" customHeight="false" outlineLevel="0" collapsed="false">
      <c r="A179" s="2" t="s">
        <v>285</v>
      </c>
      <c r="B179" s="2" t="s">
        <v>133</v>
      </c>
      <c r="C179" s="2" t="s">
        <v>286</v>
      </c>
      <c r="D179" s="2" t="s">
        <v>135</v>
      </c>
      <c r="E179" s="2" t="n">
        <f aca="false">COUNTIF('Anh xa'!$D$2:$D$581,A179)</f>
        <v>2</v>
      </c>
      <c r="F179" s="3" t="str">
        <f aca="false">IF(E179&gt;0,"Đã phủ","THIẾU")</f>
        <v>Đã phủ</v>
      </c>
      <c r="G179" s="7" t="s">
        <v>979</v>
      </c>
      <c r="H179" s="7"/>
    </row>
    <row r="180" customFormat="false" ht="15" hidden="false" customHeight="false" outlineLevel="0" collapsed="false">
      <c r="A180" s="2" t="s">
        <v>471</v>
      </c>
      <c r="B180" s="2" t="s">
        <v>236</v>
      </c>
      <c r="C180" s="2" t="s">
        <v>472</v>
      </c>
      <c r="D180" s="2" t="s">
        <v>238</v>
      </c>
      <c r="E180" s="2" t="n">
        <f aca="false">COUNTIF('Anh xa'!$D$2:$D$581,A180)</f>
        <v>3</v>
      </c>
      <c r="F180" s="3" t="str">
        <f aca="false">IF(E180&gt;0,"Đã phủ","THIẾU")</f>
        <v>Đã phủ</v>
      </c>
      <c r="G180" s="7" t="s">
        <v>979</v>
      </c>
      <c r="H180" s="7"/>
    </row>
    <row r="181" customFormat="false" ht="15" hidden="false" customHeight="false" outlineLevel="0" collapsed="false">
      <c r="A181" s="2" t="s">
        <v>589</v>
      </c>
      <c r="B181" s="2" t="s">
        <v>236</v>
      </c>
      <c r="C181" s="2" t="s">
        <v>590</v>
      </c>
      <c r="D181" s="2" t="s">
        <v>238</v>
      </c>
      <c r="E181" s="2" t="n">
        <f aca="false">COUNTIF('Anh xa'!$D$2:$D$581,A181)</f>
        <v>2</v>
      </c>
      <c r="F181" s="3" t="str">
        <f aca="false">IF(E181&gt;0,"Đã phủ","THIẾU")</f>
        <v>Đã phủ</v>
      </c>
      <c r="G181" s="7" t="s">
        <v>979</v>
      </c>
      <c r="H181" s="7"/>
    </row>
    <row r="182" customFormat="false" ht="15" hidden="false" customHeight="false" outlineLevel="0" collapsed="false">
      <c r="A182" s="2" t="s">
        <v>646</v>
      </c>
      <c r="B182" s="2" t="s">
        <v>236</v>
      </c>
      <c r="C182" s="2" t="s">
        <v>647</v>
      </c>
      <c r="D182" s="2" t="s">
        <v>238</v>
      </c>
      <c r="E182" s="2" t="n">
        <f aca="false">COUNTIF('Anh xa'!$D$2:$D$581,A182)</f>
        <v>2</v>
      </c>
      <c r="F182" s="3" t="str">
        <f aca="false">IF(E182&gt;0,"Đã phủ","THIẾU")</f>
        <v>Đã phủ</v>
      </c>
      <c r="G182" s="7" t="s">
        <v>979</v>
      </c>
      <c r="H182" s="7"/>
    </row>
    <row r="183" customFormat="false" ht="15" hidden="false" customHeight="false" outlineLevel="0" collapsed="false">
      <c r="A183" s="2" t="s">
        <v>235</v>
      </c>
      <c r="B183" s="2" t="s">
        <v>236</v>
      </c>
      <c r="C183" s="2" t="s">
        <v>237</v>
      </c>
      <c r="D183" s="2" t="s">
        <v>238</v>
      </c>
      <c r="E183" s="2" t="n">
        <f aca="false">COUNTIF('Anh xa'!$D$2:$D$581,A183)</f>
        <v>3</v>
      </c>
      <c r="F183" s="3" t="str">
        <f aca="false">IF(E183&gt;0,"Đã phủ","THIẾU")</f>
        <v>Đã phủ</v>
      </c>
      <c r="G183" s="7" t="s">
        <v>979</v>
      </c>
      <c r="H183" s="7"/>
    </row>
    <row r="184" customFormat="false" ht="15" hidden="false" customHeight="false" outlineLevel="0" collapsed="false">
      <c r="A184" s="2" t="s">
        <v>687</v>
      </c>
      <c r="B184" s="2" t="s">
        <v>236</v>
      </c>
      <c r="C184" s="2" t="s">
        <v>688</v>
      </c>
      <c r="D184" s="2" t="s">
        <v>238</v>
      </c>
      <c r="E184" s="2" t="n">
        <f aca="false">COUNTIF('Anh xa'!$D$2:$D$581,A184)</f>
        <v>1</v>
      </c>
      <c r="F184" s="3" t="str">
        <f aca="false">IF(E184&gt;0,"Đã phủ","THIẾU")</f>
        <v>Đã phủ</v>
      </c>
      <c r="G184" s="7" t="s">
        <v>979</v>
      </c>
      <c r="H184" s="7"/>
    </row>
    <row r="185" customFormat="false" ht="15" hidden="false" customHeight="false" outlineLevel="0" collapsed="false">
      <c r="A185" s="2" t="s">
        <v>670</v>
      </c>
      <c r="B185" s="2" t="s">
        <v>236</v>
      </c>
      <c r="C185" s="2" t="s">
        <v>671</v>
      </c>
      <c r="D185" s="2" t="s">
        <v>238</v>
      </c>
      <c r="E185" s="2" t="n">
        <f aca="false">COUNTIF('Anh xa'!$D$2:$D$581,A185)</f>
        <v>2</v>
      </c>
      <c r="F185" s="3" t="str">
        <f aca="false">IF(E185&gt;0,"Đã phủ","THIẾU")</f>
        <v>Đã phủ</v>
      </c>
      <c r="G185" s="7" t="s">
        <v>979</v>
      </c>
      <c r="H185" s="7"/>
    </row>
    <row r="186" customFormat="false" ht="15" hidden="false" customHeight="false" outlineLevel="0" collapsed="false">
      <c r="A186" s="2" t="s">
        <v>713</v>
      </c>
      <c r="B186" s="2" t="s">
        <v>236</v>
      </c>
      <c r="C186" s="2" t="s">
        <v>714</v>
      </c>
      <c r="D186" s="2" t="s">
        <v>238</v>
      </c>
      <c r="E186" s="2" t="n">
        <f aca="false">COUNTIF('Anh xa'!$D$2:$D$581,A186)</f>
        <v>3</v>
      </c>
      <c r="F186" s="3" t="str">
        <f aca="false">IF(E186&gt;0,"Đã phủ","THIẾU")</f>
        <v>Đã phủ</v>
      </c>
      <c r="G186" s="7" t="s">
        <v>979</v>
      </c>
      <c r="H186" s="7"/>
    </row>
    <row r="187" customFormat="false" ht="15" hidden="false" customHeight="false" outlineLevel="0" collapsed="false">
      <c r="A187" s="2" t="s">
        <v>723</v>
      </c>
      <c r="B187" s="2" t="s">
        <v>236</v>
      </c>
      <c r="C187" s="2" t="s">
        <v>724</v>
      </c>
      <c r="D187" s="2" t="s">
        <v>238</v>
      </c>
      <c r="E187" s="2" t="n">
        <f aca="false">COUNTIF('Anh xa'!$D$2:$D$581,A187)</f>
        <v>2</v>
      </c>
      <c r="F187" s="3" t="str">
        <f aca="false">IF(E187&gt;0,"Đã phủ","THIẾU")</f>
        <v>Đã phủ</v>
      </c>
      <c r="G187" s="7" t="s">
        <v>979</v>
      </c>
      <c r="H187" s="7"/>
    </row>
    <row r="188" customFormat="false" ht="15" hidden="false" customHeight="false" outlineLevel="0" collapsed="false">
      <c r="A188" s="2" t="s">
        <v>725</v>
      </c>
      <c r="B188" s="2" t="s">
        <v>236</v>
      </c>
      <c r="C188" s="2" t="s">
        <v>726</v>
      </c>
      <c r="D188" s="2" t="s">
        <v>238</v>
      </c>
      <c r="E188" s="2" t="n">
        <f aca="false">COUNTIF('Anh xa'!$D$2:$D$581,A188)</f>
        <v>2</v>
      </c>
      <c r="F188" s="3" t="str">
        <f aca="false">IF(E188&gt;0,"Đã phủ","THIẾU")</f>
        <v>Đã phủ</v>
      </c>
      <c r="G188" s="7" t="s">
        <v>979</v>
      </c>
      <c r="H188" s="7"/>
    </row>
    <row r="189" customFormat="false" ht="15" hidden="false" customHeight="false" outlineLevel="0" collapsed="false">
      <c r="A189" s="2" t="s">
        <v>741</v>
      </c>
      <c r="B189" s="2" t="s">
        <v>236</v>
      </c>
      <c r="C189" s="2" t="s">
        <v>742</v>
      </c>
      <c r="D189" s="2" t="s">
        <v>238</v>
      </c>
      <c r="E189" s="2" t="n">
        <f aca="false">COUNTIF('Anh xa'!$D$2:$D$581,A189)</f>
        <v>2</v>
      </c>
      <c r="F189" s="3" t="str">
        <f aca="false">IF(E189&gt;0,"Đã phủ","THIẾU")</f>
        <v>Đã phủ</v>
      </c>
      <c r="G189" s="7" t="s">
        <v>979</v>
      </c>
      <c r="H189" s="7"/>
    </row>
    <row r="190" customFormat="false" ht="15" hidden="false" customHeight="false" outlineLevel="0" collapsed="false">
      <c r="A190" s="2" t="s">
        <v>743</v>
      </c>
      <c r="B190" s="2" t="s">
        <v>236</v>
      </c>
      <c r="C190" s="2" t="s">
        <v>744</v>
      </c>
      <c r="D190" s="2" t="s">
        <v>238</v>
      </c>
      <c r="E190" s="2" t="n">
        <f aca="false">COUNTIF('Anh xa'!$D$2:$D$581,A190)</f>
        <v>2</v>
      </c>
      <c r="F190" s="3" t="str">
        <f aca="false">IF(E190&gt;0,"Đã phủ","THIẾU")</f>
        <v>Đã phủ</v>
      </c>
      <c r="G190" s="7" t="s">
        <v>979</v>
      </c>
      <c r="H190" s="7"/>
    </row>
    <row r="191" customFormat="false" ht="15" hidden="false" customHeight="false" outlineLevel="0" collapsed="false">
      <c r="A191" s="2" t="s">
        <v>772</v>
      </c>
      <c r="B191" s="2" t="s">
        <v>236</v>
      </c>
      <c r="C191" s="2" t="s">
        <v>773</v>
      </c>
      <c r="D191" s="2" t="s">
        <v>238</v>
      </c>
      <c r="E191" s="2" t="n">
        <f aca="false">COUNTIF('Anh xa'!$D$2:$D$581,A191)</f>
        <v>1</v>
      </c>
      <c r="F191" s="3" t="str">
        <f aca="false">IF(E191&gt;0,"Đã phủ","THIẾU")</f>
        <v>Đã phủ</v>
      </c>
      <c r="G191" s="7" t="s">
        <v>979</v>
      </c>
      <c r="H191" s="7"/>
    </row>
    <row r="192" customFormat="false" ht="15" hidden="false" customHeight="false" outlineLevel="0" collapsed="false">
      <c r="A192" s="2" t="s">
        <v>758</v>
      </c>
      <c r="B192" s="2" t="s">
        <v>236</v>
      </c>
      <c r="C192" s="2" t="s">
        <v>759</v>
      </c>
      <c r="D192" s="2" t="s">
        <v>238</v>
      </c>
      <c r="E192" s="2" t="n">
        <f aca="false">COUNTIF('Anh xa'!$D$2:$D$581,A192)</f>
        <v>1</v>
      </c>
      <c r="F192" s="3" t="str">
        <f aca="false">IF(E192&gt;0,"Đã phủ","THIẾU")</f>
        <v>Đã phủ</v>
      </c>
      <c r="G192" s="7" t="s">
        <v>979</v>
      </c>
      <c r="H192" s="7"/>
    </row>
    <row r="193" customFormat="false" ht="15" hidden="false" customHeight="false" outlineLevel="0" collapsed="false">
      <c r="A193" s="2" t="s">
        <v>762</v>
      </c>
      <c r="B193" s="2" t="s">
        <v>236</v>
      </c>
      <c r="C193" s="2" t="s">
        <v>763</v>
      </c>
      <c r="D193" s="2" t="s">
        <v>238</v>
      </c>
      <c r="E193" s="2" t="n">
        <f aca="false">COUNTIF('Anh xa'!$D$2:$D$581,A193)</f>
        <v>1</v>
      </c>
      <c r="F193" s="3" t="str">
        <f aca="false">IF(E193&gt;0,"Đã phủ","THIẾU")</f>
        <v>Đã phủ</v>
      </c>
      <c r="G193" s="7" t="s">
        <v>979</v>
      </c>
      <c r="H193" s="7"/>
    </row>
    <row r="194" customFormat="false" ht="15" hidden="false" customHeight="false" outlineLevel="0" collapsed="false">
      <c r="A194" s="2" t="s">
        <v>793</v>
      </c>
      <c r="B194" s="2" t="s">
        <v>236</v>
      </c>
      <c r="C194" s="2" t="s">
        <v>794</v>
      </c>
      <c r="D194" s="2" t="s">
        <v>238</v>
      </c>
      <c r="E194" s="2" t="n">
        <f aca="false">COUNTIF('Anh xa'!$D$2:$D$581,A194)</f>
        <v>2</v>
      </c>
      <c r="F194" s="3" t="str">
        <f aca="false">IF(E194&gt;0,"Đã phủ","THIẾU")</f>
        <v>Đã phủ</v>
      </c>
      <c r="G194" s="7" t="s">
        <v>979</v>
      </c>
      <c r="H194" s="7"/>
    </row>
    <row r="195" customFormat="false" ht="15" hidden="false" customHeight="false" outlineLevel="0" collapsed="false">
      <c r="A195" s="2" t="s">
        <v>660</v>
      </c>
      <c r="B195" s="2" t="s">
        <v>236</v>
      </c>
      <c r="C195" s="2" t="s">
        <v>661</v>
      </c>
      <c r="D195" s="2" t="s">
        <v>238</v>
      </c>
      <c r="E195" s="2" t="n">
        <f aca="false">COUNTIF('Anh xa'!$D$2:$D$581,A195)</f>
        <v>1</v>
      </c>
      <c r="F195" s="3" t="str">
        <f aca="false">IF(E195&gt;0,"Đã phủ","THIẾU")</f>
        <v>Đã phủ</v>
      </c>
      <c r="G195" s="7" t="s">
        <v>979</v>
      </c>
      <c r="H195" s="7"/>
    </row>
    <row r="196" customFormat="false" ht="15" hidden="false" customHeight="false" outlineLevel="0" collapsed="false">
      <c r="A196" s="2" t="s">
        <v>664</v>
      </c>
      <c r="B196" s="2" t="s">
        <v>236</v>
      </c>
      <c r="C196" s="2" t="s">
        <v>665</v>
      </c>
      <c r="D196" s="2" t="s">
        <v>238</v>
      </c>
      <c r="E196" s="2" t="n">
        <f aca="false">COUNTIF('Anh xa'!$D$2:$D$581,A196)</f>
        <v>1</v>
      </c>
      <c r="F196" s="3" t="str">
        <f aca="false">IF(E196&gt;0,"Đã phủ","THIẾU")</f>
        <v>Đã phủ</v>
      </c>
      <c r="G196" s="7" t="s">
        <v>979</v>
      </c>
      <c r="H196" s="7"/>
    </row>
    <row r="197" customFormat="false" ht="15" hidden="false" customHeight="false" outlineLevel="0" collapsed="false">
      <c r="A197" s="2" t="s">
        <v>579</v>
      </c>
      <c r="B197" s="2" t="s">
        <v>236</v>
      </c>
      <c r="C197" s="2" t="s">
        <v>580</v>
      </c>
      <c r="D197" s="2" t="s">
        <v>238</v>
      </c>
      <c r="E197" s="2" t="n">
        <f aca="false">COUNTIF('Anh xa'!$D$2:$D$581,A197)</f>
        <v>2</v>
      </c>
      <c r="F197" s="3" t="str">
        <f aca="false">IF(E197&gt;0,"Đã phủ","THIẾU")</f>
        <v>Đã phủ</v>
      </c>
      <c r="G197" s="7" t="s">
        <v>979</v>
      </c>
      <c r="H197" s="7"/>
    </row>
    <row r="198" customFormat="false" ht="15" hidden="false" customHeight="false" outlineLevel="0" collapsed="false">
      <c r="A198" s="2" t="s">
        <v>518</v>
      </c>
      <c r="B198" s="2" t="s">
        <v>236</v>
      </c>
      <c r="C198" s="2" t="s">
        <v>519</v>
      </c>
      <c r="D198" s="2" t="s">
        <v>238</v>
      </c>
      <c r="E198" s="2" t="n">
        <f aca="false">COUNTIF('Anh xa'!$D$2:$D$581,A198)</f>
        <v>3</v>
      </c>
      <c r="F198" s="3" t="str">
        <f aca="false">IF(E198&gt;0,"Đã phủ","THIẾU")</f>
        <v>Đã phủ</v>
      </c>
      <c r="G198" s="7" t="s">
        <v>979</v>
      </c>
      <c r="H198" s="7"/>
    </row>
    <row r="199" customFormat="false" ht="15" hidden="false" customHeight="false" outlineLevel="0" collapsed="false">
      <c r="A199" s="2" t="s">
        <v>410</v>
      </c>
      <c r="B199" s="2" t="s">
        <v>236</v>
      </c>
      <c r="C199" s="2" t="s">
        <v>411</v>
      </c>
      <c r="D199" s="2" t="s">
        <v>238</v>
      </c>
      <c r="E199" s="2" t="n">
        <f aca="false">COUNTIF('Anh xa'!$D$2:$D$581,A199)</f>
        <v>3</v>
      </c>
      <c r="F199" s="3" t="str">
        <f aca="false">IF(E199&gt;0,"Đã phủ","THIẾU")</f>
        <v>Đã phủ</v>
      </c>
      <c r="G199" s="7" t="s">
        <v>979</v>
      </c>
      <c r="H199" s="7"/>
    </row>
  </sheetData>
  <conditionalFormatting sqref="F2:F199">
    <cfRule type="cellIs" priority="2" operator="equal" aboveAverage="0" equalAverage="0" bottom="0" percent="0" rank="0" text="" dxfId="0">
      <formula>"THIẾU"</formula>
    </cfRule>
    <cfRule type="cellIs" priority="3" operator="equal" aboveAverage="0" equalAverage="0" bottom="0" percent="0" rank="0" text="" dxfId="1">
      <formula>"Đã phủ"</formula>
    </cfRule>
  </conditionalFormatting>
  <dataValidations count="1">
    <dataValidation allowBlank="true" errorStyle="stop" operator="between" showDropDown="false" showErrorMessage="false" showInputMessage="false" sqref="G2:G199" type="list">
      <formula1>"Chưa làm,Đang làm,Đã làm,Không áp dụng"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26"/>
    <col collapsed="false" customWidth="true" hidden="false" outlineLevel="0" max="4" min="4" style="0" width="34"/>
    <col collapsed="false" customWidth="true" hidden="false" outlineLevel="0" max="5" min="5" style="0" width="60"/>
    <col collapsed="false" customWidth="true" hidden="false" outlineLevel="0" max="6" min="6" style="0" width="10"/>
    <col collapsed="false" customWidth="true" hidden="false" outlineLevel="0" max="7" min="7" style="0" width="22"/>
    <col collapsed="false" customWidth="true" hidden="false" outlineLevel="0" max="8" min="8" style="0" width="12"/>
    <col collapsed="false" customWidth="true" hidden="false" outlineLevel="0" max="9" min="9" style="0" width="14"/>
    <col collapsed="false" customWidth="true" hidden="false" outlineLevel="0" max="10" min="10" style="0" width="18"/>
    <col collapsed="false" customWidth="true" hidden="false" outlineLevel="0" max="11" min="11" style="0" width="30"/>
  </cols>
  <sheetData>
    <row r="1" customFormat="false" ht="30" hidden="false" customHeight="true" outlineLevel="0" collapsed="false">
      <c r="A1" s="1" t="s">
        <v>32</v>
      </c>
      <c r="B1" s="1" t="s">
        <v>34</v>
      </c>
      <c r="C1" s="1" t="s">
        <v>980</v>
      </c>
      <c r="D1" s="1" t="s">
        <v>981</v>
      </c>
      <c r="E1" s="1" t="s">
        <v>982</v>
      </c>
      <c r="F1" s="1" t="s">
        <v>983</v>
      </c>
      <c r="G1" s="1" t="s">
        <v>984</v>
      </c>
      <c r="H1" s="1" t="s">
        <v>985</v>
      </c>
      <c r="I1" s="1" t="s">
        <v>986</v>
      </c>
      <c r="J1" s="1" t="s">
        <v>978</v>
      </c>
      <c r="K1" s="1" t="s">
        <v>39</v>
      </c>
    </row>
    <row r="2" customFormat="false" ht="15" hidden="false" customHeight="false" outlineLevel="0" collapsed="false">
      <c r="A2" s="8" t="s">
        <v>987</v>
      </c>
      <c r="B2" s="8" t="n">
        <v>1</v>
      </c>
      <c r="C2" s="8" t="s">
        <v>988</v>
      </c>
      <c r="D2" s="2"/>
      <c r="E2" s="2"/>
      <c r="F2" s="2" t="s">
        <v>989</v>
      </c>
      <c r="G2" s="2"/>
      <c r="H2" s="2" t="n">
        <f aca="false">COUNTIF('Anh xa'!$A$2:$A$581,"A0.*")</f>
        <v>30</v>
      </c>
      <c r="I2" s="3" t="str">
        <f aca="false">IF(H2&gt;0,"Đã ánh xạ","THIẾU")</f>
        <v>Đã ánh xạ</v>
      </c>
      <c r="J2" s="7" t="s">
        <v>979</v>
      </c>
      <c r="K2" s="7"/>
    </row>
    <row r="3" customFormat="false" ht="15" hidden="false" customHeight="false" outlineLevel="0" collapsed="false">
      <c r="A3" s="2" t="s">
        <v>40</v>
      </c>
      <c r="B3" s="2" t="n">
        <v>2</v>
      </c>
      <c r="C3" s="2" t="s">
        <v>988</v>
      </c>
      <c r="D3" s="2" t="s">
        <v>41</v>
      </c>
      <c r="E3" s="2"/>
      <c r="F3" s="2" t="s">
        <v>990</v>
      </c>
      <c r="G3" s="2"/>
      <c r="H3" s="2" t="n">
        <f aca="false">COUNTIF('Anh xa'!$A$2:$A$581,"A0.1")+COUNTIF('Anh xa'!$A$2:$A$581,"A0.1.*")</f>
        <v>30</v>
      </c>
      <c r="I3" s="3" t="str">
        <f aca="false">IF(H3&gt;0,"Đã ánh xạ","THIẾU")</f>
        <v>Đã ánh xạ</v>
      </c>
      <c r="J3" s="7" t="s">
        <v>979</v>
      </c>
      <c r="K3" s="7"/>
    </row>
    <row r="4" customFormat="false" ht="15" hidden="false" customHeight="false" outlineLevel="0" collapsed="false">
      <c r="A4" s="2" t="s">
        <v>50</v>
      </c>
      <c r="B4" s="2" t="n">
        <v>3</v>
      </c>
      <c r="C4" s="2" t="s">
        <v>988</v>
      </c>
      <c r="D4" s="2" t="s">
        <v>41</v>
      </c>
      <c r="E4" s="2" t="s">
        <v>51</v>
      </c>
      <c r="F4" s="2" t="s">
        <v>991</v>
      </c>
      <c r="G4" s="2"/>
      <c r="H4" s="2" t="n">
        <f aca="false">COUNTIF('Anh xa'!$A$2:$A$581,A4)</f>
        <v>3</v>
      </c>
      <c r="I4" s="3" t="str">
        <f aca="false">IF(H4&gt;0,"Đã ánh xạ","THIẾU")</f>
        <v>Đã ánh xạ</v>
      </c>
      <c r="J4" s="7" t="s">
        <v>979</v>
      </c>
      <c r="K4" s="7"/>
    </row>
    <row r="5" customFormat="false" ht="15" hidden="false" customHeight="false" outlineLevel="0" collapsed="false">
      <c r="A5" s="2" t="s">
        <v>60</v>
      </c>
      <c r="B5" s="2" t="n">
        <v>3</v>
      </c>
      <c r="C5" s="2" t="s">
        <v>988</v>
      </c>
      <c r="D5" s="2" t="s">
        <v>41</v>
      </c>
      <c r="E5" s="2" t="s">
        <v>61</v>
      </c>
      <c r="F5" s="2" t="s">
        <v>991</v>
      </c>
      <c r="G5" s="2"/>
      <c r="H5" s="2" t="n">
        <f aca="false">COUNTIF('Anh xa'!$A$2:$A$581,A5)</f>
        <v>2</v>
      </c>
      <c r="I5" s="3" t="str">
        <f aca="false">IF(H5&gt;0,"Đã ánh xạ","THIẾU")</f>
        <v>Đã ánh xạ</v>
      </c>
      <c r="J5" s="7" t="s">
        <v>979</v>
      </c>
      <c r="K5" s="7"/>
    </row>
    <row r="6" customFormat="false" ht="15" hidden="false" customHeight="false" outlineLevel="0" collapsed="false">
      <c r="A6" s="2" t="s">
        <v>70</v>
      </c>
      <c r="B6" s="2" t="n">
        <v>3</v>
      </c>
      <c r="C6" s="2" t="s">
        <v>988</v>
      </c>
      <c r="D6" s="2" t="s">
        <v>41</v>
      </c>
      <c r="E6" s="2" t="s">
        <v>71</v>
      </c>
      <c r="F6" s="2" t="s">
        <v>991</v>
      </c>
      <c r="G6" s="2"/>
      <c r="H6" s="2" t="n">
        <f aca="false">COUNTIF('Anh xa'!$A$2:$A$581,A6)</f>
        <v>5</v>
      </c>
      <c r="I6" s="3" t="str">
        <f aca="false">IF(H6&gt;0,"Đã ánh xạ","THIẾU")</f>
        <v>Đã ánh xạ</v>
      </c>
      <c r="J6" s="7" t="s">
        <v>979</v>
      </c>
      <c r="K6" s="7"/>
    </row>
    <row r="7" customFormat="false" ht="15" hidden="false" customHeight="false" outlineLevel="0" collapsed="false">
      <c r="A7" s="2" t="s">
        <v>84</v>
      </c>
      <c r="B7" s="2" t="n">
        <v>3</v>
      </c>
      <c r="C7" s="2" t="s">
        <v>988</v>
      </c>
      <c r="D7" s="2" t="s">
        <v>41</v>
      </c>
      <c r="E7" s="2" t="s">
        <v>85</v>
      </c>
      <c r="F7" s="2" t="s">
        <v>991</v>
      </c>
      <c r="G7" s="2"/>
      <c r="H7" s="2" t="n">
        <f aca="false">COUNTIF('Anh xa'!$A$2:$A$581,A7)</f>
        <v>8</v>
      </c>
      <c r="I7" s="3" t="str">
        <f aca="false">IF(H7&gt;0,"Đã ánh xạ","THIẾU")</f>
        <v>Đã ánh xạ</v>
      </c>
      <c r="J7" s="7" t="s">
        <v>979</v>
      </c>
      <c r="K7" s="7"/>
    </row>
    <row r="8" customFormat="false" ht="15" hidden="false" customHeight="false" outlineLevel="0" collapsed="false">
      <c r="A8" s="2" t="s">
        <v>106</v>
      </c>
      <c r="B8" s="2" t="n">
        <v>3</v>
      </c>
      <c r="C8" s="2" t="s">
        <v>988</v>
      </c>
      <c r="D8" s="2" t="s">
        <v>41</v>
      </c>
      <c r="E8" s="2" t="s">
        <v>107</v>
      </c>
      <c r="F8" s="2" t="s">
        <v>991</v>
      </c>
      <c r="G8" s="2"/>
      <c r="H8" s="2" t="n">
        <f aca="false">COUNTIF('Anh xa'!$A$2:$A$581,A8)</f>
        <v>2</v>
      </c>
      <c r="I8" s="3" t="str">
        <f aca="false">IF(H8&gt;0,"Đã ánh xạ","THIẾU")</f>
        <v>Đã ánh xạ</v>
      </c>
      <c r="J8" s="7" t="s">
        <v>979</v>
      </c>
      <c r="K8" s="7"/>
    </row>
    <row r="9" customFormat="false" ht="15" hidden="false" customHeight="false" outlineLevel="0" collapsed="false">
      <c r="A9" s="2" t="s">
        <v>112</v>
      </c>
      <c r="B9" s="2" t="n">
        <v>3</v>
      </c>
      <c r="C9" s="2" t="s">
        <v>988</v>
      </c>
      <c r="D9" s="2" t="s">
        <v>41</v>
      </c>
      <c r="E9" s="2" t="s">
        <v>113</v>
      </c>
      <c r="F9" s="2" t="s">
        <v>992</v>
      </c>
      <c r="G9" s="2"/>
      <c r="H9" s="2" t="n">
        <f aca="false">COUNTIF('Anh xa'!$A$2:$A$581,A9)</f>
        <v>2</v>
      </c>
      <c r="I9" s="3" t="str">
        <f aca="false">IF(H9&gt;0,"Đã ánh xạ","THIẾU")</f>
        <v>Đã ánh xạ</v>
      </c>
      <c r="J9" s="7" t="s">
        <v>979</v>
      </c>
      <c r="K9" s="7"/>
    </row>
    <row r="10" customFormat="false" ht="15" hidden="false" customHeight="false" outlineLevel="0" collapsed="false">
      <c r="A10" s="2" t="s">
        <v>120</v>
      </c>
      <c r="B10" s="2" t="n">
        <v>3</v>
      </c>
      <c r="C10" s="2" t="s">
        <v>988</v>
      </c>
      <c r="D10" s="2" t="s">
        <v>41</v>
      </c>
      <c r="E10" s="2" t="s">
        <v>121</v>
      </c>
      <c r="F10" s="2" t="s">
        <v>991</v>
      </c>
      <c r="G10" s="2"/>
      <c r="H10" s="2" t="n">
        <f aca="false">COUNTIF('Anh xa'!$A$2:$A$581,A10)</f>
        <v>2</v>
      </c>
      <c r="I10" s="3" t="str">
        <f aca="false">IF(H10&gt;0,"Đã ánh xạ","THIẾU")</f>
        <v>Đã ánh xạ</v>
      </c>
      <c r="J10" s="7" t="s">
        <v>979</v>
      </c>
      <c r="K10" s="7"/>
    </row>
    <row r="11" customFormat="false" ht="15" hidden="false" customHeight="false" outlineLevel="0" collapsed="false">
      <c r="A11" s="2" t="s">
        <v>128</v>
      </c>
      <c r="B11" s="2" t="n">
        <v>3</v>
      </c>
      <c r="C11" s="2" t="s">
        <v>988</v>
      </c>
      <c r="D11" s="2" t="s">
        <v>41</v>
      </c>
      <c r="E11" s="2" t="s">
        <v>129</v>
      </c>
      <c r="F11" s="2" t="s">
        <v>991</v>
      </c>
      <c r="G11" s="2"/>
      <c r="H11" s="2" t="n">
        <f aca="false">COUNTIF('Anh xa'!$A$2:$A$581,A11)</f>
        <v>2</v>
      </c>
      <c r="I11" s="3" t="str">
        <f aca="false">IF(H11&gt;0,"Đã ánh xạ","THIẾU")</f>
        <v>Đã ánh xạ</v>
      </c>
      <c r="J11" s="7" t="s">
        <v>979</v>
      </c>
      <c r="K11" s="7"/>
    </row>
    <row r="12" customFormat="false" ht="15" hidden="false" customHeight="false" outlineLevel="0" collapsed="false">
      <c r="A12" s="2" t="s">
        <v>136</v>
      </c>
      <c r="B12" s="2" t="n">
        <v>3</v>
      </c>
      <c r="C12" s="2" t="s">
        <v>988</v>
      </c>
      <c r="D12" s="2" t="s">
        <v>41</v>
      </c>
      <c r="E12" s="2" t="s">
        <v>137</v>
      </c>
      <c r="F12" s="2" t="s">
        <v>991</v>
      </c>
      <c r="G12" s="2"/>
      <c r="H12" s="2" t="n">
        <f aca="false">COUNTIF('Anh xa'!$A$2:$A$581,A12)</f>
        <v>2</v>
      </c>
      <c r="I12" s="3" t="str">
        <f aca="false">IF(H12&gt;0,"Đã ánh xạ","THIẾU")</f>
        <v>Đã ánh xạ</v>
      </c>
      <c r="J12" s="7" t="s">
        <v>979</v>
      </c>
      <c r="K12" s="7"/>
    </row>
    <row r="13" customFormat="false" ht="15" hidden="false" customHeight="false" outlineLevel="0" collapsed="false">
      <c r="A13" s="8" t="s">
        <v>993</v>
      </c>
      <c r="B13" s="8" t="n">
        <v>1</v>
      </c>
      <c r="C13" s="8" t="s">
        <v>994</v>
      </c>
      <c r="D13" s="2"/>
      <c r="E13" s="2"/>
      <c r="F13" s="2" t="s">
        <v>995</v>
      </c>
      <c r="G13" s="2"/>
      <c r="H13" s="2" t="n">
        <f aca="false">COUNTIF('Anh xa'!$A$2:$A$581,"A1.*")</f>
        <v>72</v>
      </c>
      <c r="I13" s="3" t="str">
        <f aca="false">IF(H13&gt;0,"Đã ánh xạ","THIẾU")</f>
        <v>Đã ánh xạ</v>
      </c>
      <c r="J13" s="7" t="s">
        <v>979</v>
      </c>
      <c r="K13" s="7"/>
    </row>
    <row r="14" customFormat="false" ht="15" hidden="false" customHeight="false" outlineLevel="0" collapsed="false">
      <c r="A14" s="2" t="s">
        <v>144</v>
      </c>
      <c r="B14" s="2" t="n">
        <v>2</v>
      </c>
      <c r="C14" s="2" t="s">
        <v>994</v>
      </c>
      <c r="D14" s="2" t="s">
        <v>145</v>
      </c>
      <c r="E14" s="2"/>
      <c r="F14" s="2" t="s">
        <v>990</v>
      </c>
      <c r="G14" s="2"/>
      <c r="H14" s="2" t="n">
        <f aca="false">COUNTIF('Anh xa'!$A$2:$A$581,"A1.1")+COUNTIF('Anh xa'!$A$2:$A$581,"A1.1.*")</f>
        <v>19</v>
      </c>
      <c r="I14" s="3" t="str">
        <f aca="false">IF(H14&gt;0,"Đã ánh xạ","THIẾU")</f>
        <v>Đã ánh xạ</v>
      </c>
      <c r="J14" s="7" t="s">
        <v>979</v>
      </c>
      <c r="K14" s="7"/>
    </row>
    <row r="15" customFormat="false" ht="15" hidden="false" customHeight="false" outlineLevel="0" collapsed="false">
      <c r="A15" s="2" t="s">
        <v>154</v>
      </c>
      <c r="B15" s="2" t="n">
        <v>3</v>
      </c>
      <c r="C15" s="2" t="s">
        <v>994</v>
      </c>
      <c r="D15" s="2" t="s">
        <v>145</v>
      </c>
      <c r="E15" s="2" t="s">
        <v>155</v>
      </c>
      <c r="F15" s="2" t="s">
        <v>991</v>
      </c>
      <c r="G15" s="2"/>
      <c r="H15" s="2" t="n">
        <f aca="false">COUNTIF('Anh xa'!$A$2:$A$581,A15)</f>
        <v>3</v>
      </c>
      <c r="I15" s="3" t="str">
        <f aca="false">IF(H15&gt;0,"Đã ánh xạ","THIẾU")</f>
        <v>Đã ánh xạ</v>
      </c>
      <c r="J15" s="7" t="s">
        <v>979</v>
      </c>
      <c r="K15" s="7"/>
    </row>
    <row r="16" customFormat="false" ht="15" hidden="false" customHeight="false" outlineLevel="0" collapsed="false">
      <c r="A16" s="2" t="s">
        <v>158</v>
      </c>
      <c r="B16" s="2" t="n">
        <v>3</v>
      </c>
      <c r="C16" s="2" t="s">
        <v>994</v>
      </c>
      <c r="D16" s="2" t="s">
        <v>145</v>
      </c>
      <c r="E16" s="2" t="s">
        <v>159</v>
      </c>
      <c r="F16" s="2" t="s">
        <v>991</v>
      </c>
      <c r="G16" s="2"/>
      <c r="H16" s="2" t="n">
        <f aca="false">COUNTIF('Anh xa'!$A$2:$A$581,A16)</f>
        <v>3</v>
      </c>
      <c r="I16" s="3" t="str">
        <f aca="false">IF(H16&gt;0,"Đã ánh xạ","THIẾU")</f>
        <v>Đã ánh xạ</v>
      </c>
      <c r="J16" s="7" t="s">
        <v>979</v>
      </c>
      <c r="K16" s="7"/>
    </row>
    <row r="17" customFormat="false" ht="15" hidden="false" customHeight="false" outlineLevel="0" collapsed="false">
      <c r="A17" s="2" t="s">
        <v>166</v>
      </c>
      <c r="B17" s="2" t="n">
        <v>3</v>
      </c>
      <c r="C17" s="2" t="s">
        <v>994</v>
      </c>
      <c r="D17" s="2" t="s">
        <v>145</v>
      </c>
      <c r="E17" s="2" t="s">
        <v>167</v>
      </c>
      <c r="F17" s="2" t="s">
        <v>991</v>
      </c>
      <c r="G17" s="2"/>
      <c r="H17" s="2" t="n">
        <f aca="false">COUNTIF('Anh xa'!$A$2:$A$581,A17)</f>
        <v>4</v>
      </c>
      <c r="I17" s="3" t="str">
        <f aca="false">IF(H17&gt;0,"Đã ánh xạ","THIẾU")</f>
        <v>Đã ánh xạ</v>
      </c>
      <c r="J17" s="7" t="s">
        <v>979</v>
      </c>
      <c r="K17" s="7"/>
    </row>
    <row r="18" customFormat="false" ht="15" hidden="false" customHeight="false" outlineLevel="0" collapsed="false">
      <c r="A18" s="2" t="s">
        <v>172</v>
      </c>
      <c r="B18" s="2" t="n">
        <v>3</v>
      </c>
      <c r="C18" s="2" t="s">
        <v>994</v>
      </c>
      <c r="D18" s="2" t="s">
        <v>145</v>
      </c>
      <c r="E18" s="2" t="s">
        <v>173</v>
      </c>
      <c r="F18" s="2" t="s">
        <v>991</v>
      </c>
      <c r="G18" s="2"/>
      <c r="H18" s="2" t="n">
        <f aca="false">COUNTIF('Anh xa'!$A$2:$A$581,A18)</f>
        <v>3</v>
      </c>
      <c r="I18" s="3" t="str">
        <f aca="false">IF(H18&gt;0,"Đã ánh xạ","THIẾU")</f>
        <v>Đã ánh xạ</v>
      </c>
      <c r="J18" s="7" t="s">
        <v>979</v>
      </c>
      <c r="K18" s="7"/>
    </row>
    <row r="19" customFormat="false" ht="15" hidden="false" customHeight="false" outlineLevel="0" collapsed="false">
      <c r="A19" s="2" t="s">
        <v>178</v>
      </c>
      <c r="B19" s="2" t="n">
        <v>3</v>
      </c>
      <c r="C19" s="2" t="s">
        <v>994</v>
      </c>
      <c r="D19" s="2" t="s">
        <v>145</v>
      </c>
      <c r="E19" s="2" t="s">
        <v>179</v>
      </c>
      <c r="F19" s="2" t="s">
        <v>996</v>
      </c>
      <c r="G19" s="2"/>
      <c r="H19" s="2" t="n">
        <f aca="false">COUNTIF('Anh xa'!$A$2:$A$581,A19)</f>
        <v>3</v>
      </c>
      <c r="I19" s="3" t="str">
        <f aca="false">IF(H19&gt;0,"Đã ánh xạ","THIẾU")</f>
        <v>Đã ánh xạ</v>
      </c>
      <c r="J19" s="7" t="s">
        <v>979</v>
      </c>
      <c r="K19" s="7"/>
    </row>
    <row r="20" customFormat="false" ht="15" hidden="false" customHeight="false" outlineLevel="0" collapsed="false">
      <c r="A20" s="2" t="s">
        <v>180</v>
      </c>
      <c r="B20" s="2" t="n">
        <v>2</v>
      </c>
      <c r="C20" s="2" t="s">
        <v>994</v>
      </c>
      <c r="D20" s="2" t="s">
        <v>181</v>
      </c>
      <c r="E20" s="2"/>
      <c r="F20" s="2" t="s">
        <v>990</v>
      </c>
      <c r="G20" s="2"/>
      <c r="H20" s="2" t="n">
        <f aca="false">COUNTIF('Anh xa'!$A$2:$A$581,"A1.2")+COUNTIF('Anh xa'!$A$2:$A$581,"A1.2.*")</f>
        <v>12</v>
      </c>
      <c r="I20" s="3" t="str">
        <f aca="false">IF(H20&gt;0,"Đã ánh xạ","THIẾU")</f>
        <v>Đã ánh xạ</v>
      </c>
      <c r="J20" s="7" t="s">
        <v>979</v>
      </c>
      <c r="K20" s="7"/>
    </row>
    <row r="21" customFormat="false" ht="15" hidden="false" customHeight="false" outlineLevel="0" collapsed="false">
      <c r="A21" s="2" t="s">
        <v>185</v>
      </c>
      <c r="B21" s="2" t="n">
        <v>3</v>
      </c>
      <c r="C21" s="2" t="s">
        <v>994</v>
      </c>
      <c r="D21" s="2" t="s">
        <v>181</v>
      </c>
      <c r="E21" s="2" t="s">
        <v>186</v>
      </c>
      <c r="F21" s="2" t="s">
        <v>997</v>
      </c>
      <c r="G21" s="2"/>
      <c r="H21" s="2" t="n">
        <f aca="false">COUNTIF('Anh xa'!$A$2:$A$581,A21)</f>
        <v>2</v>
      </c>
      <c r="I21" s="3" t="str">
        <f aca="false">IF(H21&gt;0,"Đã ánh xạ","THIẾU")</f>
        <v>Đã ánh xạ</v>
      </c>
      <c r="J21" s="7" t="s">
        <v>979</v>
      </c>
      <c r="K21" s="7"/>
    </row>
    <row r="22" customFormat="false" ht="15" hidden="false" customHeight="false" outlineLevel="0" collapsed="false">
      <c r="A22" s="2" t="s">
        <v>187</v>
      </c>
      <c r="B22" s="2" t="n">
        <v>3</v>
      </c>
      <c r="C22" s="2" t="s">
        <v>994</v>
      </c>
      <c r="D22" s="2" t="s">
        <v>181</v>
      </c>
      <c r="E22" s="2" t="s">
        <v>188</v>
      </c>
      <c r="F22" s="2" t="s">
        <v>997</v>
      </c>
      <c r="G22" s="2"/>
      <c r="H22" s="2" t="n">
        <f aca="false">COUNTIF('Anh xa'!$A$2:$A$581,A22)</f>
        <v>2</v>
      </c>
      <c r="I22" s="3" t="str">
        <f aca="false">IF(H22&gt;0,"Đã ánh xạ","THIẾU")</f>
        <v>Đã ánh xạ</v>
      </c>
      <c r="J22" s="7" t="s">
        <v>979</v>
      </c>
      <c r="K22" s="7"/>
    </row>
    <row r="23" customFormat="false" ht="15" hidden="false" customHeight="false" outlineLevel="0" collapsed="false">
      <c r="A23" s="2" t="s">
        <v>193</v>
      </c>
      <c r="B23" s="2" t="n">
        <v>3</v>
      </c>
      <c r="C23" s="2" t="s">
        <v>994</v>
      </c>
      <c r="D23" s="2" t="s">
        <v>181</v>
      </c>
      <c r="E23" s="2" t="s">
        <v>194</v>
      </c>
      <c r="F23" s="2" t="s">
        <v>996</v>
      </c>
      <c r="G23" s="2"/>
      <c r="H23" s="2" t="n">
        <f aca="false">COUNTIF('Anh xa'!$A$2:$A$581,A23)</f>
        <v>5</v>
      </c>
      <c r="I23" s="3" t="str">
        <f aca="false">IF(H23&gt;0,"Đã ánh xạ","THIẾU")</f>
        <v>Đã ánh xạ</v>
      </c>
      <c r="J23" s="7" t="s">
        <v>979</v>
      </c>
      <c r="K23" s="7"/>
    </row>
    <row r="24" customFormat="false" ht="15" hidden="false" customHeight="false" outlineLevel="0" collapsed="false">
      <c r="A24" s="2" t="s">
        <v>205</v>
      </c>
      <c r="B24" s="2" t="n">
        <v>3</v>
      </c>
      <c r="C24" s="2" t="s">
        <v>994</v>
      </c>
      <c r="D24" s="2" t="s">
        <v>181</v>
      </c>
      <c r="E24" s="2" t="s">
        <v>206</v>
      </c>
      <c r="F24" s="2" t="s">
        <v>991</v>
      </c>
      <c r="G24" s="2"/>
      <c r="H24" s="2" t="n">
        <f aca="false">COUNTIF('Anh xa'!$A$2:$A$581,A24)</f>
        <v>2</v>
      </c>
      <c r="I24" s="3" t="str">
        <f aca="false">IF(H24&gt;0,"Đã ánh xạ","THIẾU")</f>
        <v>Đã ánh xạ</v>
      </c>
      <c r="J24" s="7" t="s">
        <v>979</v>
      </c>
      <c r="K24" s="7"/>
    </row>
    <row r="25" customFormat="false" ht="15" hidden="false" customHeight="false" outlineLevel="0" collapsed="false">
      <c r="A25" s="2" t="s">
        <v>207</v>
      </c>
      <c r="B25" s="2" t="n">
        <v>2</v>
      </c>
      <c r="C25" s="2" t="s">
        <v>994</v>
      </c>
      <c r="D25" s="2" t="s">
        <v>208</v>
      </c>
      <c r="E25" s="2"/>
      <c r="F25" s="2" t="s">
        <v>990</v>
      </c>
      <c r="G25" s="2"/>
      <c r="H25" s="2" t="n">
        <f aca="false">COUNTIF('Anh xa'!$A$2:$A$581,"A1.3")+COUNTIF('Anh xa'!$A$2:$A$581,"A1.3.*")</f>
        <v>19</v>
      </c>
      <c r="I25" s="3" t="str">
        <f aca="false">IF(H25&gt;0,"Đã ánh xạ","THIẾU")</f>
        <v>Đã ánh xạ</v>
      </c>
      <c r="J25" s="7" t="s">
        <v>979</v>
      </c>
      <c r="K25" s="7"/>
    </row>
    <row r="26" customFormat="false" ht="15" hidden="false" customHeight="false" outlineLevel="0" collapsed="false">
      <c r="A26" s="2" t="s">
        <v>215</v>
      </c>
      <c r="B26" s="2" t="n">
        <v>3</v>
      </c>
      <c r="C26" s="2" t="s">
        <v>994</v>
      </c>
      <c r="D26" s="2" t="s">
        <v>208</v>
      </c>
      <c r="E26" s="2" t="s">
        <v>216</v>
      </c>
      <c r="F26" s="2" t="s">
        <v>997</v>
      </c>
      <c r="G26" s="2"/>
      <c r="H26" s="2" t="n">
        <f aca="false">COUNTIF('Anh xa'!$A$2:$A$581,A26)</f>
        <v>3</v>
      </c>
      <c r="I26" s="3" t="str">
        <f aca="false">IF(H26&gt;0,"Đã ánh xạ","THIẾU")</f>
        <v>Đã ánh xạ</v>
      </c>
      <c r="J26" s="7" t="s">
        <v>979</v>
      </c>
      <c r="K26" s="7"/>
    </row>
    <row r="27" customFormat="false" ht="15" hidden="false" customHeight="false" outlineLevel="0" collapsed="false">
      <c r="A27" s="2" t="s">
        <v>219</v>
      </c>
      <c r="B27" s="2" t="n">
        <v>3</v>
      </c>
      <c r="C27" s="2" t="s">
        <v>994</v>
      </c>
      <c r="D27" s="2" t="s">
        <v>208</v>
      </c>
      <c r="E27" s="2" t="s">
        <v>220</v>
      </c>
      <c r="F27" s="2" t="s">
        <v>997</v>
      </c>
      <c r="G27" s="2"/>
      <c r="H27" s="2" t="n">
        <f aca="false">COUNTIF('Anh xa'!$A$2:$A$581,A27)</f>
        <v>3</v>
      </c>
      <c r="I27" s="3" t="str">
        <f aca="false">IF(H27&gt;0,"Đã ánh xạ","THIẾU")</f>
        <v>Đã ánh xạ</v>
      </c>
      <c r="J27" s="7" t="s">
        <v>979</v>
      </c>
      <c r="K27" s="7"/>
    </row>
    <row r="28" customFormat="false" ht="15" hidden="false" customHeight="false" outlineLevel="0" collapsed="false">
      <c r="A28" s="2" t="s">
        <v>223</v>
      </c>
      <c r="B28" s="2" t="n">
        <v>3</v>
      </c>
      <c r="C28" s="2" t="s">
        <v>994</v>
      </c>
      <c r="D28" s="2" t="s">
        <v>208</v>
      </c>
      <c r="E28" s="2" t="s">
        <v>224</v>
      </c>
      <c r="F28" s="2" t="s">
        <v>997</v>
      </c>
      <c r="G28" s="2"/>
      <c r="H28" s="2" t="n">
        <f aca="false">COUNTIF('Anh xa'!$A$2:$A$581,A28)</f>
        <v>3</v>
      </c>
      <c r="I28" s="3" t="str">
        <f aca="false">IF(H28&gt;0,"Đã ánh xạ","THIẾU")</f>
        <v>Đã ánh xạ</v>
      </c>
      <c r="J28" s="7" t="s">
        <v>979</v>
      </c>
      <c r="K28" s="7"/>
    </row>
    <row r="29" customFormat="false" ht="15" hidden="false" customHeight="false" outlineLevel="0" collapsed="false">
      <c r="A29" s="2" t="s">
        <v>233</v>
      </c>
      <c r="B29" s="2" t="n">
        <v>3</v>
      </c>
      <c r="C29" s="2" t="s">
        <v>994</v>
      </c>
      <c r="D29" s="2" t="s">
        <v>208</v>
      </c>
      <c r="E29" s="2" t="s">
        <v>234</v>
      </c>
      <c r="F29" s="2" t="s">
        <v>997</v>
      </c>
      <c r="G29" s="2"/>
      <c r="H29" s="2" t="n">
        <f aca="false">COUNTIF('Anh xa'!$A$2:$A$581,A29)</f>
        <v>3</v>
      </c>
      <c r="I29" s="3" t="str">
        <f aca="false">IF(H29&gt;0,"Đã ánh xạ","THIẾU")</f>
        <v>Đã ánh xạ</v>
      </c>
      <c r="J29" s="7" t="s">
        <v>979</v>
      </c>
      <c r="K29" s="7"/>
    </row>
    <row r="30" customFormat="false" ht="15" hidden="false" customHeight="false" outlineLevel="0" collapsed="false">
      <c r="A30" s="2" t="s">
        <v>243</v>
      </c>
      <c r="B30" s="2" t="n">
        <v>3</v>
      </c>
      <c r="C30" s="2" t="s">
        <v>994</v>
      </c>
      <c r="D30" s="2" t="s">
        <v>208</v>
      </c>
      <c r="E30" s="2" t="s">
        <v>244</v>
      </c>
      <c r="F30" s="2" t="s">
        <v>991</v>
      </c>
      <c r="G30" s="2"/>
      <c r="H30" s="2" t="n">
        <f aca="false">COUNTIF('Anh xa'!$A$2:$A$581,A30)</f>
        <v>2</v>
      </c>
      <c r="I30" s="3" t="str">
        <f aca="false">IF(H30&gt;0,"Đã ánh xạ","THIẾU")</f>
        <v>Đã ánh xạ</v>
      </c>
      <c r="J30" s="7" t="s">
        <v>979</v>
      </c>
      <c r="K30" s="7"/>
    </row>
    <row r="31" customFormat="false" ht="15" hidden="false" customHeight="false" outlineLevel="0" collapsed="false">
      <c r="A31" s="2" t="s">
        <v>247</v>
      </c>
      <c r="B31" s="2" t="n">
        <v>3</v>
      </c>
      <c r="C31" s="2" t="s">
        <v>994</v>
      </c>
      <c r="D31" s="2" t="s">
        <v>208</v>
      </c>
      <c r="E31" s="2" t="s">
        <v>248</v>
      </c>
      <c r="F31" s="2" t="s">
        <v>991</v>
      </c>
      <c r="G31" s="2"/>
      <c r="H31" s="2" t="n">
        <f aca="false">COUNTIF('Anh xa'!$A$2:$A$581,A31)</f>
        <v>2</v>
      </c>
      <c r="I31" s="3" t="str">
        <f aca="false">IF(H31&gt;0,"Đã ánh xạ","THIẾU")</f>
        <v>Đã ánh xạ</v>
      </c>
      <c r="J31" s="7" t="s">
        <v>979</v>
      </c>
      <c r="K31" s="7"/>
    </row>
    <row r="32" customFormat="false" ht="15" hidden="false" customHeight="false" outlineLevel="0" collapsed="false">
      <c r="A32" s="2" t="s">
        <v>249</v>
      </c>
      <c r="B32" s="2" t="n">
        <v>2</v>
      </c>
      <c r="C32" s="2" t="s">
        <v>994</v>
      </c>
      <c r="D32" s="2" t="s">
        <v>250</v>
      </c>
      <c r="E32" s="2"/>
      <c r="F32" s="2" t="s">
        <v>990</v>
      </c>
      <c r="G32" s="2"/>
      <c r="H32" s="2" t="n">
        <f aca="false">COUNTIF('Anh xa'!$A$2:$A$581,"A1.4")+COUNTIF('Anh xa'!$A$2:$A$581,"A1.4.*")</f>
        <v>18</v>
      </c>
      <c r="I32" s="3" t="str">
        <f aca="false">IF(H32&gt;0,"Đã ánh xạ","THIẾU")</f>
        <v>Đã ánh xạ</v>
      </c>
      <c r="J32" s="7" t="s">
        <v>979</v>
      </c>
      <c r="K32" s="7"/>
    </row>
    <row r="33" customFormat="false" ht="15" hidden="false" customHeight="false" outlineLevel="0" collapsed="false">
      <c r="A33" s="2" t="s">
        <v>255</v>
      </c>
      <c r="B33" s="2" t="n">
        <v>3</v>
      </c>
      <c r="C33" s="2" t="s">
        <v>994</v>
      </c>
      <c r="D33" s="2" t="s">
        <v>250</v>
      </c>
      <c r="E33" s="2" t="s">
        <v>256</v>
      </c>
      <c r="F33" s="2" t="s">
        <v>991</v>
      </c>
      <c r="G33" s="2"/>
      <c r="H33" s="2" t="n">
        <f aca="false">COUNTIF('Anh xa'!$A$2:$A$581,A33)</f>
        <v>2</v>
      </c>
      <c r="I33" s="3" t="str">
        <f aca="false">IF(H33&gt;0,"Đã ánh xạ","THIẾU")</f>
        <v>Đã ánh xạ</v>
      </c>
      <c r="J33" s="7" t="s">
        <v>979</v>
      </c>
      <c r="K33" s="7"/>
    </row>
    <row r="34" customFormat="false" ht="15" hidden="false" customHeight="false" outlineLevel="0" collapsed="false">
      <c r="A34" s="2" t="s">
        <v>259</v>
      </c>
      <c r="B34" s="2" t="n">
        <v>3</v>
      </c>
      <c r="C34" s="2" t="s">
        <v>994</v>
      </c>
      <c r="D34" s="2" t="s">
        <v>250</v>
      </c>
      <c r="E34" s="2" t="s">
        <v>260</v>
      </c>
      <c r="F34" s="2" t="s">
        <v>991</v>
      </c>
      <c r="G34" s="2"/>
      <c r="H34" s="2" t="n">
        <f aca="false">COUNTIF('Anh xa'!$A$2:$A$581,A34)</f>
        <v>1</v>
      </c>
      <c r="I34" s="3" t="str">
        <f aca="false">IF(H34&gt;0,"Đã ánh xạ","THIẾU")</f>
        <v>Đã ánh xạ</v>
      </c>
      <c r="J34" s="7" t="s">
        <v>979</v>
      </c>
      <c r="K34" s="7"/>
    </row>
    <row r="35" customFormat="false" ht="15" hidden="false" customHeight="false" outlineLevel="0" collapsed="false">
      <c r="A35" s="2" t="s">
        <v>263</v>
      </c>
      <c r="B35" s="2" t="n">
        <v>3</v>
      </c>
      <c r="C35" s="2" t="s">
        <v>994</v>
      </c>
      <c r="D35" s="2" t="s">
        <v>250</v>
      </c>
      <c r="E35" s="2" t="s">
        <v>264</v>
      </c>
      <c r="F35" s="2" t="s">
        <v>996</v>
      </c>
      <c r="G35" s="2"/>
      <c r="H35" s="2" t="n">
        <f aca="false">COUNTIF('Anh xa'!$A$2:$A$581,A35)</f>
        <v>3</v>
      </c>
      <c r="I35" s="3" t="str">
        <f aca="false">IF(H35&gt;0,"Đã ánh xạ","THIẾU")</f>
        <v>Đã ánh xạ</v>
      </c>
      <c r="J35" s="7" t="s">
        <v>979</v>
      </c>
      <c r="K35" s="7"/>
    </row>
    <row r="36" customFormat="false" ht="15" hidden="false" customHeight="false" outlineLevel="0" collapsed="false">
      <c r="A36" s="2" t="s">
        <v>269</v>
      </c>
      <c r="B36" s="2" t="n">
        <v>3</v>
      </c>
      <c r="C36" s="2" t="s">
        <v>994</v>
      </c>
      <c r="D36" s="2" t="s">
        <v>250</v>
      </c>
      <c r="E36" s="2" t="s">
        <v>270</v>
      </c>
      <c r="F36" s="2" t="s">
        <v>996</v>
      </c>
      <c r="G36" s="2"/>
      <c r="H36" s="2" t="n">
        <f aca="false">COUNTIF('Anh xa'!$A$2:$A$581,A36)</f>
        <v>2</v>
      </c>
      <c r="I36" s="3" t="str">
        <f aca="false">IF(H36&gt;0,"Đã ánh xạ","THIẾU")</f>
        <v>Đã ánh xạ</v>
      </c>
      <c r="J36" s="7" t="s">
        <v>979</v>
      </c>
      <c r="K36" s="7"/>
    </row>
    <row r="37" customFormat="false" ht="15" hidden="false" customHeight="false" outlineLevel="0" collapsed="false">
      <c r="A37" s="2" t="s">
        <v>271</v>
      </c>
      <c r="B37" s="2" t="n">
        <v>3</v>
      </c>
      <c r="C37" s="2" t="s">
        <v>994</v>
      </c>
      <c r="D37" s="2" t="s">
        <v>250</v>
      </c>
      <c r="E37" s="2" t="s">
        <v>272</v>
      </c>
      <c r="F37" s="2" t="s">
        <v>996</v>
      </c>
      <c r="G37" s="2"/>
      <c r="H37" s="2" t="n">
        <f aca="false">COUNTIF('Anh xa'!$A$2:$A$581,A37)</f>
        <v>2</v>
      </c>
      <c r="I37" s="3" t="str">
        <f aca="false">IF(H37&gt;0,"Đã ánh xạ","THIẾU")</f>
        <v>Đã ánh xạ</v>
      </c>
      <c r="J37" s="7" t="s">
        <v>979</v>
      </c>
      <c r="K37" s="7"/>
    </row>
    <row r="38" customFormat="false" ht="15" hidden="false" customHeight="false" outlineLevel="0" collapsed="false">
      <c r="A38" s="2" t="s">
        <v>275</v>
      </c>
      <c r="B38" s="2" t="n">
        <v>3</v>
      </c>
      <c r="C38" s="2" t="s">
        <v>994</v>
      </c>
      <c r="D38" s="2" t="s">
        <v>250</v>
      </c>
      <c r="E38" s="2" t="s">
        <v>276</v>
      </c>
      <c r="F38" s="2" t="s">
        <v>991</v>
      </c>
      <c r="G38" s="2"/>
      <c r="H38" s="2" t="n">
        <f aca="false">COUNTIF('Anh xa'!$A$2:$A$581,A38)</f>
        <v>3</v>
      </c>
      <c r="I38" s="3" t="str">
        <f aca="false">IF(H38&gt;0,"Đã ánh xạ","THIẾU")</f>
        <v>Đã ánh xạ</v>
      </c>
      <c r="J38" s="7" t="s">
        <v>979</v>
      </c>
      <c r="K38" s="7"/>
    </row>
    <row r="39" customFormat="false" ht="15" hidden="false" customHeight="false" outlineLevel="0" collapsed="false">
      <c r="A39" s="2" t="s">
        <v>281</v>
      </c>
      <c r="B39" s="2" t="n">
        <v>3</v>
      </c>
      <c r="C39" s="2" t="s">
        <v>994</v>
      </c>
      <c r="D39" s="2" t="s">
        <v>250</v>
      </c>
      <c r="E39" s="2" t="s">
        <v>282</v>
      </c>
      <c r="F39" s="2" t="s">
        <v>991</v>
      </c>
      <c r="G39" s="2"/>
      <c r="H39" s="2" t="n">
        <f aca="false">COUNTIF('Anh xa'!$A$2:$A$581,A39)</f>
        <v>1</v>
      </c>
      <c r="I39" s="3" t="str">
        <f aca="false">IF(H39&gt;0,"Đã ánh xạ","THIẾU")</f>
        <v>Đã ánh xạ</v>
      </c>
      <c r="J39" s="7" t="s">
        <v>979</v>
      </c>
      <c r="K39" s="7"/>
    </row>
    <row r="40" customFormat="false" ht="15" hidden="false" customHeight="false" outlineLevel="0" collapsed="false">
      <c r="A40" s="2" t="s">
        <v>283</v>
      </c>
      <c r="B40" s="2" t="n">
        <v>3</v>
      </c>
      <c r="C40" s="2" t="s">
        <v>994</v>
      </c>
      <c r="D40" s="2" t="s">
        <v>250</v>
      </c>
      <c r="E40" s="2" t="s">
        <v>284</v>
      </c>
      <c r="F40" s="2" t="s">
        <v>996</v>
      </c>
      <c r="G40" s="2"/>
      <c r="H40" s="2" t="n">
        <f aca="false">COUNTIF('Anh xa'!$A$2:$A$581,A40)</f>
        <v>2</v>
      </c>
      <c r="I40" s="3" t="str">
        <f aca="false">IF(H40&gt;0,"Đã ánh xạ","THIẾU")</f>
        <v>Đã ánh xạ</v>
      </c>
      <c r="J40" s="7" t="s">
        <v>979</v>
      </c>
      <c r="K40" s="7"/>
    </row>
    <row r="41" customFormat="false" ht="15" hidden="false" customHeight="false" outlineLevel="0" collapsed="false">
      <c r="A41" s="2" t="s">
        <v>287</v>
      </c>
      <c r="B41" s="2" t="n">
        <v>2</v>
      </c>
      <c r="C41" s="2" t="s">
        <v>994</v>
      </c>
      <c r="D41" s="2" t="s">
        <v>288</v>
      </c>
      <c r="E41" s="2"/>
      <c r="F41" s="2" t="s">
        <v>990</v>
      </c>
      <c r="G41" s="2"/>
      <c r="H41" s="2" t="n">
        <f aca="false">COUNTIF('Anh xa'!$A$2:$A$581,"A1.5")+COUNTIF('Anh xa'!$A$2:$A$581,"A1.5.*")</f>
        <v>4</v>
      </c>
      <c r="I41" s="3" t="str">
        <f aca="false">IF(H41&gt;0,"Đã ánh xạ","THIẾU")</f>
        <v>Đã ánh xạ</v>
      </c>
      <c r="J41" s="7" t="s">
        <v>979</v>
      </c>
      <c r="K41" s="7"/>
    </row>
    <row r="42" customFormat="false" ht="15" hidden="false" customHeight="false" outlineLevel="0" collapsed="false">
      <c r="A42" s="2" t="s">
        <v>291</v>
      </c>
      <c r="B42" s="2" t="n">
        <v>3</v>
      </c>
      <c r="C42" s="2" t="s">
        <v>994</v>
      </c>
      <c r="D42" s="2" t="s">
        <v>288</v>
      </c>
      <c r="E42" s="2" t="s">
        <v>292</v>
      </c>
      <c r="F42" s="2" t="s">
        <v>996</v>
      </c>
      <c r="G42" s="2"/>
      <c r="H42" s="2" t="n">
        <f aca="false">COUNTIF('Anh xa'!$A$2:$A$581,A42)</f>
        <v>3</v>
      </c>
      <c r="I42" s="3" t="str">
        <f aca="false">IF(H42&gt;0,"Đã ánh xạ","THIẾU")</f>
        <v>Đã ánh xạ</v>
      </c>
      <c r="J42" s="7" t="s">
        <v>979</v>
      </c>
      <c r="K42" s="7"/>
    </row>
    <row r="43" customFormat="false" ht="15" hidden="false" customHeight="false" outlineLevel="0" collapsed="false">
      <c r="A43" s="8" t="s">
        <v>998</v>
      </c>
      <c r="B43" s="8" t="n">
        <v>1</v>
      </c>
      <c r="C43" s="8" t="s">
        <v>999</v>
      </c>
      <c r="D43" s="2"/>
      <c r="E43" s="2"/>
      <c r="F43" s="2" t="s">
        <v>1000</v>
      </c>
      <c r="G43" s="2"/>
      <c r="H43" s="2" t="n">
        <f aca="false">COUNTIF('Anh xa'!$A$2:$A$581,"A2.*")</f>
        <v>72</v>
      </c>
      <c r="I43" s="3" t="str">
        <f aca="false">IF(H43&gt;0,"Đã ánh xạ","THIẾU")</f>
        <v>Đã ánh xạ</v>
      </c>
      <c r="J43" s="7" t="s">
        <v>979</v>
      </c>
      <c r="K43" s="7"/>
    </row>
    <row r="44" customFormat="false" ht="15" hidden="false" customHeight="false" outlineLevel="0" collapsed="false">
      <c r="A44" s="2" t="s">
        <v>297</v>
      </c>
      <c r="B44" s="2" t="n">
        <v>2</v>
      </c>
      <c r="C44" s="2" t="s">
        <v>999</v>
      </c>
      <c r="D44" s="2" t="s">
        <v>298</v>
      </c>
      <c r="E44" s="2"/>
      <c r="F44" s="2" t="s">
        <v>990</v>
      </c>
      <c r="G44" s="2" t="s">
        <v>299</v>
      </c>
      <c r="H44" s="2" t="n">
        <f aca="false">COUNTIF('Anh xa'!$A$2:$A$581,"A2.1")+COUNTIF('Anh xa'!$A$2:$A$581,"A2.1.*")</f>
        <v>33</v>
      </c>
      <c r="I44" s="3" t="str">
        <f aca="false">IF(H44&gt;0,"Đã ánh xạ","THIẾU")</f>
        <v>Đã ánh xạ</v>
      </c>
      <c r="J44" s="7" t="s">
        <v>979</v>
      </c>
      <c r="K44" s="7"/>
    </row>
    <row r="45" customFormat="false" ht="15" hidden="false" customHeight="false" outlineLevel="0" collapsed="false">
      <c r="A45" s="2" t="s">
        <v>303</v>
      </c>
      <c r="B45" s="2" t="n">
        <v>3</v>
      </c>
      <c r="C45" s="2" t="s">
        <v>999</v>
      </c>
      <c r="D45" s="2" t="s">
        <v>298</v>
      </c>
      <c r="E45" s="2" t="s">
        <v>304</v>
      </c>
      <c r="F45" s="2" t="s">
        <v>991</v>
      </c>
      <c r="G45" s="2" t="s">
        <v>299</v>
      </c>
      <c r="H45" s="2" t="n">
        <f aca="false">COUNTIF('Anh xa'!$A$2:$A$581,A45)</f>
        <v>6</v>
      </c>
      <c r="I45" s="3" t="str">
        <f aca="false">IF(H45&gt;0,"Đã ánh xạ","THIẾU")</f>
        <v>Đã ánh xạ</v>
      </c>
      <c r="J45" s="7" t="s">
        <v>979</v>
      </c>
      <c r="K45" s="7"/>
    </row>
    <row r="46" customFormat="false" ht="15" hidden="false" customHeight="false" outlineLevel="0" collapsed="false">
      <c r="A46" s="2" t="s">
        <v>320</v>
      </c>
      <c r="B46" s="2" t="n">
        <v>3</v>
      </c>
      <c r="C46" s="2" t="s">
        <v>999</v>
      </c>
      <c r="D46" s="2" t="s">
        <v>298</v>
      </c>
      <c r="E46" s="2" t="s">
        <v>321</v>
      </c>
      <c r="F46" s="2" t="s">
        <v>991</v>
      </c>
      <c r="G46" s="2" t="s">
        <v>299</v>
      </c>
      <c r="H46" s="2" t="n">
        <f aca="false">COUNTIF('Anh xa'!$A$2:$A$581,A46)</f>
        <v>3</v>
      </c>
      <c r="I46" s="3" t="str">
        <f aca="false">IF(H46&gt;0,"Đã ánh xạ","THIẾU")</f>
        <v>Đã ánh xạ</v>
      </c>
      <c r="J46" s="7" t="s">
        <v>979</v>
      </c>
      <c r="K46" s="7"/>
    </row>
    <row r="47" customFormat="false" ht="23.85" hidden="false" customHeight="false" outlineLevel="0" collapsed="false">
      <c r="A47" s="2" t="s">
        <v>328</v>
      </c>
      <c r="B47" s="2" t="n">
        <v>3</v>
      </c>
      <c r="C47" s="2" t="s">
        <v>999</v>
      </c>
      <c r="D47" s="2" t="s">
        <v>298</v>
      </c>
      <c r="E47" s="2" t="s">
        <v>329</v>
      </c>
      <c r="F47" s="2" t="s">
        <v>991</v>
      </c>
      <c r="G47" s="2" t="s">
        <v>299</v>
      </c>
      <c r="H47" s="2" t="n">
        <f aca="false">COUNTIF('Anh xa'!$A$2:$A$581,A47)</f>
        <v>3</v>
      </c>
      <c r="I47" s="3" t="str">
        <f aca="false">IF(H47&gt;0,"Đã ánh xạ","THIẾU")</f>
        <v>Đã ánh xạ</v>
      </c>
      <c r="J47" s="7" t="s">
        <v>979</v>
      </c>
      <c r="K47" s="7"/>
    </row>
    <row r="48" customFormat="false" ht="15" hidden="false" customHeight="false" outlineLevel="0" collapsed="false">
      <c r="A48" s="2" t="s">
        <v>330</v>
      </c>
      <c r="B48" s="2" t="n">
        <v>3</v>
      </c>
      <c r="C48" s="2" t="s">
        <v>999</v>
      </c>
      <c r="D48" s="2" t="s">
        <v>298</v>
      </c>
      <c r="E48" s="2" t="s">
        <v>331</v>
      </c>
      <c r="F48" s="2" t="s">
        <v>997</v>
      </c>
      <c r="G48" s="2" t="s">
        <v>299</v>
      </c>
      <c r="H48" s="2" t="n">
        <f aca="false">COUNTIF('Anh xa'!$A$2:$A$581,A48)</f>
        <v>4</v>
      </c>
      <c r="I48" s="3" t="str">
        <f aca="false">IF(H48&gt;0,"Đã ánh xạ","THIẾU")</f>
        <v>Đã ánh xạ</v>
      </c>
      <c r="J48" s="7" t="s">
        <v>979</v>
      </c>
      <c r="K48" s="7"/>
    </row>
    <row r="49" customFormat="false" ht="15" hidden="false" customHeight="false" outlineLevel="0" collapsed="false">
      <c r="A49" s="2" t="s">
        <v>340</v>
      </c>
      <c r="B49" s="2" t="n">
        <v>3</v>
      </c>
      <c r="C49" s="2" t="s">
        <v>999</v>
      </c>
      <c r="D49" s="2" t="s">
        <v>298</v>
      </c>
      <c r="E49" s="2" t="s">
        <v>341</v>
      </c>
      <c r="F49" s="2" t="s">
        <v>997</v>
      </c>
      <c r="G49" s="2" t="s">
        <v>299</v>
      </c>
      <c r="H49" s="2" t="n">
        <f aca="false">COUNTIF('Anh xa'!$A$2:$A$581,A49)</f>
        <v>2</v>
      </c>
      <c r="I49" s="3" t="str">
        <f aca="false">IF(H49&gt;0,"Đã ánh xạ","THIẾU")</f>
        <v>Đã ánh xạ</v>
      </c>
      <c r="J49" s="7" t="s">
        <v>979</v>
      </c>
      <c r="K49" s="7"/>
    </row>
    <row r="50" customFormat="false" ht="15" hidden="false" customHeight="false" outlineLevel="0" collapsed="false">
      <c r="A50" s="2" t="s">
        <v>342</v>
      </c>
      <c r="B50" s="2" t="n">
        <v>3</v>
      </c>
      <c r="C50" s="2" t="s">
        <v>999</v>
      </c>
      <c r="D50" s="2" t="s">
        <v>298</v>
      </c>
      <c r="E50" s="2" t="s">
        <v>343</v>
      </c>
      <c r="F50" s="2" t="s">
        <v>997</v>
      </c>
      <c r="G50" s="2" t="s">
        <v>299</v>
      </c>
      <c r="H50" s="2" t="n">
        <f aca="false">COUNTIF('Anh xa'!$A$2:$A$581,A50)</f>
        <v>2</v>
      </c>
      <c r="I50" s="3" t="str">
        <f aca="false">IF(H50&gt;0,"Đã ánh xạ","THIẾU")</f>
        <v>Đã ánh xạ</v>
      </c>
      <c r="J50" s="7" t="s">
        <v>979</v>
      </c>
      <c r="K50" s="7"/>
    </row>
    <row r="51" customFormat="false" ht="15" hidden="false" customHeight="false" outlineLevel="0" collapsed="false">
      <c r="A51" s="2" t="s">
        <v>348</v>
      </c>
      <c r="B51" s="2" t="n">
        <v>3</v>
      </c>
      <c r="C51" s="2" t="s">
        <v>999</v>
      </c>
      <c r="D51" s="2" t="s">
        <v>298</v>
      </c>
      <c r="E51" s="2" t="s">
        <v>349</v>
      </c>
      <c r="F51" s="2" t="s">
        <v>991</v>
      </c>
      <c r="G51" s="2" t="s">
        <v>299</v>
      </c>
      <c r="H51" s="2" t="n">
        <f aca="false">COUNTIF('Anh xa'!$A$2:$A$581,A51)</f>
        <v>3</v>
      </c>
      <c r="I51" s="3" t="str">
        <f aca="false">IF(H51&gt;0,"Đã ánh xạ","THIẾU")</f>
        <v>Đã ánh xạ</v>
      </c>
      <c r="J51" s="7" t="s">
        <v>979</v>
      </c>
      <c r="K51" s="7"/>
    </row>
    <row r="52" customFormat="false" ht="15" hidden="false" customHeight="false" outlineLevel="0" collapsed="false">
      <c r="A52" s="2" t="s">
        <v>352</v>
      </c>
      <c r="B52" s="2" t="n">
        <v>3</v>
      </c>
      <c r="C52" s="2" t="s">
        <v>999</v>
      </c>
      <c r="D52" s="2" t="s">
        <v>298</v>
      </c>
      <c r="E52" s="2" t="s">
        <v>353</v>
      </c>
      <c r="F52" s="2" t="s">
        <v>996</v>
      </c>
      <c r="G52" s="2" t="s">
        <v>299</v>
      </c>
      <c r="H52" s="2" t="n">
        <f aca="false">COUNTIF('Anh xa'!$A$2:$A$581,A52)</f>
        <v>3</v>
      </c>
      <c r="I52" s="3" t="str">
        <f aca="false">IF(H52&gt;0,"Đã ánh xạ","THIẾU")</f>
        <v>Đã ánh xạ</v>
      </c>
      <c r="J52" s="7" t="s">
        <v>979</v>
      </c>
      <c r="K52" s="7"/>
    </row>
    <row r="53" customFormat="false" ht="15" hidden="false" customHeight="false" outlineLevel="0" collapsed="false">
      <c r="A53" s="2" t="s">
        <v>356</v>
      </c>
      <c r="B53" s="2" t="n">
        <v>3</v>
      </c>
      <c r="C53" s="2" t="s">
        <v>999</v>
      </c>
      <c r="D53" s="2" t="s">
        <v>298</v>
      </c>
      <c r="E53" s="2" t="s">
        <v>357</v>
      </c>
      <c r="F53" s="2" t="s">
        <v>991</v>
      </c>
      <c r="G53" s="2" t="s">
        <v>299</v>
      </c>
      <c r="H53" s="2" t="n">
        <f aca="false">COUNTIF('Anh xa'!$A$2:$A$581,A53)</f>
        <v>3</v>
      </c>
      <c r="I53" s="3" t="str">
        <f aca="false">IF(H53&gt;0,"Đã ánh xạ","THIẾU")</f>
        <v>Đã ánh xạ</v>
      </c>
      <c r="J53" s="7" t="s">
        <v>979</v>
      </c>
      <c r="K53" s="7"/>
    </row>
    <row r="54" customFormat="false" ht="15" hidden="false" customHeight="false" outlineLevel="0" collapsed="false">
      <c r="A54" s="2" t="s">
        <v>364</v>
      </c>
      <c r="B54" s="2" t="n">
        <v>2</v>
      </c>
      <c r="C54" s="2" t="s">
        <v>999</v>
      </c>
      <c r="D54" s="2" t="s">
        <v>365</v>
      </c>
      <c r="E54" s="2"/>
      <c r="F54" s="2" t="s">
        <v>990</v>
      </c>
      <c r="G54" s="2" t="s">
        <v>299</v>
      </c>
      <c r="H54" s="2" t="n">
        <f aca="false">COUNTIF('Anh xa'!$A$2:$A$581,"A2.2")+COUNTIF('Anh xa'!$A$2:$A$581,"A2.2.*")</f>
        <v>7</v>
      </c>
      <c r="I54" s="3" t="str">
        <f aca="false">IF(H54&gt;0,"Đã ánh xạ","THIẾU")</f>
        <v>Đã ánh xạ</v>
      </c>
      <c r="J54" s="7" t="s">
        <v>979</v>
      </c>
      <c r="K54" s="7"/>
    </row>
    <row r="55" customFormat="false" ht="15" hidden="false" customHeight="false" outlineLevel="0" collapsed="false">
      <c r="A55" s="2" t="s">
        <v>366</v>
      </c>
      <c r="B55" s="2" t="n">
        <v>3</v>
      </c>
      <c r="C55" s="2" t="s">
        <v>999</v>
      </c>
      <c r="D55" s="2" t="s">
        <v>365</v>
      </c>
      <c r="E55" s="2" t="s">
        <v>367</v>
      </c>
      <c r="F55" s="2" t="s">
        <v>991</v>
      </c>
      <c r="G55" s="2" t="s">
        <v>299</v>
      </c>
      <c r="H55" s="2" t="n">
        <f aca="false">COUNTIF('Anh xa'!$A$2:$A$581,A55)</f>
        <v>3</v>
      </c>
      <c r="I55" s="3" t="str">
        <f aca="false">IF(H55&gt;0,"Đã ánh xạ","THIẾU")</f>
        <v>Đã ánh xạ</v>
      </c>
      <c r="J55" s="7" t="s">
        <v>979</v>
      </c>
      <c r="K55" s="7"/>
    </row>
    <row r="56" customFormat="false" ht="15" hidden="false" customHeight="false" outlineLevel="0" collapsed="false">
      <c r="A56" s="2" t="s">
        <v>370</v>
      </c>
      <c r="B56" s="2" t="n">
        <v>3</v>
      </c>
      <c r="C56" s="2" t="s">
        <v>999</v>
      </c>
      <c r="D56" s="2" t="s">
        <v>365</v>
      </c>
      <c r="E56" s="2" t="s">
        <v>371</v>
      </c>
      <c r="F56" s="2" t="s">
        <v>997</v>
      </c>
      <c r="G56" s="2" t="s">
        <v>299</v>
      </c>
      <c r="H56" s="2" t="n">
        <f aca="false">COUNTIF('Anh xa'!$A$2:$A$581,A56)</f>
        <v>2</v>
      </c>
      <c r="I56" s="3" t="str">
        <f aca="false">IF(H56&gt;0,"Đã ánh xạ","THIẾU")</f>
        <v>Đã ánh xạ</v>
      </c>
      <c r="J56" s="7" t="s">
        <v>979</v>
      </c>
      <c r="K56" s="7"/>
    </row>
    <row r="57" customFormat="false" ht="15" hidden="false" customHeight="false" outlineLevel="0" collapsed="false">
      <c r="A57" s="2" t="s">
        <v>372</v>
      </c>
      <c r="B57" s="2" t="n">
        <v>2</v>
      </c>
      <c r="C57" s="2" t="s">
        <v>999</v>
      </c>
      <c r="D57" s="2" t="s">
        <v>373</v>
      </c>
      <c r="E57" s="2"/>
      <c r="F57" s="2" t="s">
        <v>990</v>
      </c>
      <c r="G57" s="2" t="s">
        <v>374</v>
      </c>
      <c r="H57" s="2" t="n">
        <f aca="false">COUNTIF('Anh xa'!$A$2:$A$581,"A2.3")+COUNTIF('Anh xa'!$A$2:$A$581,"A2.3.*")</f>
        <v>15</v>
      </c>
      <c r="I57" s="3" t="str">
        <f aca="false">IF(H57&gt;0,"Đã ánh xạ","THIẾU")</f>
        <v>Đã ánh xạ</v>
      </c>
      <c r="J57" s="7" t="s">
        <v>979</v>
      </c>
      <c r="K57" s="7"/>
    </row>
    <row r="58" customFormat="false" ht="23.85" hidden="false" customHeight="false" outlineLevel="0" collapsed="false">
      <c r="A58" s="2" t="s">
        <v>378</v>
      </c>
      <c r="B58" s="2" t="n">
        <v>3</v>
      </c>
      <c r="C58" s="2" t="s">
        <v>999</v>
      </c>
      <c r="D58" s="2" t="s">
        <v>373</v>
      </c>
      <c r="E58" s="2" t="s">
        <v>379</v>
      </c>
      <c r="F58" s="2" t="s">
        <v>991</v>
      </c>
      <c r="G58" s="2" t="s">
        <v>374</v>
      </c>
      <c r="H58" s="2" t="n">
        <f aca="false">COUNTIF('Anh xa'!$A$2:$A$581,A58)</f>
        <v>3</v>
      </c>
      <c r="I58" s="3" t="str">
        <f aca="false">IF(H58&gt;0,"Đã ánh xạ","THIẾU")</f>
        <v>Đã ánh xạ</v>
      </c>
      <c r="J58" s="7" t="s">
        <v>979</v>
      </c>
      <c r="K58" s="7"/>
    </row>
    <row r="59" customFormat="false" ht="15" hidden="false" customHeight="false" outlineLevel="0" collapsed="false">
      <c r="A59" s="2" t="s">
        <v>382</v>
      </c>
      <c r="B59" s="2" t="n">
        <v>3</v>
      </c>
      <c r="C59" s="2" t="s">
        <v>999</v>
      </c>
      <c r="D59" s="2" t="s">
        <v>373</v>
      </c>
      <c r="E59" s="2" t="s">
        <v>383</v>
      </c>
      <c r="F59" s="2" t="s">
        <v>991</v>
      </c>
      <c r="G59" s="2" t="s">
        <v>374</v>
      </c>
      <c r="H59" s="2" t="n">
        <f aca="false">COUNTIF('Anh xa'!$A$2:$A$581,A59)</f>
        <v>2</v>
      </c>
      <c r="I59" s="3" t="str">
        <f aca="false">IF(H59&gt;0,"Đã ánh xạ","THIẾU")</f>
        <v>Đã ánh xạ</v>
      </c>
      <c r="J59" s="7" t="s">
        <v>979</v>
      </c>
      <c r="K59" s="7"/>
    </row>
    <row r="60" customFormat="false" ht="15" hidden="false" customHeight="false" outlineLevel="0" collapsed="false">
      <c r="A60" s="2" t="s">
        <v>384</v>
      </c>
      <c r="B60" s="2" t="n">
        <v>3</v>
      </c>
      <c r="C60" s="2" t="s">
        <v>999</v>
      </c>
      <c r="D60" s="2" t="s">
        <v>373</v>
      </c>
      <c r="E60" s="2" t="s">
        <v>385</v>
      </c>
      <c r="F60" s="2" t="s">
        <v>996</v>
      </c>
      <c r="G60" s="2" t="s">
        <v>374</v>
      </c>
      <c r="H60" s="2" t="n">
        <f aca="false">COUNTIF('Anh xa'!$A$2:$A$581,A60)</f>
        <v>3</v>
      </c>
      <c r="I60" s="3" t="str">
        <f aca="false">IF(H60&gt;0,"Đã ánh xạ","THIẾU")</f>
        <v>Đã ánh xạ</v>
      </c>
      <c r="J60" s="7" t="s">
        <v>979</v>
      </c>
      <c r="K60" s="7"/>
    </row>
    <row r="61" customFormat="false" ht="15" hidden="false" customHeight="false" outlineLevel="0" collapsed="false">
      <c r="A61" s="2" t="s">
        <v>388</v>
      </c>
      <c r="B61" s="2" t="n">
        <v>3</v>
      </c>
      <c r="C61" s="2" t="s">
        <v>999</v>
      </c>
      <c r="D61" s="2" t="s">
        <v>373</v>
      </c>
      <c r="E61" s="2" t="s">
        <v>389</v>
      </c>
      <c r="F61" s="2" t="s">
        <v>997</v>
      </c>
      <c r="G61" s="2" t="s">
        <v>374</v>
      </c>
      <c r="H61" s="2" t="n">
        <f aca="false">COUNTIF('Anh xa'!$A$2:$A$581,A61)</f>
        <v>2</v>
      </c>
      <c r="I61" s="3" t="str">
        <f aca="false">IF(H61&gt;0,"Đã ánh xạ","THIẾU")</f>
        <v>Đã ánh xạ</v>
      </c>
      <c r="J61" s="7" t="s">
        <v>979</v>
      </c>
      <c r="K61" s="7"/>
    </row>
    <row r="62" customFormat="false" ht="15" hidden="false" customHeight="false" outlineLevel="0" collapsed="false">
      <c r="A62" s="2" t="s">
        <v>390</v>
      </c>
      <c r="B62" s="2" t="n">
        <v>3</v>
      </c>
      <c r="C62" s="2" t="s">
        <v>999</v>
      </c>
      <c r="D62" s="2" t="s">
        <v>373</v>
      </c>
      <c r="E62" s="2" t="s">
        <v>391</v>
      </c>
      <c r="F62" s="2" t="s">
        <v>996</v>
      </c>
      <c r="G62" s="2" t="s">
        <v>374</v>
      </c>
      <c r="H62" s="2" t="n">
        <f aca="false">COUNTIF('Anh xa'!$A$2:$A$581,A62)</f>
        <v>2</v>
      </c>
      <c r="I62" s="3" t="str">
        <f aca="false">IF(H62&gt;0,"Đã ánh xạ","THIẾU")</f>
        <v>Đã ánh xạ</v>
      </c>
      <c r="J62" s="7" t="s">
        <v>979</v>
      </c>
      <c r="K62" s="7"/>
    </row>
    <row r="63" customFormat="false" ht="15" hidden="false" customHeight="false" outlineLevel="0" collapsed="false">
      <c r="A63" s="2" t="s">
        <v>392</v>
      </c>
      <c r="B63" s="2" t="n">
        <v>2</v>
      </c>
      <c r="C63" s="2" t="s">
        <v>999</v>
      </c>
      <c r="D63" s="2" t="s">
        <v>393</v>
      </c>
      <c r="E63" s="2"/>
      <c r="F63" s="2" t="s">
        <v>990</v>
      </c>
      <c r="G63" s="2" t="s">
        <v>394</v>
      </c>
      <c r="H63" s="2" t="n">
        <f aca="false">COUNTIF('Anh xa'!$A$2:$A$581,"A2.4")+COUNTIF('Anh xa'!$A$2:$A$581,"A2.4.*")</f>
        <v>5</v>
      </c>
      <c r="I63" s="3" t="str">
        <f aca="false">IF(H63&gt;0,"Đã ánh xạ","THIẾU")</f>
        <v>Đã ánh xạ</v>
      </c>
      <c r="J63" s="7" t="s">
        <v>979</v>
      </c>
      <c r="K63" s="7"/>
    </row>
    <row r="64" customFormat="false" ht="15" hidden="false" customHeight="false" outlineLevel="0" collapsed="false">
      <c r="A64" s="2" t="s">
        <v>396</v>
      </c>
      <c r="B64" s="2" t="n">
        <v>3</v>
      </c>
      <c r="C64" s="2" t="s">
        <v>999</v>
      </c>
      <c r="D64" s="2" t="s">
        <v>393</v>
      </c>
      <c r="E64" s="2" t="s">
        <v>397</v>
      </c>
      <c r="F64" s="2" t="s">
        <v>991</v>
      </c>
      <c r="G64" s="2" t="s">
        <v>394</v>
      </c>
      <c r="H64" s="2" t="n">
        <f aca="false">COUNTIF('Anh xa'!$A$2:$A$581,A64)</f>
        <v>2</v>
      </c>
      <c r="I64" s="3" t="str">
        <f aca="false">IF(H64&gt;0,"Đã ánh xạ","THIẾU")</f>
        <v>Đã ánh xạ</v>
      </c>
      <c r="J64" s="7" t="s">
        <v>979</v>
      </c>
      <c r="K64" s="7"/>
    </row>
    <row r="65" customFormat="false" ht="15" hidden="false" customHeight="false" outlineLevel="0" collapsed="false">
      <c r="A65" s="2" t="s">
        <v>398</v>
      </c>
      <c r="B65" s="2" t="n">
        <v>3</v>
      </c>
      <c r="C65" s="2" t="s">
        <v>999</v>
      </c>
      <c r="D65" s="2" t="s">
        <v>393</v>
      </c>
      <c r="E65" s="2" t="s">
        <v>399</v>
      </c>
      <c r="F65" s="2" t="s">
        <v>997</v>
      </c>
      <c r="G65" s="2" t="s">
        <v>394</v>
      </c>
      <c r="H65" s="2" t="n">
        <f aca="false">COUNTIF('Anh xa'!$A$2:$A$581,A65)</f>
        <v>2</v>
      </c>
      <c r="I65" s="3" t="str">
        <f aca="false">IF(H65&gt;0,"Đã ánh xạ","THIẾU")</f>
        <v>Đã ánh xạ</v>
      </c>
      <c r="J65" s="7" t="s">
        <v>979</v>
      </c>
      <c r="K65" s="7"/>
    </row>
    <row r="66" customFormat="false" ht="15" hidden="false" customHeight="false" outlineLevel="0" collapsed="false">
      <c r="A66" s="2" t="s">
        <v>400</v>
      </c>
      <c r="B66" s="2" t="n">
        <v>2</v>
      </c>
      <c r="C66" s="2" t="s">
        <v>999</v>
      </c>
      <c r="D66" s="2" t="s">
        <v>401</v>
      </c>
      <c r="E66" s="2"/>
      <c r="F66" s="2" t="s">
        <v>990</v>
      </c>
      <c r="G66" s="2"/>
      <c r="H66" s="2" t="n">
        <f aca="false">COUNTIF('Anh xa'!$A$2:$A$581,"A2.5")+COUNTIF('Anh xa'!$A$2:$A$581,"A2.5.*")</f>
        <v>7</v>
      </c>
      <c r="I66" s="3" t="str">
        <f aca="false">IF(H66&gt;0,"Đã ánh xạ","THIẾU")</f>
        <v>Đã ánh xạ</v>
      </c>
      <c r="J66" s="7" t="s">
        <v>979</v>
      </c>
      <c r="K66" s="7"/>
    </row>
    <row r="67" customFormat="false" ht="15" hidden="false" customHeight="false" outlineLevel="0" collapsed="false">
      <c r="A67" s="2" t="s">
        <v>404</v>
      </c>
      <c r="B67" s="2" t="n">
        <v>3</v>
      </c>
      <c r="C67" s="2" t="s">
        <v>999</v>
      </c>
      <c r="D67" s="2" t="s">
        <v>401</v>
      </c>
      <c r="E67" s="2" t="s">
        <v>405</v>
      </c>
      <c r="F67" s="2" t="s">
        <v>991</v>
      </c>
      <c r="G67" s="2"/>
      <c r="H67" s="2" t="n">
        <f aca="false">COUNTIF('Anh xa'!$A$2:$A$581,A67)</f>
        <v>3</v>
      </c>
      <c r="I67" s="3" t="str">
        <f aca="false">IF(H67&gt;0,"Đã ánh xạ","THIẾU")</f>
        <v>Đã ánh xạ</v>
      </c>
      <c r="J67" s="7" t="s">
        <v>979</v>
      </c>
      <c r="K67" s="7"/>
    </row>
    <row r="68" customFormat="false" ht="15" hidden="false" customHeight="false" outlineLevel="0" collapsed="false">
      <c r="A68" s="2" t="s">
        <v>406</v>
      </c>
      <c r="B68" s="2" t="n">
        <v>3</v>
      </c>
      <c r="C68" s="2" t="s">
        <v>999</v>
      </c>
      <c r="D68" s="2" t="s">
        <v>401</v>
      </c>
      <c r="E68" s="2" t="s">
        <v>407</v>
      </c>
      <c r="F68" s="2" t="s">
        <v>991</v>
      </c>
      <c r="G68" s="2"/>
      <c r="H68" s="2" t="n">
        <f aca="false">COUNTIF('Anh xa'!$A$2:$A$581,A68)</f>
        <v>2</v>
      </c>
      <c r="I68" s="3" t="str">
        <f aca="false">IF(H68&gt;0,"Đã ánh xạ","THIẾU")</f>
        <v>Đã ánh xạ</v>
      </c>
      <c r="J68" s="7" t="s">
        <v>979</v>
      </c>
      <c r="K68" s="7"/>
    </row>
    <row r="69" customFormat="false" ht="15" hidden="false" customHeight="false" outlineLevel="0" collapsed="false">
      <c r="A69" s="2" t="s">
        <v>408</v>
      </c>
      <c r="B69" s="2" t="n">
        <v>2</v>
      </c>
      <c r="C69" s="2" t="s">
        <v>999</v>
      </c>
      <c r="D69" s="2" t="s">
        <v>409</v>
      </c>
      <c r="E69" s="2"/>
      <c r="F69" s="2" t="s">
        <v>990</v>
      </c>
      <c r="G69" s="2"/>
      <c r="H69" s="2" t="n">
        <f aca="false">COUNTIF('Anh xa'!$A$2:$A$581,"A2.6")+COUNTIF('Anh xa'!$A$2:$A$581,"A2.6.*")</f>
        <v>5</v>
      </c>
      <c r="I69" s="3" t="str">
        <f aca="false">IF(H69&gt;0,"Đã ánh xạ","THIẾU")</f>
        <v>Đã ánh xạ</v>
      </c>
      <c r="J69" s="7" t="s">
        <v>979</v>
      </c>
      <c r="K69" s="7"/>
    </row>
    <row r="70" customFormat="false" ht="15" hidden="false" customHeight="false" outlineLevel="0" collapsed="false">
      <c r="A70" s="2" t="s">
        <v>414</v>
      </c>
      <c r="B70" s="2" t="n">
        <v>3</v>
      </c>
      <c r="C70" s="2" t="s">
        <v>999</v>
      </c>
      <c r="D70" s="2" t="s">
        <v>409</v>
      </c>
      <c r="E70" s="2" t="s">
        <v>415</v>
      </c>
      <c r="F70" s="2" t="s">
        <v>991</v>
      </c>
      <c r="G70" s="2"/>
      <c r="H70" s="2" t="n">
        <f aca="false">COUNTIF('Anh xa'!$A$2:$A$581,A70)</f>
        <v>3</v>
      </c>
      <c r="I70" s="3" t="str">
        <f aca="false">IF(H70&gt;0,"Đã ánh xạ","THIẾU")</f>
        <v>Đã ánh xạ</v>
      </c>
      <c r="J70" s="7" t="s">
        <v>979</v>
      </c>
      <c r="K70" s="7"/>
    </row>
    <row r="71" customFormat="false" ht="15" hidden="false" customHeight="false" outlineLevel="0" collapsed="false">
      <c r="A71" s="8" t="s">
        <v>1001</v>
      </c>
      <c r="B71" s="8" t="n">
        <v>1</v>
      </c>
      <c r="C71" s="8" t="s">
        <v>1002</v>
      </c>
      <c r="D71" s="2"/>
      <c r="E71" s="2"/>
      <c r="F71" s="2" t="s">
        <v>1000</v>
      </c>
      <c r="G71" s="2"/>
      <c r="H71" s="2" t="n">
        <f aca="false">COUNTIF('Anh xa'!$A$2:$A$581,"A3.*")</f>
        <v>35</v>
      </c>
      <c r="I71" s="3" t="str">
        <f aca="false">IF(H71&gt;0,"Đã ánh xạ","THIẾU")</f>
        <v>Đã ánh xạ</v>
      </c>
      <c r="J71" s="7" t="s">
        <v>979</v>
      </c>
      <c r="K71" s="7"/>
    </row>
    <row r="72" customFormat="false" ht="15" hidden="false" customHeight="false" outlineLevel="0" collapsed="false">
      <c r="A72" s="2" t="s">
        <v>416</v>
      </c>
      <c r="B72" s="2" t="n">
        <v>2</v>
      </c>
      <c r="C72" s="2" t="s">
        <v>1002</v>
      </c>
      <c r="D72" s="2" t="s">
        <v>417</v>
      </c>
      <c r="E72" s="2"/>
      <c r="F72" s="2" t="s">
        <v>990</v>
      </c>
      <c r="G72" s="2"/>
      <c r="H72" s="2" t="n">
        <f aca="false">COUNTIF('Anh xa'!$A$2:$A$581,"A3.1")+COUNTIF('Anh xa'!$A$2:$A$581,"A3.1.*")</f>
        <v>9</v>
      </c>
      <c r="I72" s="3" t="str">
        <f aca="false">IF(H72&gt;0,"Đã ánh xạ","THIẾU")</f>
        <v>Đã ánh xạ</v>
      </c>
      <c r="J72" s="7" t="s">
        <v>979</v>
      </c>
      <c r="K72" s="7"/>
    </row>
    <row r="73" customFormat="false" ht="15" hidden="false" customHeight="false" outlineLevel="0" collapsed="false">
      <c r="A73" s="2" t="s">
        <v>418</v>
      </c>
      <c r="B73" s="2" t="n">
        <v>3</v>
      </c>
      <c r="C73" s="2" t="s">
        <v>1002</v>
      </c>
      <c r="D73" s="2" t="s">
        <v>417</v>
      </c>
      <c r="E73" s="2" t="s">
        <v>419</v>
      </c>
      <c r="F73" s="2" t="s">
        <v>997</v>
      </c>
      <c r="G73" s="2"/>
      <c r="H73" s="2" t="n">
        <f aca="false">COUNTIF('Anh xa'!$A$2:$A$581,A73)</f>
        <v>3</v>
      </c>
      <c r="I73" s="3" t="str">
        <f aca="false">IF(H73&gt;0,"Đã ánh xạ","THIẾU")</f>
        <v>Đã ánh xạ</v>
      </c>
      <c r="J73" s="7" t="s">
        <v>979</v>
      </c>
      <c r="K73" s="7"/>
    </row>
    <row r="74" customFormat="false" ht="15" hidden="false" customHeight="false" outlineLevel="0" collapsed="false">
      <c r="A74" s="2" t="s">
        <v>422</v>
      </c>
      <c r="B74" s="2" t="n">
        <v>3</v>
      </c>
      <c r="C74" s="2" t="s">
        <v>1002</v>
      </c>
      <c r="D74" s="2" t="s">
        <v>417</v>
      </c>
      <c r="E74" s="2" t="s">
        <v>423</v>
      </c>
      <c r="F74" s="2" t="s">
        <v>997</v>
      </c>
      <c r="G74" s="2"/>
      <c r="H74" s="2" t="n">
        <f aca="false">COUNTIF('Anh xa'!$A$2:$A$581,A74)</f>
        <v>2</v>
      </c>
      <c r="I74" s="3" t="str">
        <f aca="false">IF(H74&gt;0,"Đã ánh xạ","THIẾU")</f>
        <v>Đã ánh xạ</v>
      </c>
      <c r="J74" s="7" t="s">
        <v>979</v>
      </c>
      <c r="K74" s="7"/>
    </row>
    <row r="75" customFormat="false" ht="23.85" hidden="false" customHeight="false" outlineLevel="0" collapsed="false">
      <c r="A75" s="2" t="s">
        <v>426</v>
      </c>
      <c r="B75" s="2" t="n">
        <v>3</v>
      </c>
      <c r="C75" s="2" t="s">
        <v>1002</v>
      </c>
      <c r="D75" s="2" t="s">
        <v>417</v>
      </c>
      <c r="E75" s="2" t="s">
        <v>427</v>
      </c>
      <c r="F75" s="2" t="s">
        <v>991</v>
      </c>
      <c r="G75" s="2"/>
      <c r="H75" s="2" t="n">
        <f aca="false">COUNTIF('Anh xa'!$A$2:$A$581,A75)</f>
        <v>2</v>
      </c>
      <c r="I75" s="3" t="str">
        <f aca="false">IF(H75&gt;0,"Đã ánh xạ","THIẾU")</f>
        <v>Đã ánh xạ</v>
      </c>
      <c r="J75" s="7" t="s">
        <v>979</v>
      </c>
      <c r="K75" s="7"/>
    </row>
    <row r="76" customFormat="false" ht="15" hidden="false" customHeight="false" outlineLevel="0" collapsed="false">
      <c r="A76" s="2" t="s">
        <v>428</v>
      </c>
      <c r="B76" s="2" t="n">
        <v>2</v>
      </c>
      <c r="C76" s="2" t="s">
        <v>1002</v>
      </c>
      <c r="D76" s="2" t="s">
        <v>429</v>
      </c>
      <c r="E76" s="2"/>
      <c r="F76" s="2" t="s">
        <v>990</v>
      </c>
      <c r="G76" s="2"/>
      <c r="H76" s="2" t="n">
        <f aca="false">COUNTIF('Anh xa'!$A$2:$A$581,"A3.2")+COUNTIF('Anh xa'!$A$2:$A$581,"A3.2.*")</f>
        <v>10</v>
      </c>
      <c r="I76" s="3" t="str">
        <f aca="false">IF(H76&gt;0,"Đã ánh xạ","THIẾU")</f>
        <v>Đã ánh xạ</v>
      </c>
      <c r="J76" s="7" t="s">
        <v>979</v>
      </c>
      <c r="K76" s="7"/>
    </row>
    <row r="77" customFormat="false" ht="23.85" hidden="false" customHeight="false" outlineLevel="0" collapsed="false">
      <c r="A77" s="2" t="s">
        <v>432</v>
      </c>
      <c r="B77" s="2" t="n">
        <v>3</v>
      </c>
      <c r="C77" s="2" t="s">
        <v>1002</v>
      </c>
      <c r="D77" s="2" t="s">
        <v>429</v>
      </c>
      <c r="E77" s="2" t="s">
        <v>433</v>
      </c>
      <c r="F77" s="2" t="s">
        <v>991</v>
      </c>
      <c r="G77" s="2"/>
      <c r="H77" s="2" t="n">
        <f aca="false">COUNTIF('Anh xa'!$A$2:$A$581,A77)</f>
        <v>2</v>
      </c>
      <c r="I77" s="3" t="str">
        <f aca="false">IF(H77&gt;0,"Đã ánh xạ","THIẾU")</f>
        <v>Đã ánh xạ</v>
      </c>
      <c r="J77" s="7" t="s">
        <v>979</v>
      </c>
      <c r="K77" s="7"/>
    </row>
    <row r="78" customFormat="false" ht="15" hidden="false" customHeight="false" outlineLevel="0" collapsed="false">
      <c r="A78" s="2" t="s">
        <v>436</v>
      </c>
      <c r="B78" s="2" t="n">
        <v>3</v>
      </c>
      <c r="C78" s="2" t="s">
        <v>1002</v>
      </c>
      <c r="D78" s="2" t="s">
        <v>429</v>
      </c>
      <c r="E78" s="2" t="s">
        <v>437</v>
      </c>
      <c r="F78" s="2" t="s">
        <v>996</v>
      </c>
      <c r="G78" s="2"/>
      <c r="H78" s="2" t="n">
        <f aca="false">COUNTIF('Anh xa'!$A$2:$A$581,A78)</f>
        <v>3</v>
      </c>
      <c r="I78" s="3" t="str">
        <f aca="false">IF(H78&gt;0,"Đã ánh xạ","THIẾU")</f>
        <v>Đã ánh xạ</v>
      </c>
      <c r="J78" s="7" t="s">
        <v>979</v>
      </c>
      <c r="K78" s="7"/>
    </row>
    <row r="79" customFormat="false" ht="15" hidden="false" customHeight="false" outlineLevel="0" collapsed="false">
      <c r="A79" s="2" t="s">
        <v>440</v>
      </c>
      <c r="B79" s="2" t="n">
        <v>3</v>
      </c>
      <c r="C79" s="2" t="s">
        <v>1002</v>
      </c>
      <c r="D79" s="2" t="s">
        <v>429</v>
      </c>
      <c r="E79" s="2" t="s">
        <v>441</v>
      </c>
      <c r="F79" s="2" t="s">
        <v>991</v>
      </c>
      <c r="G79" s="2"/>
      <c r="H79" s="2" t="n">
        <f aca="false">COUNTIF('Anh xa'!$A$2:$A$581,A79)</f>
        <v>3</v>
      </c>
      <c r="I79" s="3" t="str">
        <f aca="false">IF(H79&gt;0,"Đã ánh xạ","THIẾU")</f>
        <v>Đã ánh xạ</v>
      </c>
      <c r="J79" s="7" t="s">
        <v>979</v>
      </c>
      <c r="K79" s="7"/>
    </row>
    <row r="80" customFormat="false" ht="15" hidden="false" customHeight="false" outlineLevel="0" collapsed="false">
      <c r="A80" s="2" t="s">
        <v>444</v>
      </c>
      <c r="B80" s="2" t="n">
        <v>2</v>
      </c>
      <c r="C80" s="2" t="s">
        <v>1002</v>
      </c>
      <c r="D80" s="2" t="s">
        <v>445</v>
      </c>
      <c r="E80" s="2"/>
      <c r="F80" s="2" t="s">
        <v>990</v>
      </c>
      <c r="G80" s="2"/>
      <c r="H80" s="2" t="n">
        <f aca="false">COUNTIF('Anh xa'!$A$2:$A$581,"A3.3")+COUNTIF('Anh xa'!$A$2:$A$581,"A3.3.*")</f>
        <v>5</v>
      </c>
      <c r="I80" s="3" t="str">
        <f aca="false">IF(H80&gt;0,"Đã ánh xạ","THIẾU")</f>
        <v>Đã ánh xạ</v>
      </c>
      <c r="J80" s="7" t="s">
        <v>979</v>
      </c>
      <c r="K80" s="7"/>
    </row>
    <row r="81" customFormat="false" ht="15" hidden="false" customHeight="false" outlineLevel="0" collapsed="false">
      <c r="A81" s="2" t="s">
        <v>448</v>
      </c>
      <c r="B81" s="2" t="n">
        <v>3</v>
      </c>
      <c r="C81" s="2" t="s">
        <v>1002</v>
      </c>
      <c r="D81" s="2" t="s">
        <v>445</v>
      </c>
      <c r="E81" s="2" t="s">
        <v>449</v>
      </c>
      <c r="F81" s="2" t="s">
        <v>991</v>
      </c>
      <c r="G81" s="2"/>
      <c r="H81" s="2" t="n">
        <f aca="false">COUNTIF('Anh xa'!$A$2:$A$581,A81)</f>
        <v>2</v>
      </c>
      <c r="I81" s="3" t="str">
        <f aca="false">IF(H81&gt;0,"Đã ánh xạ","THIẾU")</f>
        <v>Đã ánh xạ</v>
      </c>
      <c r="J81" s="7" t="s">
        <v>979</v>
      </c>
      <c r="K81" s="7"/>
    </row>
    <row r="82" customFormat="false" ht="15" hidden="false" customHeight="false" outlineLevel="0" collapsed="false">
      <c r="A82" s="2" t="s">
        <v>452</v>
      </c>
      <c r="B82" s="2" t="n">
        <v>3</v>
      </c>
      <c r="C82" s="2" t="s">
        <v>1002</v>
      </c>
      <c r="D82" s="2" t="s">
        <v>445</v>
      </c>
      <c r="E82" s="2" t="s">
        <v>453</v>
      </c>
      <c r="F82" s="2" t="s">
        <v>991</v>
      </c>
      <c r="G82" s="2"/>
      <c r="H82" s="2" t="n">
        <f aca="false">COUNTIF('Anh xa'!$A$2:$A$581,A82)</f>
        <v>2</v>
      </c>
      <c r="I82" s="3" t="str">
        <f aca="false">IF(H82&gt;0,"Đã ánh xạ","THIẾU")</f>
        <v>Đã ánh xạ</v>
      </c>
      <c r="J82" s="7" t="s">
        <v>979</v>
      </c>
      <c r="K82" s="7"/>
    </row>
    <row r="83" customFormat="false" ht="15" hidden="false" customHeight="false" outlineLevel="0" collapsed="false">
      <c r="A83" s="2" t="s">
        <v>454</v>
      </c>
      <c r="B83" s="2" t="n">
        <v>2</v>
      </c>
      <c r="C83" s="2" t="s">
        <v>1002</v>
      </c>
      <c r="D83" s="2" t="s">
        <v>455</v>
      </c>
      <c r="E83" s="2"/>
      <c r="F83" s="2" t="s">
        <v>990</v>
      </c>
      <c r="G83" s="2" t="s">
        <v>62</v>
      </c>
      <c r="H83" s="2" t="n">
        <f aca="false">COUNTIF('Anh xa'!$A$2:$A$581,"A3.4")+COUNTIF('Anh xa'!$A$2:$A$581,"A3.4.*")</f>
        <v>6</v>
      </c>
      <c r="I83" s="3" t="str">
        <f aca="false">IF(H83&gt;0,"Đã ánh xạ","THIẾU")</f>
        <v>Đã ánh xạ</v>
      </c>
      <c r="J83" s="7" t="s">
        <v>979</v>
      </c>
      <c r="K83" s="7"/>
    </row>
    <row r="84" customFormat="false" ht="15" hidden="false" customHeight="false" outlineLevel="0" collapsed="false">
      <c r="A84" s="2" t="s">
        <v>456</v>
      </c>
      <c r="B84" s="2" t="n">
        <v>3</v>
      </c>
      <c r="C84" s="2" t="s">
        <v>1002</v>
      </c>
      <c r="D84" s="2" t="s">
        <v>455</v>
      </c>
      <c r="E84" s="2" t="s">
        <v>457</v>
      </c>
      <c r="F84" s="2" t="s">
        <v>997</v>
      </c>
      <c r="G84" s="2" t="s">
        <v>62</v>
      </c>
      <c r="H84" s="2" t="n">
        <f aca="false">COUNTIF('Anh xa'!$A$2:$A$581,A84)</f>
        <v>3</v>
      </c>
      <c r="I84" s="3" t="str">
        <f aca="false">IF(H84&gt;0,"Đã ánh xạ","THIẾU")</f>
        <v>Đã ánh xạ</v>
      </c>
      <c r="J84" s="7" t="s">
        <v>979</v>
      </c>
      <c r="K84" s="7"/>
    </row>
    <row r="85" customFormat="false" ht="15" hidden="false" customHeight="false" outlineLevel="0" collapsed="false">
      <c r="A85" s="2" t="s">
        <v>458</v>
      </c>
      <c r="B85" s="2" t="n">
        <v>3</v>
      </c>
      <c r="C85" s="2" t="s">
        <v>1002</v>
      </c>
      <c r="D85" s="2" t="s">
        <v>455</v>
      </c>
      <c r="E85" s="2" t="s">
        <v>459</v>
      </c>
      <c r="F85" s="2" t="s">
        <v>991</v>
      </c>
      <c r="G85" s="2" t="s">
        <v>62</v>
      </c>
      <c r="H85" s="2" t="n">
        <f aca="false">COUNTIF('Anh xa'!$A$2:$A$581,A85)</f>
        <v>2</v>
      </c>
      <c r="I85" s="3" t="str">
        <f aca="false">IF(H85&gt;0,"Đã ánh xạ","THIẾU")</f>
        <v>Đã ánh xạ</v>
      </c>
      <c r="J85" s="7" t="s">
        <v>979</v>
      </c>
      <c r="K85" s="7"/>
    </row>
    <row r="86" customFormat="false" ht="15" hidden="false" customHeight="false" outlineLevel="0" collapsed="false">
      <c r="A86" s="2" t="s">
        <v>462</v>
      </c>
      <c r="B86" s="2" t="n">
        <v>2</v>
      </c>
      <c r="C86" s="2" t="s">
        <v>1002</v>
      </c>
      <c r="D86" s="2" t="s">
        <v>463</v>
      </c>
      <c r="E86" s="2"/>
      <c r="F86" s="2" t="s">
        <v>990</v>
      </c>
      <c r="G86" s="2"/>
      <c r="H86" s="2" t="n">
        <f aca="false">COUNTIF('Anh xa'!$A$2:$A$581,"A3.5")+COUNTIF('Anh xa'!$A$2:$A$581,"A3.5.*")</f>
        <v>5</v>
      </c>
      <c r="I86" s="3" t="str">
        <f aca="false">IF(H86&gt;0,"Đã ánh xạ","THIẾU")</f>
        <v>Đã ánh xạ</v>
      </c>
      <c r="J86" s="7" t="s">
        <v>979</v>
      </c>
      <c r="K86" s="7"/>
    </row>
    <row r="87" customFormat="false" ht="23.85" hidden="false" customHeight="false" outlineLevel="0" collapsed="false">
      <c r="A87" s="2" t="s">
        <v>466</v>
      </c>
      <c r="B87" s="2" t="n">
        <v>3</v>
      </c>
      <c r="C87" s="2" t="s">
        <v>1002</v>
      </c>
      <c r="D87" s="2" t="s">
        <v>463</v>
      </c>
      <c r="E87" s="2" t="s">
        <v>467</v>
      </c>
      <c r="F87" s="2" t="s">
        <v>991</v>
      </c>
      <c r="G87" s="2"/>
      <c r="H87" s="2" t="n">
        <f aca="false">COUNTIF('Anh xa'!$A$2:$A$581,A87)</f>
        <v>4</v>
      </c>
      <c r="I87" s="3" t="str">
        <f aca="false">IF(H87&gt;0,"Đã ánh xạ","THIẾU")</f>
        <v>Đã ánh xạ</v>
      </c>
      <c r="J87" s="7" t="s">
        <v>979</v>
      </c>
      <c r="K87" s="7"/>
    </row>
    <row r="88" customFormat="false" ht="15" hidden="false" customHeight="false" outlineLevel="0" collapsed="false">
      <c r="A88" s="8" t="s">
        <v>1003</v>
      </c>
      <c r="B88" s="8" t="n">
        <v>1</v>
      </c>
      <c r="C88" s="8" t="s">
        <v>1004</v>
      </c>
      <c r="D88" s="2"/>
      <c r="E88" s="2"/>
      <c r="F88" s="2" t="s">
        <v>1000</v>
      </c>
      <c r="G88" s="2"/>
      <c r="H88" s="2" t="n">
        <f aca="false">COUNTIF('Anh xa'!$A$2:$A$581,"A4.*")</f>
        <v>47</v>
      </c>
      <c r="I88" s="3" t="str">
        <f aca="false">IF(H88&gt;0,"Đã ánh xạ","THIẾU")</f>
        <v>Đã ánh xạ</v>
      </c>
      <c r="J88" s="7" t="s">
        <v>979</v>
      </c>
      <c r="K88" s="7"/>
    </row>
    <row r="89" customFormat="false" ht="15" hidden="false" customHeight="false" outlineLevel="0" collapsed="false">
      <c r="A89" s="2" t="s">
        <v>468</v>
      </c>
      <c r="B89" s="2" t="n">
        <v>2</v>
      </c>
      <c r="C89" s="2" t="s">
        <v>1004</v>
      </c>
      <c r="D89" s="2" t="s">
        <v>64</v>
      </c>
      <c r="E89" s="2"/>
      <c r="F89" s="2" t="s">
        <v>990</v>
      </c>
      <c r="G89" s="2" t="s">
        <v>62</v>
      </c>
      <c r="H89" s="2" t="n">
        <f aca="false">COUNTIF('Anh xa'!$A$2:$A$581,"A4.1")+COUNTIF('Anh xa'!$A$2:$A$581,"A4.1.*")</f>
        <v>9</v>
      </c>
      <c r="I89" s="3" t="str">
        <f aca="false">IF(H89&gt;0,"Đã ánh xạ","THIẾU")</f>
        <v>Đã ánh xạ</v>
      </c>
      <c r="J89" s="7" t="s">
        <v>979</v>
      </c>
      <c r="K89" s="7"/>
    </row>
    <row r="90" customFormat="false" ht="23.85" hidden="false" customHeight="false" outlineLevel="0" collapsed="false">
      <c r="A90" s="2" t="s">
        <v>469</v>
      </c>
      <c r="B90" s="2" t="n">
        <v>3</v>
      </c>
      <c r="C90" s="2" t="s">
        <v>1004</v>
      </c>
      <c r="D90" s="2" t="s">
        <v>64</v>
      </c>
      <c r="E90" s="2" t="s">
        <v>470</v>
      </c>
      <c r="F90" s="2" t="s">
        <v>991</v>
      </c>
      <c r="G90" s="2" t="s">
        <v>62</v>
      </c>
      <c r="H90" s="2" t="n">
        <f aca="false">COUNTIF('Anh xa'!$A$2:$A$581,A90)</f>
        <v>3</v>
      </c>
      <c r="I90" s="3" t="str">
        <f aca="false">IF(H90&gt;0,"Đã ánh xạ","THIẾU")</f>
        <v>Đã ánh xạ</v>
      </c>
      <c r="J90" s="7" t="s">
        <v>979</v>
      </c>
      <c r="K90" s="7"/>
    </row>
    <row r="91" customFormat="false" ht="15" hidden="false" customHeight="false" outlineLevel="0" collapsed="false">
      <c r="A91" s="2" t="s">
        <v>473</v>
      </c>
      <c r="B91" s="2" t="n">
        <v>3</v>
      </c>
      <c r="C91" s="2" t="s">
        <v>1004</v>
      </c>
      <c r="D91" s="2" t="s">
        <v>64</v>
      </c>
      <c r="E91" s="2" t="s">
        <v>474</v>
      </c>
      <c r="F91" s="2" t="s">
        <v>997</v>
      </c>
      <c r="G91" s="2" t="s">
        <v>62</v>
      </c>
      <c r="H91" s="2" t="n">
        <f aca="false">COUNTIF('Anh xa'!$A$2:$A$581,A91)</f>
        <v>2</v>
      </c>
      <c r="I91" s="3" t="str">
        <f aca="false">IF(H91&gt;0,"Đã ánh xạ","THIẾU")</f>
        <v>Đã ánh xạ</v>
      </c>
      <c r="J91" s="7" t="s">
        <v>979</v>
      </c>
      <c r="K91" s="7"/>
    </row>
    <row r="92" customFormat="false" ht="15" hidden="false" customHeight="false" outlineLevel="0" collapsed="false">
      <c r="A92" s="2" t="s">
        <v>475</v>
      </c>
      <c r="B92" s="2" t="n">
        <v>3</v>
      </c>
      <c r="C92" s="2" t="s">
        <v>1004</v>
      </c>
      <c r="D92" s="2" t="s">
        <v>64</v>
      </c>
      <c r="E92" s="2" t="s">
        <v>476</v>
      </c>
      <c r="F92" s="2" t="s">
        <v>996</v>
      </c>
      <c r="G92" s="2" t="s">
        <v>62</v>
      </c>
      <c r="H92" s="2" t="n">
        <f aca="false">COUNTIF('Anh xa'!$A$2:$A$581,A92)</f>
        <v>2</v>
      </c>
      <c r="I92" s="3" t="str">
        <f aca="false">IF(H92&gt;0,"Đã ánh xạ","THIẾU")</f>
        <v>Đã ánh xạ</v>
      </c>
      <c r="J92" s="7" t="s">
        <v>979</v>
      </c>
      <c r="K92" s="7"/>
    </row>
    <row r="93" customFormat="false" ht="15" hidden="false" customHeight="false" outlineLevel="0" collapsed="false">
      <c r="A93" s="2" t="s">
        <v>477</v>
      </c>
      <c r="B93" s="2" t="n">
        <v>2</v>
      </c>
      <c r="C93" s="2" t="s">
        <v>1004</v>
      </c>
      <c r="D93" s="2" t="s">
        <v>478</v>
      </c>
      <c r="E93" s="2"/>
      <c r="F93" s="2" t="s">
        <v>990</v>
      </c>
      <c r="G93" s="2" t="s">
        <v>460</v>
      </c>
      <c r="H93" s="2" t="n">
        <f aca="false">COUNTIF('Anh xa'!$A$2:$A$581,"A4.2")+COUNTIF('Anh xa'!$A$2:$A$581,"A4.2.*")</f>
        <v>19</v>
      </c>
      <c r="I93" s="3" t="str">
        <f aca="false">IF(H93&gt;0,"Đã ánh xạ","THIẾU")</f>
        <v>Đã ánh xạ</v>
      </c>
      <c r="J93" s="7" t="s">
        <v>979</v>
      </c>
      <c r="K93" s="7"/>
    </row>
    <row r="94" customFormat="false" ht="23.85" hidden="false" customHeight="false" outlineLevel="0" collapsed="false">
      <c r="A94" s="2" t="s">
        <v>479</v>
      </c>
      <c r="B94" s="2" t="n">
        <v>3</v>
      </c>
      <c r="C94" s="2" t="s">
        <v>1004</v>
      </c>
      <c r="D94" s="2" t="s">
        <v>478</v>
      </c>
      <c r="E94" s="2" t="s">
        <v>480</v>
      </c>
      <c r="F94" s="2" t="s">
        <v>991</v>
      </c>
      <c r="G94" s="2" t="s">
        <v>460</v>
      </c>
      <c r="H94" s="2" t="n">
        <f aca="false">COUNTIF('Anh xa'!$A$2:$A$581,A94)</f>
        <v>6</v>
      </c>
      <c r="I94" s="3" t="str">
        <f aca="false">IF(H94&gt;0,"Đã ánh xạ","THIẾU")</f>
        <v>Đã ánh xạ</v>
      </c>
      <c r="J94" s="7" t="s">
        <v>979</v>
      </c>
      <c r="K94" s="7"/>
    </row>
    <row r="95" customFormat="false" ht="15" hidden="false" customHeight="false" outlineLevel="0" collapsed="false">
      <c r="A95" s="2" t="s">
        <v>481</v>
      </c>
      <c r="B95" s="2" t="n">
        <v>3</v>
      </c>
      <c r="C95" s="2" t="s">
        <v>1004</v>
      </c>
      <c r="D95" s="2" t="s">
        <v>478</v>
      </c>
      <c r="E95" s="2" t="s">
        <v>482</v>
      </c>
      <c r="F95" s="2" t="s">
        <v>996</v>
      </c>
      <c r="G95" s="2" t="s">
        <v>460</v>
      </c>
      <c r="H95" s="2" t="n">
        <f aca="false">COUNTIF('Anh xa'!$A$2:$A$581,A95)</f>
        <v>3</v>
      </c>
      <c r="I95" s="3" t="str">
        <f aca="false">IF(H95&gt;0,"Đã ánh xạ","THIẾU")</f>
        <v>Đã ánh xạ</v>
      </c>
      <c r="J95" s="7" t="s">
        <v>979</v>
      </c>
      <c r="K95" s="7"/>
    </row>
    <row r="96" customFormat="false" ht="15" hidden="false" customHeight="false" outlineLevel="0" collapsed="false">
      <c r="A96" s="2" t="s">
        <v>485</v>
      </c>
      <c r="B96" s="2" t="n">
        <v>3</v>
      </c>
      <c r="C96" s="2" t="s">
        <v>1004</v>
      </c>
      <c r="D96" s="2" t="s">
        <v>478</v>
      </c>
      <c r="E96" s="2" t="s">
        <v>486</v>
      </c>
      <c r="F96" s="2" t="s">
        <v>997</v>
      </c>
      <c r="G96" s="2" t="s">
        <v>460</v>
      </c>
      <c r="H96" s="2" t="n">
        <f aca="false">COUNTIF('Anh xa'!$A$2:$A$581,A96)</f>
        <v>3</v>
      </c>
      <c r="I96" s="3" t="str">
        <f aca="false">IF(H96&gt;0,"Đã ánh xạ","THIẾU")</f>
        <v>Đã ánh xạ</v>
      </c>
      <c r="J96" s="7" t="s">
        <v>979</v>
      </c>
      <c r="K96" s="7"/>
    </row>
    <row r="97" customFormat="false" ht="15" hidden="false" customHeight="false" outlineLevel="0" collapsed="false">
      <c r="A97" s="2" t="s">
        <v>489</v>
      </c>
      <c r="B97" s="2" t="n">
        <v>3</v>
      </c>
      <c r="C97" s="2" t="s">
        <v>1004</v>
      </c>
      <c r="D97" s="2" t="s">
        <v>478</v>
      </c>
      <c r="E97" s="2" t="s">
        <v>490</v>
      </c>
      <c r="F97" s="2" t="s">
        <v>996</v>
      </c>
      <c r="G97" s="2" t="s">
        <v>460</v>
      </c>
      <c r="H97" s="2" t="n">
        <f aca="false">COUNTIF('Anh xa'!$A$2:$A$581,A97)</f>
        <v>2</v>
      </c>
      <c r="I97" s="3" t="str">
        <f aca="false">IF(H97&gt;0,"Đã ánh xạ","THIẾU")</f>
        <v>Đã ánh xạ</v>
      </c>
      <c r="J97" s="7" t="s">
        <v>979</v>
      </c>
      <c r="K97" s="7"/>
    </row>
    <row r="98" customFormat="false" ht="15" hidden="false" customHeight="false" outlineLevel="0" collapsed="false">
      <c r="A98" s="2" t="s">
        <v>491</v>
      </c>
      <c r="B98" s="2" t="n">
        <v>3</v>
      </c>
      <c r="C98" s="2" t="s">
        <v>1004</v>
      </c>
      <c r="D98" s="2" t="s">
        <v>478</v>
      </c>
      <c r="E98" s="2" t="s">
        <v>492</v>
      </c>
      <c r="F98" s="2" t="s">
        <v>991</v>
      </c>
      <c r="G98" s="2" t="s">
        <v>460</v>
      </c>
      <c r="H98" s="2" t="n">
        <f aca="false">COUNTIF('Anh xa'!$A$2:$A$581,A98)</f>
        <v>2</v>
      </c>
      <c r="I98" s="3" t="str">
        <f aca="false">IF(H98&gt;0,"Đã ánh xạ","THIẾU")</f>
        <v>Đã ánh xạ</v>
      </c>
      <c r="J98" s="7" t="s">
        <v>979</v>
      </c>
      <c r="K98" s="7"/>
    </row>
    <row r="99" customFormat="false" ht="15" hidden="false" customHeight="false" outlineLevel="0" collapsed="false">
      <c r="A99" s="2" t="s">
        <v>493</v>
      </c>
      <c r="B99" s="2" t="n">
        <v>2</v>
      </c>
      <c r="C99" s="2" t="s">
        <v>1004</v>
      </c>
      <c r="D99" s="2" t="s">
        <v>494</v>
      </c>
      <c r="E99" s="2"/>
      <c r="F99" s="2" t="s">
        <v>990</v>
      </c>
      <c r="G99" s="2" t="s">
        <v>495</v>
      </c>
      <c r="H99" s="2" t="n">
        <f aca="false">COUNTIF('Anh xa'!$A$2:$A$581,"A4.3")+COUNTIF('Anh xa'!$A$2:$A$581,"A4.3.*")</f>
        <v>9</v>
      </c>
      <c r="I99" s="3" t="str">
        <f aca="false">IF(H99&gt;0,"Đã ánh xạ","THIẾU")</f>
        <v>Đã ánh xạ</v>
      </c>
      <c r="J99" s="7" t="s">
        <v>979</v>
      </c>
      <c r="K99" s="7"/>
    </row>
    <row r="100" customFormat="false" ht="23.85" hidden="false" customHeight="false" outlineLevel="0" collapsed="false">
      <c r="A100" s="2" t="s">
        <v>497</v>
      </c>
      <c r="B100" s="2" t="n">
        <v>3</v>
      </c>
      <c r="C100" s="2" t="s">
        <v>1004</v>
      </c>
      <c r="D100" s="2" t="s">
        <v>494</v>
      </c>
      <c r="E100" s="2" t="s">
        <v>498</v>
      </c>
      <c r="F100" s="2" t="s">
        <v>991</v>
      </c>
      <c r="G100" s="2" t="s">
        <v>495</v>
      </c>
      <c r="H100" s="2" t="n">
        <f aca="false">COUNTIF('Anh xa'!$A$2:$A$581,A100)</f>
        <v>3</v>
      </c>
      <c r="I100" s="3" t="str">
        <f aca="false">IF(H100&gt;0,"Đã ánh xạ","THIẾU")</f>
        <v>Đã ánh xạ</v>
      </c>
      <c r="J100" s="7" t="s">
        <v>979</v>
      </c>
      <c r="K100" s="7"/>
    </row>
    <row r="101" customFormat="false" ht="15" hidden="false" customHeight="false" outlineLevel="0" collapsed="false">
      <c r="A101" s="2" t="s">
        <v>503</v>
      </c>
      <c r="B101" s="2" t="n">
        <v>3</v>
      </c>
      <c r="C101" s="2" t="s">
        <v>1004</v>
      </c>
      <c r="D101" s="2" t="s">
        <v>494</v>
      </c>
      <c r="E101" s="2" t="s">
        <v>504</v>
      </c>
      <c r="F101" s="2" t="s">
        <v>991</v>
      </c>
      <c r="G101" s="2" t="s">
        <v>495</v>
      </c>
      <c r="H101" s="2" t="n">
        <f aca="false">COUNTIF('Anh xa'!$A$2:$A$581,A101)</f>
        <v>2</v>
      </c>
      <c r="I101" s="3" t="str">
        <f aca="false">IF(H101&gt;0,"Đã ánh xạ","THIẾU")</f>
        <v>Đã ánh xạ</v>
      </c>
      <c r="J101" s="7" t="s">
        <v>979</v>
      </c>
      <c r="K101" s="7"/>
    </row>
    <row r="102" customFormat="false" ht="15" hidden="false" customHeight="false" outlineLevel="0" collapsed="false">
      <c r="A102" s="2" t="s">
        <v>505</v>
      </c>
      <c r="B102" s="2" t="n">
        <v>3</v>
      </c>
      <c r="C102" s="2" t="s">
        <v>1004</v>
      </c>
      <c r="D102" s="2" t="s">
        <v>494</v>
      </c>
      <c r="E102" s="2" t="s">
        <v>506</v>
      </c>
      <c r="F102" s="2" t="s">
        <v>997</v>
      </c>
      <c r="G102" s="2" t="s">
        <v>495</v>
      </c>
      <c r="H102" s="2" t="n">
        <f aca="false">COUNTIF('Anh xa'!$A$2:$A$581,A102)</f>
        <v>2</v>
      </c>
      <c r="I102" s="3" t="str">
        <f aca="false">IF(H102&gt;0,"Đã ánh xạ","THIẾU")</f>
        <v>Đã ánh xạ</v>
      </c>
      <c r="J102" s="7" t="s">
        <v>979</v>
      </c>
      <c r="K102" s="7"/>
    </row>
    <row r="103" customFormat="false" ht="15" hidden="false" customHeight="false" outlineLevel="0" collapsed="false">
      <c r="A103" s="2" t="s">
        <v>509</v>
      </c>
      <c r="B103" s="2" t="n">
        <v>2</v>
      </c>
      <c r="C103" s="2" t="s">
        <v>1004</v>
      </c>
      <c r="D103" s="2" t="s">
        <v>510</v>
      </c>
      <c r="E103" s="2"/>
      <c r="F103" s="2" t="s">
        <v>990</v>
      </c>
      <c r="G103" s="2"/>
      <c r="H103" s="2" t="n">
        <f aca="false">COUNTIF('Anh xa'!$A$2:$A$581,"A4.4")+COUNTIF('Anh xa'!$A$2:$A$581,"A4.4.*")</f>
        <v>5</v>
      </c>
      <c r="I103" s="3" t="str">
        <f aca="false">IF(H103&gt;0,"Đã ánh xạ","THIẾU")</f>
        <v>Đã ánh xạ</v>
      </c>
      <c r="J103" s="7" t="s">
        <v>979</v>
      </c>
      <c r="K103" s="7"/>
    </row>
    <row r="104" customFormat="false" ht="23.85" hidden="false" customHeight="false" outlineLevel="0" collapsed="false">
      <c r="A104" s="2" t="s">
        <v>513</v>
      </c>
      <c r="B104" s="2" t="n">
        <v>3</v>
      </c>
      <c r="C104" s="2" t="s">
        <v>1004</v>
      </c>
      <c r="D104" s="2" t="s">
        <v>510</v>
      </c>
      <c r="E104" s="2" t="s">
        <v>514</v>
      </c>
      <c r="F104" s="2" t="s">
        <v>991</v>
      </c>
      <c r="G104" s="2"/>
      <c r="H104" s="2" t="n">
        <f aca="false">COUNTIF('Anh xa'!$A$2:$A$581,A104)</f>
        <v>3</v>
      </c>
      <c r="I104" s="3" t="str">
        <f aca="false">IF(H104&gt;0,"Đã ánh xạ","THIẾU")</f>
        <v>Đã ánh xạ</v>
      </c>
      <c r="J104" s="7" t="s">
        <v>979</v>
      </c>
      <c r="K104" s="7"/>
    </row>
    <row r="105" customFormat="false" ht="15" hidden="false" customHeight="false" outlineLevel="0" collapsed="false">
      <c r="A105" s="2" t="s">
        <v>515</v>
      </c>
      <c r="B105" s="2" t="n">
        <v>2</v>
      </c>
      <c r="C105" s="2" t="s">
        <v>1004</v>
      </c>
      <c r="D105" s="2" t="s">
        <v>516</v>
      </c>
      <c r="E105" s="2"/>
      <c r="F105" s="2" t="s">
        <v>990</v>
      </c>
      <c r="G105" s="2"/>
      <c r="H105" s="2" t="n">
        <f aca="false">COUNTIF('Anh xa'!$A$2:$A$581,"A4.5")+COUNTIF('Anh xa'!$A$2:$A$581,"A4.5.*")</f>
        <v>5</v>
      </c>
      <c r="I105" s="3" t="str">
        <f aca="false">IF(H105&gt;0,"Đã ánh xạ","THIẾU")</f>
        <v>Đã ánh xạ</v>
      </c>
      <c r="J105" s="7" t="s">
        <v>979</v>
      </c>
      <c r="K105" s="7"/>
    </row>
    <row r="106" customFormat="false" ht="23.85" hidden="false" customHeight="false" outlineLevel="0" collapsed="false">
      <c r="A106" s="2" t="s">
        <v>520</v>
      </c>
      <c r="B106" s="2" t="n">
        <v>3</v>
      </c>
      <c r="C106" s="2" t="s">
        <v>1004</v>
      </c>
      <c r="D106" s="2" t="s">
        <v>516</v>
      </c>
      <c r="E106" s="2" t="s">
        <v>521</v>
      </c>
      <c r="F106" s="2" t="s">
        <v>991</v>
      </c>
      <c r="G106" s="2"/>
      <c r="H106" s="2" t="n">
        <f aca="false">COUNTIF('Anh xa'!$A$2:$A$581,A106)</f>
        <v>3</v>
      </c>
      <c r="I106" s="3" t="str">
        <f aca="false">IF(H106&gt;0,"Đã ánh xạ","THIẾU")</f>
        <v>Đã ánh xạ</v>
      </c>
      <c r="J106" s="7" t="s">
        <v>979</v>
      </c>
      <c r="K106" s="7"/>
    </row>
    <row r="107" customFormat="false" ht="15" hidden="false" customHeight="false" outlineLevel="0" collapsed="false">
      <c r="A107" s="8" t="s">
        <v>1005</v>
      </c>
      <c r="B107" s="8" t="n">
        <v>1</v>
      </c>
      <c r="C107" s="8" t="s">
        <v>1006</v>
      </c>
      <c r="D107" s="2"/>
      <c r="E107" s="2"/>
      <c r="F107" s="2" t="s">
        <v>1000</v>
      </c>
      <c r="G107" s="2"/>
      <c r="H107" s="2" t="n">
        <f aca="false">COUNTIF('Anh xa'!$A$2:$A$581,"A5.*")</f>
        <v>44</v>
      </c>
      <c r="I107" s="3" t="str">
        <f aca="false">IF(H107&gt;0,"Đã ánh xạ","THIẾU")</f>
        <v>Đã ánh xạ</v>
      </c>
      <c r="J107" s="7" t="s">
        <v>979</v>
      </c>
      <c r="K107" s="7"/>
    </row>
    <row r="108" customFormat="false" ht="15" hidden="false" customHeight="false" outlineLevel="0" collapsed="false">
      <c r="A108" s="2" t="s">
        <v>522</v>
      </c>
      <c r="B108" s="2" t="n">
        <v>2</v>
      </c>
      <c r="C108" s="2" t="s">
        <v>1006</v>
      </c>
      <c r="D108" s="2" t="s">
        <v>523</v>
      </c>
      <c r="E108" s="2"/>
      <c r="F108" s="2" t="s">
        <v>990</v>
      </c>
      <c r="G108" s="2" t="s">
        <v>524</v>
      </c>
      <c r="H108" s="2" t="n">
        <f aca="false">COUNTIF('Anh xa'!$A$2:$A$581,"A5.1")+COUNTIF('Anh xa'!$A$2:$A$581,"A5.1.*")</f>
        <v>7</v>
      </c>
      <c r="I108" s="3" t="str">
        <f aca="false">IF(H108&gt;0,"Đã ánh xạ","THIẾU")</f>
        <v>Đã ánh xạ</v>
      </c>
      <c r="J108" s="7" t="s">
        <v>979</v>
      </c>
      <c r="K108" s="7"/>
    </row>
    <row r="109" customFormat="false" ht="15" hidden="false" customHeight="false" outlineLevel="0" collapsed="false">
      <c r="A109" s="2" t="s">
        <v>525</v>
      </c>
      <c r="B109" s="2" t="n">
        <v>3</v>
      </c>
      <c r="C109" s="2" t="s">
        <v>1006</v>
      </c>
      <c r="D109" s="2" t="s">
        <v>523</v>
      </c>
      <c r="E109" s="2" t="s">
        <v>526</v>
      </c>
      <c r="F109" s="2" t="s">
        <v>991</v>
      </c>
      <c r="G109" s="2" t="s">
        <v>524</v>
      </c>
      <c r="H109" s="2" t="n">
        <f aca="false">COUNTIF('Anh xa'!$A$2:$A$581,A109)</f>
        <v>2</v>
      </c>
      <c r="I109" s="3" t="str">
        <f aca="false">IF(H109&gt;0,"Đã ánh xạ","THIẾU")</f>
        <v>Đã ánh xạ</v>
      </c>
      <c r="J109" s="7" t="s">
        <v>979</v>
      </c>
      <c r="K109" s="7"/>
    </row>
    <row r="110" customFormat="false" ht="23.85" hidden="false" customHeight="false" outlineLevel="0" collapsed="false">
      <c r="A110" s="2" t="s">
        <v>527</v>
      </c>
      <c r="B110" s="2" t="n">
        <v>3</v>
      </c>
      <c r="C110" s="2" t="s">
        <v>1006</v>
      </c>
      <c r="D110" s="2" t="s">
        <v>523</v>
      </c>
      <c r="E110" s="2" t="s">
        <v>528</v>
      </c>
      <c r="F110" s="2" t="s">
        <v>997</v>
      </c>
      <c r="G110" s="2" t="s">
        <v>524</v>
      </c>
      <c r="H110" s="2" t="n">
        <f aca="false">COUNTIF('Anh xa'!$A$2:$A$581,A110)</f>
        <v>3</v>
      </c>
      <c r="I110" s="3" t="str">
        <f aca="false">IF(H110&gt;0,"Đã ánh xạ","THIẾU")</f>
        <v>Đã ánh xạ</v>
      </c>
      <c r="J110" s="7" t="s">
        <v>979</v>
      </c>
      <c r="K110" s="7"/>
    </row>
    <row r="111" customFormat="false" ht="15" hidden="false" customHeight="false" outlineLevel="0" collapsed="false">
      <c r="A111" s="2" t="s">
        <v>531</v>
      </c>
      <c r="B111" s="2" t="n">
        <v>2</v>
      </c>
      <c r="C111" s="2" t="s">
        <v>1006</v>
      </c>
      <c r="D111" s="2" t="s">
        <v>532</v>
      </c>
      <c r="E111" s="2"/>
      <c r="F111" s="2" t="s">
        <v>990</v>
      </c>
      <c r="G111" s="2" t="s">
        <v>533</v>
      </c>
      <c r="H111" s="2" t="n">
        <f aca="false">COUNTIF('Anh xa'!$A$2:$A$581,"A5.2")+COUNTIF('Anh xa'!$A$2:$A$581,"A5.2.*")</f>
        <v>6</v>
      </c>
      <c r="I111" s="3" t="str">
        <f aca="false">IF(H111&gt;0,"Đã ánh xạ","THIẾU")</f>
        <v>Đã ánh xạ</v>
      </c>
      <c r="J111" s="7" t="s">
        <v>979</v>
      </c>
      <c r="K111" s="7"/>
    </row>
    <row r="112" customFormat="false" ht="15" hidden="false" customHeight="false" outlineLevel="0" collapsed="false">
      <c r="A112" s="2" t="s">
        <v>534</v>
      </c>
      <c r="B112" s="2" t="n">
        <v>3</v>
      </c>
      <c r="C112" s="2" t="s">
        <v>1006</v>
      </c>
      <c r="D112" s="2" t="s">
        <v>532</v>
      </c>
      <c r="E112" s="2" t="s">
        <v>535</v>
      </c>
      <c r="F112" s="2" t="s">
        <v>991</v>
      </c>
      <c r="G112" s="2" t="s">
        <v>533</v>
      </c>
      <c r="H112" s="2" t="n">
        <f aca="false">COUNTIF('Anh xa'!$A$2:$A$581,A112)</f>
        <v>2</v>
      </c>
      <c r="I112" s="3" t="str">
        <f aca="false">IF(H112&gt;0,"Đã ánh xạ","THIẾU")</f>
        <v>Đã ánh xạ</v>
      </c>
      <c r="J112" s="7" t="s">
        <v>979</v>
      </c>
      <c r="K112" s="7"/>
    </row>
    <row r="113" customFormat="false" ht="15" hidden="false" customHeight="false" outlineLevel="0" collapsed="false">
      <c r="A113" s="2" t="s">
        <v>536</v>
      </c>
      <c r="B113" s="2" t="n">
        <v>3</v>
      </c>
      <c r="C113" s="2" t="s">
        <v>1006</v>
      </c>
      <c r="D113" s="2" t="s">
        <v>532</v>
      </c>
      <c r="E113" s="2" t="s">
        <v>537</v>
      </c>
      <c r="F113" s="2" t="s">
        <v>997</v>
      </c>
      <c r="G113" s="2" t="s">
        <v>533</v>
      </c>
      <c r="H113" s="2" t="n">
        <f aca="false">COUNTIF('Anh xa'!$A$2:$A$581,A113)</f>
        <v>3</v>
      </c>
      <c r="I113" s="3" t="str">
        <f aca="false">IF(H113&gt;0,"Đã ánh xạ","THIẾU")</f>
        <v>Đã ánh xạ</v>
      </c>
      <c r="J113" s="7" t="s">
        <v>979</v>
      </c>
      <c r="K113" s="7"/>
    </row>
    <row r="114" customFormat="false" ht="15" hidden="false" customHeight="false" outlineLevel="0" collapsed="false">
      <c r="A114" s="2" t="s">
        <v>538</v>
      </c>
      <c r="B114" s="2" t="n">
        <v>2</v>
      </c>
      <c r="C114" s="2" t="s">
        <v>1006</v>
      </c>
      <c r="D114" s="2" t="s">
        <v>539</v>
      </c>
      <c r="E114" s="2"/>
      <c r="F114" s="2" t="s">
        <v>990</v>
      </c>
      <c r="G114" s="2" t="s">
        <v>507</v>
      </c>
      <c r="H114" s="2" t="n">
        <f aca="false">COUNTIF('Anh xa'!$A$2:$A$581,"A5.3")+COUNTIF('Anh xa'!$A$2:$A$581,"A5.3.*")</f>
        <v>8</v>
      </c>
      <c r="I114" s="3" t="str">
        <f aca="false">IF(H114&gt;0,"Đã ánh xạ","THIẾU")</f>
        <v>Đã ánh xạ</v>
      </c>
      <c r="J114" s="7" t="s">
        <v>979</v>
      </c>
      <c r="K114" s="7"/>
    </row>
    <row r="115" customFormat="false" ht="15" hidden="false" customHeight="false" outlineLevel="0" collapsed="false">
      <c r="A115" s="2" t="s">
        <v>540</v>
      </c>
      <c r="B115" s="2" t="n">
        <v>3</v>
      </c>
      <c r="C115" s="2" t="s">
        <v>1006</v>
      </c>
      <c r="D115" s="2" t="s">
        <v>539</v>
      </c>
      <c r="E115" s="2" t="s">
        <v>541</v>
      </c>
      <c r="F115" s="2" t="s">
        <v>991</v>
      </c>
      <c r="G115" s="2" t="s">
        <v>507</v>
      </c>
      <c r="H115" s="2" t="n">
        <f aca="false">COUNTIF('Anh xa'!$A$2:$A$581,A115)</f>
        <v>1</v>
      </c>
      <c r="I115" s="3" t="str">
        <f aca="false">IF(H115&gt;0,"Đã ánh xạ","THIẾU")</f>
        <v>Đã ánh xạ</v>
      </c>
      <c r="J115" s="7" t="s">
        <v>979</v>
      </c>
      <c r="K115" s="7"/>
    </row>
    <row r="116" customFormat="false" ht="15" hidden="false" customHeight="false" outlineLevel="0" collapsed="false">
      <c r="A116" s="2" t="s">
        <v>542</v>
      </c>
      <c r="B116" s="2" t="n">
        <v>3</v>
      </c>
      <c r="C116" s="2" t="s">
        <v>1006</v>
      </c>
      <c r="D116" s="2" t="s">
        <v>539</v>
      </c>
      <c r="E116" s="2" t="s">
        <v>543</v>
      </c>
      <c r="F116" s="2" t="s">
        <v>997</v>
      </c>
      <c r="G116" s="2" t="s">
        <v>507</v>
      </c>
      <c r="H116" s="2" t="n">
        <f aca="false">COUNTIF('Anh xa'!$A$2:$A$581,A116)</f>
        <v>2</v>
      </c>
      <c r="I116" s="3" t="str">
        <f aca="false">IF(H116&gt;0,"Đã ánh xạ","THIẾU")</f>
        <v>Đã ánh xạ</v>
      </c>
      <c r="J116" s="7" t="s">
        <v>979</v>
      </c>
      <c r="K116" s="7"/>
    </row>
    <row r="117" customFormat="false" ht="15" hidden="false" customHeight="false" outlineLevel="0" collapsed="false">
      <c r="A117" s="2" t="s">
        <v>544</v>
      </c>
      <c r="B117" s="2" t="n">
        <v>3</v>
      </c>
      <c r="C117" s="2" t="s">
        <v>1006</v>
      </c>
      <c r="D117" s="2" t="s">
        <v>539</v>
      </c>
      <c r="E117" s="2" t="s">
        <v>545</v>
      </c>
      <c r="F117" s="2" t="s">
        <v>996</v>
      </c>
      <c r="G117" s="2" t="s">
        <v>507</v>
      </c>
      <c r="H117" s="2" t="n">
        <f aca="false">COUNTIF('Anh xa'!$A$2:$A$581,A117)</f>
        <v>3</v>
      </c>
      <c r="I117" s="3" t="str">
        <f aca="false">IF(H117&gt;0,"Đã ánh xạ","THIẾU")</f>
        <v>Đã ánh xạ</v>
      </c>
      <c r="J117" s="7" t="s">
        <v>979</v>
      </c>
      <c r="K117" s="7"/>
    </row>
    <row r="118" customFormat="false" ht="15" hidden="false" customHeight="false" outlineLevel="0" collapsed="false">
      <c r="A118" s="2" t="s">
        <v>546</v>
      </c>
      <c r="B118" s="2" t="n">
        <v>2</v>
      </c>
      <c r="C118" s="2" t="s">
        <v>1006</v>
      </c>
      <c r="D118" s="2" t="s">
        <v>547</v>
      </c>
      <c r="E118" s="2"/>
      <c r="F118" s="2" t="s">
        <v>990</v>
      </c>
      <c r="G118" s="2" t="s">
        <v>548</v>
      </c>
      <c r="H118" s="2" t="n">
        <f aca="false">COUNTIF('Anh xa'!$A$2:$A$581,"A5.4")+COUNTIF('Anh xa'!$A$2:$A$581,"A5.4.*")</f>
        <v>5</v>
      </c>
      <c r="I118" s="3" t="str">
        <f aca="false">IF(H118&gt;0,"Đã ánh xạ","THIẾU")</f>
        <v>Đã ánh xạ</v>
      </c>
      <c r="J118" s="7" t="s">
        <v>979</v>
      </c>
      <c r="K118" s="7"/>
    </row>
    <row r="119" customFormat="false" ht="15" hidden="false" customHeight="false" outlineLevel="0" collapsed="false">
      <c r="A119" s="2" t="s">
        <v>549</v>
      </c>
      <c r="B119" s="2" t="n">
        <v>3</v>
      </c>
      <c r="C119" s="2" t="s">
        <v>1006</v>
      </c>
      <c r="D119" s="2" t="s">
        <v>547</v>
      </c>
      <c r="E119" s="2" t="s">
        <v>550</v>
      </c>
      <c r="F119" s="2" t="s">
        <v>991</v>
      </c>
      <c r="G119" s="2" t="s">
        <v>548</v>
      </c>
      <c r="H119" s="2" t="n">
        <f aca="false">COUNTIF('Anh xa'!$A$2:$A$581,A119)</f>
        <v>2</v>
      </c>
      <c r="I119" s="3" t="str">
        <f aca="false">IF(H119&gt;0,"Đã ánh xạ","THIẾU")</f>
        <v>Đã ánh xạ</v>
      </c>
      <c r="J119" s="7" t="s">
        <v>979</v>
      </c>
      <c r="K119" s="7"/>
    </row>
    <row r="120" customFormat="false" ht="15" hidden="false" customHeight="false" outlineLevel="0" collapsed="false">
      <c r="A120" s="2" t="s">
        <v>551</v>
      </c>
      <c r="B120" s="2" t="n">
        <v>3</v>
      </c>
      <c r="C120" s="2" t="s">
        <v>1006</v>
      </c>
      <c r="D120" s="2" t="s">
        <v>547</v>
      </c>
      <c r="E120" s="2" t="s">
        <v>552</v>
      </c>
      <c r="F120" s="2" t="s">
        <v>997</v>
      </c>
      <c r="G120" s="2" t="s">
        <v>548</v>
      </c>
      <c r="H120" s="2" t="n">
        <f aca="false">COUNTIF('Anh xa'!$A$2:$A$581,A120)</f>
        <v>2</v>
      </c>
      <c r="I120" s="3" t="str">
        <f aca="false">IF(H120&gt;0,"Đã ánh xạ","THIẾU")</f>
        <v>Đã ánh xạ</v>
      </c>
      <c r="J120" s="7" t="s">
        <v>979</v>
      </c>
      <c r="K120" s="7"/>
    </row>
    <row r="121" customFormat="false" ht="15" hidden="false" customHeight="false" outlineLevel="0" collapsed="false">
      <c r="A121" s="2" t="s">
        <v>553</v>
      </c>
      <c r="B121" s="2" t="n">
        <v>2</v>
      </c>
      <c r="C121" s="2" t="s">
        <v>1006</v>
      </c>
      <c r="D121" s="2" t="s">
        <v>554</v>
      </c>
      <c r="E121" s="2"/>
      <c r="F121" s="2" t="s">
        <v>990</v>
      </c>
      <c r="G121" s="2" t="s">
        <v>555</v>
      </c>
      <c r="H121" s="2" t="n">
        <f aca="false">COUNTIF('Anh xa'!$A$2:$A$581,"A5.5")+COUNTIF('Anh xa'!$A$2:$A$581,"A5.5.*")</f>
        <v>11</v>
      </c>
      <c r="I121" s="3" t="str">
        <f aca="false">IF(H121&gt;0,"Đã ánh xạ","THIẾU")</f>
        <v>Đã ánh xạ</v>
      </c>
      <c r="J121" s="7" t="s">
        <v>979</v>
      </c>
      <c r="K121" s="7"/>
    </row>
    <row r="122" customFormat="false" ht="23.85" hidden="false" customHeight="false" outlineLevel="0" collapsed="false">
      <c r="A122" s="2" t="s">
        <v>557</v>
      </c>
      <c r="B122" s="2" t="n">
        <v>3</v>
      </c>
      <c r="C122" s="2" t="s">
        <v>1006</v>
      </c>
      <c r="D122" s="2" t="s">
        <v>554</v>
      </c>
      <c r="E122" s="2" t="s">
        <v>558</v>
      </c>
      <c r="F122" s="2" t="s">
        <v>991</v>
      </c>
      <c r="G122" s="2" t="s">
        <v>555</v>
      </c>
      <c r="H122" s="2" t="n">
        <f aca="false">COUNTIF('Anh xa'!$A$2:$A$581,A122)</f>
        <v>3</v>
      </c>
      <c r="I122" s="3" t="str">
        <f aca="false">IF(H122&gt;0,"Đã ánh xạ","THIẾU")</f>
        <v>Đã ánh xạ</v>
      </c>
      <c r="J122" s="7" t="s">
        <v>979</v>
      </c>
      <c r="K122" s="7"/>
    </row>
    <row r="123" customFormat="false" ht="15" hidden="false" customHeight="false" outlineLevel="0" collapsed="false">
      <c r="A123" s="2" t="s">
        <v>561</v>
      </c>
      <c r="B123" s="2" t="n">
        <v>3</v>
      </c>
      <c r="C123" s="2" t="s">
        <v>1006</v>
      </c>
      <c r="D123" s="2" t="s">
        <v>554</v>
      </c>
      <c r="E123" s="2" t="s">
        <v>562</v>
      </c>
      <c r="F123" s="2" t="s">
        <v>991</v>
      </c>
      <c r="G123" s="2" t="s">
        <v>555</v>
      </c>
      <c r="H123" s="2" t="n">
        <f aca="false">COUNTIF('Anh xa'!$A$2:$A$581,A123)</f>
        <v>2</v>
      </c>
      <c r="I123" s="3" t="str">
        <f aca="false">IF(H123&gt;0,"Đã ánh xạ","THIẾU")</f>
        <v>Đã ánh xạ</v>
      </c>
      <c r="J123" s="7" t="s">
        <v>979</v>
      </c>
      <c r="K123" s="7"/>
    </row>
    <row r="124" customFormat="false" ht="15" hidden="false" customHeight="false" outlineLevel="0" collapsed="false">
      <c r="A124" s="2" t="s">
        <v>563</v>
      </c>
      <c r="B124" s="2" t="n">
        <v>3</v>
      </c>
      <c r="C124" s="2" t="s">
        <v>1006</v>
      </c>
      <c r="D124" s="2" t="s">
        <v>554</v>
      </c>
      <c r="E124" s="2" t="s">
        <v>564</v>
      </c>
      <c r="F124" s="2" t="s">
        <v>997</v>
      </c>
      <c r="G124" s="2" t="s">
        <v>555</v>
      </c>
      <c r="H124" s="2" t="n">
        <f aca="false">COUNTIF('Anh xa'!$A$2:$A$581,A124)</f>
        <v>2</v>
      </c>
      <c r="I124" s="3" t="str">
        <f aca="false">IF(H124&gt;0,"Đã ánh xạ","THIẾU")</f>
        <v>Đã ánh xạ</v>
      </c>
      <c r="J124" s="7" t="s">
        <v>979</v>
      </c>
      <c r="K124" s="7"/>
    </row>
    <row r="125" customFormat="false" ht="15" hidden="false" customHeight="false" outlineLevel="0" collapsed="false">
      <c r="A125" s="2" t="s">
        <v>565</v>
      </c>
      <c r="B125" s="2" t="n">
        <v>3</v>
      </c>
      <c r="C125" s="2" t="s">
        <v>1006</v>
      </c>
      <c r="D125" s="2" t="s">
        <v>554</v>
      </c>
      <c r="E125" s="2" t="s">
        <v>566</v>
      </c>
      <c r="F125" s="2" t="s">
        <v>996</v>
      </c>
      <c r="G125" s="2" t="s">
        <v>555</v>
      </c>
      <c r="H125" s="2" t="n">
        <f aca="false">COUNTIF('Anh xa'!$A$2:$A$581,A125)</f>
        <v>2</v>
      </c>
      <c r="I125" s="3" t="str">
        <f aca="false">IF(H125&gt;0,"Đã ánh xạ","THIẾU")</f>
        <v>Đã ánh xạ</v>
      </c>
      <c r="J125" s="7" t="s">
        <v>979</v>
      </c>
      <c r="K125" s="7"/>
    </row>
    <row r="126" customFormat="false" ht="15" hidden="false" customHeight="false" outlineLevel="0" collapsed="false">
      <c r="A126" s="2" t="s">
        <v>569</v>
      </c>
      <c r="B126" s="2" t="n">
        <v>2</v>
      </c>
      <c r="C126" s="2" t="s">
        <v>1006</v>
      </c>
      <c r="D126" s="2" t="s">
        <v>570</v>
      </c>
      <c r="E126" s="2"/>
      <c r="F126" s="2" t="s">
        <v>990</v>
      </c>
      <c r="G126" s="2"/>
      <c r="H126" s="2" t="n">
        <f aca="false">COUNTIF('Anh xa'!$A$2:$A$581,"A5.7")+COUNTIF('Anh xa'!$A$2:$A$581,"A5.7.*")</f>
        <v>3</v>
      </c>
      <c r="I126" s="3" t="str">
        <f aca="false">IF(H126&gt;0,"Đã ánh xạ","THIẾU")</f>
        <v>Đã ánh xạ</v>
      </c>
      <c r="J126" s="7" t="s">
        <v>979</v>
      </c>
      <c r="K126" s="7"/>
    </row>
    <row r="127" customFormat="false" ht="15" hidden="false" customHeight="false" outlineLevel="0" collapsed="false">
      <c r="A127" s="2" t="s">
        <v>573</v>
      </c>
      <c r="B127" s="2" t="n">
        <v>3</v>
      </c>
      <c r="C127" s="2" t="s">
        <v>1006</v>
      </c>
      <c r="D127" s="2" t="s">
        <v>570</v>
      </c>
      <c r="E127" s="2" t="s">
        <v>574</v>
      </c>
      <c r="F127" s="2" t="s">
        <v>991</v>
      </c>
      <c r="G127" s="2"/>
      <c r="H127" s="2" t="n">
        <f aca="false">COUNTIF('Anh xa'!$A$2:$A$581,A127)</f>
        <v>2</v>
      </c>
      <c r="I127" s="3" t="str">
        <f aca="false">IF(H127&gt;0,"Đã ánh xạ","THIẾU")</f>
        <v>Đã ánh xạ</v>
      </c>
      <c r="J127" s="7" t="s">
        <v>979</v>
      </c>
      <c r="K127" s="7"/>
    </row>
    <row r="128" customFormat="false" ht="15" hidden="false" customHeight="false" outlineLevel="0" collapsed="false">
      <c r="A128" s="2" t="s">
        <v>575</v>
      </c>
      <c r="B128" s="2" t="n">
        <v>2</v>
      </c>
      <c r="C128" s="2" t="s">
        <v>1006</v>
      </c>
      <c r="D128" s="2" t="s">
        <v>576</v>
      </c>
      <c r="E128" s="2"/>
      <c r="F128" s="2" t="s">
        <v>990</v>
      </c>
      <c r="G128" s="2"/>
      <c r="H128" s="2" t="n">
        <f aca="false">COUNTIF('Anh xa'!$A$2:$A$581,"A5.6")+COUNTIF('Anh xa'!$A$2:$A$581,"A5.6.*")</f>
        <v>4</v>
      </c>
      <c r="I128" s="3" t="str">
        <f aca="false">IF(H128&gt;0,"Đã ánh xạ","THIẾU")</f>
        <v>Đã ánh xạ</v>
      </c>
      <c r="J128" s="7" t="s">
        <v>979</v>
      </c>
      <c r="K128" s="7"/>
    </row>
    <row r="129" customFormat="false" ht="15" hidden="false" customHeight="false" outlineLevel="0" collapsed="false">
      <c r="A129" s="2" t="s">
        <v>581</v>
      </c>
      <c r="B129" s="2" t="n">
        <v>3</v>
      </c>
      <c r="C129" s="2" t="s">
        <v>1006</v>
      </c>
      <c r="D129" s="2" t="s">
        <v>576</v>
      </c>
      <c r="E129" s="2" t="s">
        <v>582</v>
      </c>
      <c r="F129" s="2" t="s">
        <v>991</v>
      </c>
      <c r="G129" s="2"/>
      <c r="H129" s="2" t="n">
        <f aca="false">COUNTIF('Anh xa'!$A$2:$A$581,A129)</f>
        <v>2</v>
      </c>
      <c r="I129" s="3" t="str">
        <f aca="false">IF(H129&gt;0,"Đã ánh xạ","THIẾU")</f>
        <v>Đã ánh xạ</v>
      </c>
      <c r="J129" s="7" t="s">
        <v>979</v>
      </c>
      <c r="K129" s="7"/>
    </row>
    <row r="130" customFormat="false" ht="15" hidden="false" customHeight="false" outlineLevel="0" collapsed="false">
      <c r="A130" s="8" t="s">
        <v>1007</v>
      </c>
      <c r="B130" s="8" t="n">
        <v>1</v>
      </c>
      <c r="C130" s="8" t="s">
        <v>1008</v>
      </c>
      <c r="D130" s="2"/>
      <c r="E130" s="2"/>
      <c r="F130" s="2" t="s">
        <v>1000</v>
      </c>
      <c r="G130" s="2"/>
      <c r="H130" s="2" t="n">
        <f aca="false">COUNTIF('Anh xa'!$A$2:$A$581,"A6.*")</f>
        <v>17</v>
      </c>
      <c r="I130" s="3" t="str">
        <f aca="false">IF(H130&gt;0,"Đã ánh xạ","THIẾU")</f>
        <v>Đã ánh xạ</v>
      </c>
      <c r="J130" s="7" t="s">
        <v>979</v>
      </c>
      <c r="K130" s="7"/>
    </row>
    <row r="131" customFormat="false" ht="15" hidden="false" customHeight="false" outlineLevel="0" collapsed="false">
      <c r="A131" s="2" t="s">
        <v>583</v>
      </c>
      <c r="B131" s="2" t="n">
        <v>2</v>
      </c>
      <c r="C131" s="2" t="s">
        <v>1008</v>
      </c>
      <c r="D131" s="2" t="s">
        <v>584</v>
      </c>
      <c r="E131" s="2"/>
      <c r="F131" s="2" t="s">
        <v>990</v>
      </c>
      <c r="G131" s="2"/>
      <c r="H131" s="2" t="n">
        <f aca="false">COUNTIF('Anh xa'!$A$2:$A$581,"A6.1")+COUNTIF('Anh xa'!$A$2:$A$581,"A6.1.*")</f>
        <v>5</v>
      </c>
      <c r="I131" s="3" t="str">
        <f aca="false">IF(H131&gt;0,"Đã ánh xạ","THIẾU")</f>
        <v>Đã ánh xạ</v>
      </c>
      <c r="J131" s="7" t="s">
        <v>979</v>
      </c>
      <c r="K131" s="7"/>
    </row>
    <row r="132" customFormat="false" ht="23.85" hidden="false" customHeight="false" outlineLevel="0" collapsed="false">
      <c r="A132" s="2" t="s">
        <v>585</v>
      </c>
      <c r="B132" s="2" t="n">
        <v>3</v>
      </c>
      <c r="C132" s="2" t="s">
        <v>1008</v>
      </c>
      <c r="D132" s="2" t="s">
        <v>584</v>
      </c>
      <c r="E132" s="2" t="s">
        <v>586</v>
      </c>
      <c r="F132" s="2" t="s">
        <v>991</v>
      </c>
      <c r="G132" s="2"/>
      <c r="H132" s="2" t="n">
        <f aca="false">COUNTIF('Anh xa'!$A$2:$A$581,A132)</f>
        <v>3</v>
      </c>
      <c r="I132" s="3" t="str">
        <f aca="false">IF(H132&gt;0,"Đã ánh xạ","THIẾU")</f>
        <v>Đã ánh xạ</v>
      </c>
      <c r="J132" s="7" t="s">
        <v>979</v>
      </c>
      <c r="K132" s="7"/>
    </row>
    <row r="133" customFormat="false" ht="15" hidden="false" customHeight="false" outlineLevel="0" collapsed="false">
      <c r="A133" s="2" t="s">
        <v>587</v>
      </c>
      <c r="B133" s="2" t="n">
        <v>2</v>
      </c>
      <c r="C133" s="2" t="s">
        <v>1008</v>
      </c>
      <c r="D133" s="2" t="s">
        <v>588</v>
      </c>
      <c r="E133" s="2"/>
      <c r="F133" s="2" t="s">
        <v>990</v>
      </c>
      <c r="G133" s="2"/>
      <c r="H133" s="2" t="n">
        <f aca="false">COUNTIF('Anh xa'!$A$2:$A$581,"A6.2")+COUNTIF('Anh xa'!$A$2:$A$581,"A6.2.*")</f>
        <v>8</v>
      </c>
      <c r="I133" s="3" t="str">
        <f aca="false">IF(H133&gt;0,"Đã ánh xạ","THIẾU")</f>
        <v>Đã ánh xạ</v>
      </c>
      <c r="J133" s="7" t="s">
        <v>979</v>
      </c>
      <c r="K133" s="7"/>
    </row>
    <row r="134" customFormat="false" ht="15" hidden="false" customHeight="false" outlineLevel="0" collapsed="false">
      <c r="A134" s="2" t="s">
        <v>593</v>
      </c>
      <c r="B134" s="2" t="n">
        <v>3</v>
      </c>
      <c r="C134" s="2" t="s">
        <v>1008</v>
      </c>
      <c r="D134" s="2" t="s">
        <v>588</v>
      </c>
      <c r="E134" s="2" t="s">
        <v>594</v>
      </c>
      <c r="F134" s="2" t="s">
        <v>996</v>
      </c>
      <c r="G134" s="2"/>
      <c r="H134" s="2" t="n">
        <f aca="false">COUNTIF('Anh xa'!$A$2:$A$581,A134)</f>
        <v>3</v>
      </c>
      <c r="I134" s="3" t="str">
        <f aca="false">IF(H134&gt;0,"Đã ánh xạ","THIẾU")</f>
        <v>Đã ánh xạ</v>
      </c>
      <c r="J134" s="7" t="s">
        <v>979</v>
      </c>
      <c r="K134" s="7"/>
    </row>
    <row r="135" customFormat="false" ht="15" hidden="false" customHeight="false" outlineLevel="0" collapsed="false">
      <c r="A135" s="2" t="s">
        <v>595</v>
      </c>
      <c r="B135" s="2" t="n">
        <v>3</v>
      </c>
      <c r="C135" s="2" t="s">
        <v>1008</v>
      </c>
      <c r="D135" s="2" t="s">
        <v>588</v>
      </c>
      <c r="E135" s="2" t="s">
        <v>596</v>
      </c>
      <c r="F135" s="2" t="s">
        <v>996</v>
      </c>
      <c r="G135" s="2"/>
      <c r="H135" s="2" t="n">
        <f aca="false">COUNTIF('Anh xa'!$A$2:$A$581,A135)</f>
        <v>2</v>
      </c>
      <c r="I135" s="3" t="str">
        <f aca="false">IF(H135&gt;0,"Đã ánh xạ","THIẾU")</f>
        <v>Đã ánh xạ</v>
      </c>
      <c r="J135" s="7" t="s">
        <v>979</v>
      </c>
      <c r="K135" s="7"/>
    </row>
    <row r="136" customFormat="false" ht="15" hidden="false" customHeight="false" outlineLevel="0" collapsed="false">
      <c r="A136" s="2" t="s">
        <v>599</v>
      </c>
      <c r="B136" s="2" t="n">
        <v>3</v>
      </c>
      <c r="C136" s="2" t="s">
        <v>1008</v>
      </c>
      <c r="D136" s="2" t="s">
        <v>588</v>
      </c>
      <c r="E136" s="2" t="s">
        <v>600</v>
      </c>
      <c r="F136" s="2" t="s">
        <v>991</v>
      </c>
      <c r="G136" s="2"/>
      <c r="H136" s="2" t="n">
        <f aca="false">COUNTIF('Anh xa'!$A$2:$A$581,A136)</f>
        <v>1</v>
      </c>
      <c r="I136" s="3" t="str">
        <f aca="false">IF(H136&gt;0,"Đã ánh xạ","THIẾU")</f>
        <v>Đã ánh xạ</v>
      </c>
      <c r="J136" s="7" t="s">
        <v>979</v>
      </c>
      <c r="K136" s="7"/>
    </row>
    <row r="137" customFormat="false" ht="15" hidden="false" customHeight="false" outlineLevel="0" collapsed="false">
      <c r="A137" s="2" t="s">
        <v>601</v>
      </c>
      <c r="B137" s="2" t="n">
        <v>2</v>
      </c>
      <c r="C137" s="2" t="s">
        <v>1008</v>
      </c>
      <c r="D137" s="2" t="s">
        <v>602</v>
      </c>
      <c r="E137" s="2"/>
      <c r="F137" s="2" t="s">
        <v>990</v>
      </c>
      <c r="G137" s="2"/>
      <c r="H137" s="2" t="n">
        <f aca="false">COUNTIF('Anh xa'!$A$2:$A$581,"A6.3")+COUNTIF('Anh xa'!$A$2:$A$581,"A6.3.*")</f>
        <v>4</v>
      </c>
      <c r="I137" s="3" t="str">
        <f aca="false">IF(H137&gt;0,"Đã ánh xạ","THIẾU")</f>
        <v>Đã ánh xạ</v>
      </c>
      <c r="J137" s="7" t="s">
        <v>979</v>
      </c>
      <c r="K137" s="7"/>
    </row>
    <row r="138" customFormat="false" ht="15" hidden="false" customHeight="false" outlineLevel="0" collapsed="false">
      <c r="A138" s="2" t="s">
        <v>605</v>
      </c>
      <c r="B138" s="2" t="n">
        <v>3</v>
      </c>
      <c r="C138" s="2" t="s">
        <v>1008</v>
      </c>
      <c r="D138" s="2" t="s">
        <v>602</v>
      </c>
      <c r="E138" s="2" t="s">
        <v>606</v>
      </c>
      <c r="F138" s="2" t="s">
        <v>991</v>
      </c>
      <c r="G138" s="2"/>
      <c r="H138" s="2" t="n">
        <f aca="false">COUNTIF('Anh xa'!$A$2:$A$581,A138)</f>
        <v>1</v>
      </c>
      <c r="I138" s="3" t="str">
        <f aca="false">IF(H138&gt;0,"Đã ánh xạ","THIẾU")</f>
        <v>Đã ánh xạ</v>
      </c>
      <c r="J138" s="7" t="s">
        <v>979</v>
      </c>
      <c r="K138" s="7"/>
    </row>
    <row r="139" customFormat="false" ht="15" hidden="false" customHeight="false" outlineLevel="0" collapsed="false">
      <c r="A139" s="2" t="s">
        <v>607</v>
      </c>
      <c r="B139" s="2" t="n">
        <v>3</v>
      </c>
      <c r="C139" s="2" t="s">
        <v>1008</v>
      </c>
      <c r="D139" s="2" t="s">
        <v>602</v>
      </c>
      <c r="E139" s="2" t="s">
        <v>608</v>
      </c>
      <c r="F139" s="2" t="s">
        <v>991</v>
      </c>
      <c r="G139" s="2"/>
      <c r="H139" s="2" t="n">
        <f aca="false">COUNTIF('Anh xa'!$A$2:$A$581,A139)</f>
        <v>1</v>
      </c>
      <c r="I139" s="3" t="str">
        <f aca="false">IF(H139&gt;0,"Đã ánh xạ","THIẾU")</f>
        <v>Đã ánh xạ</v>
      </c>
      <c r="J139" s="7" t="s">
        <v>979</v>
      </c>
      <c r="K139" s="7"/>
    </row>
    <row r="140" customFormat="false" ht="15" hidden="false" customHeight="false" outlineLevel="0" collapsed="false">
      <c r="A140" s="8" t="s">
        <v>1009</v>
      </c>
      <c r="B140" s="8" t="n">
        <v>1</v>
      </c>
      <c r="C140" s="8" t="s">
        <v>1010</v>
      </c>
      <c r="D140" s="2"/>
      <c r="E140" s="2"/>
      <c r="F140" s="2" t="s">
        <v>1000</v>
      </c>
      <c r="G140" s="2"/>
      <c r="H140" s="2" t="n">
        <f aca="false">COUNTIF('Anh xa'!$A$2:$A$581,"A7.*")</f>
        <v>40</v>
      </c>
      <c r="I140" s="3" t="str">
        <f aca="false">IF(H140&gt;0,"Đã ánh xạ","THIẾU")</f>
        <v>Đã ánh xạ</v>
      </c>
      <c r="J140" s="7" t="s">
        <v>979</v>
      </c>
      <c r="K140" s="7"/>
    </row>
    <row r="141" customFormat="false" ht="15" hidden="false" customHeight="false" outlineLevel="0" collapsed="false">
      <c r="A141" s="2" t="s">
        <v>609</v>
      </c>
      <c r="B141" s="2" t="n">
        <v>2</v>
      </c>
      <c r="C141" s="2" t="s">
        <v>1010</v>
      </c>
      <c r="D141" s="2" t="s">
        <v>610</v>
      </c>
      <c r="E141" s="2"/>
      <c r="F141" s="2" t="s">
        <v>990</v>
      </c>
      <c r="G141" s="2" t="s">
        <v>611</v>
      </c>
      <c r="H141" s="2" t="n">
        <f aca="false">COUNTIF('Anh xa'!$A$2:$A$581,"A7.1")+COUNTIF('Anh xa'!$A$2:$A$581,"A7.1.*")</f>
        <v>15</v>
      </c>
      <c r="I141" s="3" t="str">
        <f aca="false">IF(H141&gt;0,"Đã ánh xạ","THIẾU")</f>
        <v>Đã ánh xạ</v>
      </c>
      <c r="J141" s="7" t="s">
        <v>979</v>
      </c>
      <c r="K141" s="7"/>
    </row>
    <row r="142" customFormat="false" ht="15" hidden="false" customHeight="false" outlineLevel="0" collapsed="false">
      <c r="A142" s="2" t="s">
        <v>615</v>
      </c>
      <c r="B142" s="2" t="n">
        <v>3</v>
      </c>
      <c r="C142" s="2" t="s">
        <v>1010</v>
      </c>
      <c r="D142" s="2" t="s">
        <v>610</v>
      </c>
      <c r="E142" s="2" t="s">
        <v>616</v>
      </c>
      <c r="F142" s="2" t="s">
        <v>991</v>
      </c>
      <c r="G142" s="2" t="s">
        <v>611</v>
      </c>
      <c r="H142" s="2" t="n">
        <f aca="false">COUNTIF('Anh xa'!$A$2:$A$581,A142)</f>
        <v>3</v>
      </c>
      <c r="I142" s="3" t="str">
        <f aca="false">IF(H142&gt;0,"Đã ánh xạ","THIẾU")</f>
        <v>Đã ánh xạ</v>
      </c>
      <c r="J142" s="7" t="s">
        <v>979</v>
      </c>
      <c r="K142" s="7"/>
    </row>
    <row r="143" customFormat="false" ht="15" hidden="false" customHeight="false" outlineLevel="0" collapsed="false">
      <c r="A143" s="2" t="s">
        <v>617</v>
      </c>
      <c r="B143" s="2" t="n">
        <v>3</v>
      </c>
      <c r="C143" s="2" t="s">
        <v>1010</v>
      </c>
      <c r="D143" s="2" t="s">
        <v>610</v>
      </c>
      <c r="E143" s="2" t="s">
        <v>618</v>
      </c>
      <c r="F143" s="2" t="s">
        <v>997</v>
      </c>
      <c r="G143" s="2" t="s">
        <v>611</v>
      </c>
      <c r="H143" s="2" t="n">
        <f aca="false">COUNTIF('Anh xa'!$A$2:$A$581,A143)</f>
        <v>3</v>
      </c>
      <c r="I143" s="3" t="str">
        <f aca="false">IF(H143&gt;0,"Đã ánh xạ","THIẾU")</f>
        <v>Đã ánh xạ</v>
      </c>
      <c r="J143" s="7" t="s">
        <v>979</v>
      </c>
      <c r="K143" s="7"/>
    </row>
    <row r="144" customFormat="false" ht="15" hidden="false" customHeight="false" outlineLevel="0" collapsed="false">
      <c r="A144" s="2" t="s">
        <v>619</v>
      </c>
      <c r="B144" s="2" t="n">
        <v>3</v>
      </c>
      <c r="C144" s="2" t="s">
        <v>1010</v>
      </c>
      <c r="D144" s="2" t="s">
        <v>610</v>
      </c>
      <c r="E144" s="2" t="s">
        <v>620</v>
      </c>
      <c r="F144" s="2" t="s">
        <v>991</v>
      </c>
      <c r="G144" s="2" t="s">
        <v>611</v>
      </c>
      <c r="H144" s="2" t="n">
        <f aca="false">COUNTIF('Anh xa'!$A$2:$A$581,A144)</f>
        <v>4</v>
      </c>
      <c r="I144" s="3" t="str">
        <f aca="false">IF(H144&gt;0,"Đã ánh xạ","THIẾU")</f>
        <v>Đã ánh xạ</v>
      </c>
      <c r="J144" s="7" t="s">
        <v>979</v>
      </c>
      <c r="K144" s="7"/>
    </row>
    <row r="145" customFormat="false" ht="15" hidden="false" customHeight="false" outlineLevel="0" collapsed="false">
      <c r="A145" s="2" t="s">
        <v>627</v>
      </c>
      <c r="B145" s="2" t="n">
        <v>3</v>
      </c>
      <c r="C145" s="2" t="s">
        <v>1010</v>
      </c>
      <c r="D145" s="2" t="s">
        <v>610</v>
      </c>
      <c r="E145" s="2" t="s">
        <v>628</v>
      </c>
      <c r="F145" s="2" t="s">
        <v>997</v>
      </c>
      <c r="G145" s="2" t="s">
        <v>611</v>
      </c>
      <c r="H145" s="2" t="n">
        <f aca="false">COUNTIF('Anh xa'!$A$2:$A$581,A145)</f>
        <v>2</v>
      </c>
      <c r="I145" s="3" t="str">
        <f aca="false">IF(H145&gt;0,"Đã ánh xạ","THIẾU")</f>
        <v>Đã ánh xạ</v>
      </c>
      <c r="J145" s="7" t="s">
        <v>979</v>
      </c>
      <c r="K145" s="7"/>
    </row>
    <row r="146" customFormat="false" ht="15" hidden="false" customHeight="false" outlineLevel="0" collapsed="false">
      <c r="A146" s="2" t="s">
        <v>631</v>
      </c>
      <c r="B146" s="2" t="n">
        <v>2</v>
      </c>
      <c r="C146" s="2" t="s">
        <v>1010</v>
      </c>
      <c r="D146" s="2" t="s">
        <v>632</v>
      </c>
      <c r="E146" s="2"/>
      <c r="F146" s="2" t="s">
        <v>990</v>
      </c>
      <c r="G146" s="2" t="s">
        <v>633</v>
      </c>
      <c r="H146" s="2" t="n">
        <f aca="false">COUNTIF('Anh xa'!$A$2:$A$581,"A7.2")+COUNTIF('Anh xa'!$A$2:$A$581,"A7.2.*")</f>
        <v>8</v>
      </c>
      <c r="I146" s="3" t="str">
        <f aca="false">IF(H146&gt;0,"Đã ánh xạ","THIẾU")</f>
        <v>Đã ánh xạ</v>
      </c>
      <c r="J146" s="7" t="s">
        <v>979</v>
      </c>
      <c r="K146" s="7"/>
    </row>
    <row r="147" customFormat="false" ht="23.85" hidden="false" customHeight="false" outlineLevel="0" collapsed="false">
      <c r="A147" s="2" t="s">
        <v>635</v>
      </c>
      <c r="B147" s="2" t="n">
        <v>3</v>
      </c>
      <c r="C147" s="2" t="s">
        <v>1010</v>
      </c>
      <c r="D147" s="2" t="s">
        <v>632</v>
      </c>
      <c r="E147" s="2" t="s">
        <v>636</v>
      </c>
      <c r="F147" s="2" t="s">
        <v>991</v>
      </c>
      <c r="G147" s="2" t="s">
        <v>633</v>
      </c>
      <c r="H147" s="2" t="n">
        <f aca="false">COUNTIF('Anh xa'!$A$2:$A$581,A147)</f>
        <v>3</v>
      </c>
      <c r="I147" s="3" t="str">
        <f aca="false">IF(H147&gt;0,"Đã ánh xạ","THIẾU")</f>
        <v>Đã ánh xạ</v>
      </c>
      <c r="J147" s="7" t="s">
        <v>979</v>
      </c>
      <c r="K147" s="7"/>
    </row>
    <row r="148" customFormat="false" ht="15" hidden="false" customHeight="false" outlineLevel="0" collapsed="false">
      <c r="A148" s="2" t="s">
        <v>637</v>
      </c>
      <c r="B148" s="2" t="n">
        <v>3</v>
      </c>
      <c r="C148" s="2" t="s">
        <v>1010</v>
      </c>
      <c r="D148" s="2" t="s">
        <v>632</v>
      </c>
      <c r="E148" s="2" t="s">
        <v>638</v>
      </c>
      <c r="F148" s="2" t="s">
        <v>996</v>
      </c>
      <c r="G148" s="2" t="s">
        <v>633</v>
      </c>
      <c r="H148" s="2" t="n">
        <f aca="false">COUNTIF('Anh xa'!$A$2:$A$581,A148)</f>
        <v>2</v>
      </c>
      <c r="I148" s="3" t="str">
        <f aca="false">IF(H148&gt;0,"Đã ánh xạ","THIẾU")</f>
        <v>Đã ánh xạ</v>
      </c>
      <c r="J148" s="7" t="s">
        <v>979</v>
      </c>
      <c r="K148" s="7"/>
    </row>
    <row r="149" customFormat="false" ht="15" hidden="false" customHeight="false" outlineLevel="0" collapsed="false">
      <c r="A149" s="2" t="s">
        <v>641</v>
      </c>
      <c r="B149" s="2" t="n">
        <v>3</v>
      </c>
      <c r="C149" s="2" t="s">
        <v>1010</v>
      </c>
      <c r="D149" s="2" t="s">
        <v>632</v>
      </c>
      <c r="E149" s="2" t="s">
        <v>642</v>
      </c>
      <c r="F149" s="2" t="s">
        <v>996</v>
      </c>
      <c r="G149" s="2" t="s">
        <v>633</v>
      </c>
      <c r="H149" s="2" t="n">
        <f aca="false">COUNTIF('Anh xa'!$A$2:$A$581,A149)</f>
        <v>2</v>
      </c>
      <c r="I149" s="3" t="str">
        <f aca="false">IF(H149&gt;0,"Đã ánh xạ","THIẾU")</f>
        <v>Đã ánh xạ</v>
      </c>
      <c r="J149" s="7" t="s">
        <v>979</v>
      </c>
      <c r="K149" s="7"/>
    </row>
    <row r="150" customFormat="false" ht="15" hidden="false" customHeight="false" outlineLevel="0" collapsed="false">
      <c r="A150" s="2" t="s">
        <v>643</v>
      </c>
      <c r="B150" s="2" t="n">
        <v>2</v>
      </c>
      <c r="C150" s="2" t="s">
        <v>1010</v>
      </c>
      <c r="D150" s="2" t="s">
        <v>644</v>
      </c>
      <c r="E150" s="2"/>
      <c r="F150" s="2" t="s">
        <v>990</v>
      </c>
      <c r="G150" s="2" t="s">
        <v>645</v>
      </c>
      <c r="H150" s="2" t="n">
        <f aca="false">COUNTIF('Anh xa'!$A$2:$A$581,"A7.3")+COUNTIF('Anh xa'!$A$2:$A$581,"A7.3.*")</f>
        <v>7</v>
      </c>
      <c r="I150" s="3" t="str">
        <f aca="false">IF(H150&gt;0,"Đã ánh xạ","THIẾU")</f>
        <v>Đã ánh xạ</v>
      </c>
      <c r="J150" s="7" t="s">
        <v>979</v>
      </c>
      <c r="K150" s="7"/>
    </row>
    <row r="151" customFormat="false" ht="15" hidden="false" customHeight="false" outlineLevel="0" collapsed="false">
      <c r="A151" s="2" t="s">
        <v>648</v>
      </c>
      <c r="B151" s="2" t="n">
        <v>3</v>
      </c>
      <c r="C151" s="2" t="s">
        <v>1010</v>
      </c>
      <c r="D151" s="2" t="s">
        <v>644</v>
      </c>
      <c r="E151" s="2" t="s">
        <v>649</v>
      </c>
      <c r="F151" s="2" t="s">
        <v>991</v>
      </c>
      <c r="G151" s="2" t="s">
        <v>645</v>
      </c>
      <c r="H151" s="2" t="n">
        <f aca="false">COUNTIF('Anh xa'!$A$2:$A$581,A151)</f>
        <v>3</v>
      </c>
      <c r="I151" s="3" t="str">
        <f aca="false">IF(H151&gt;0,"Đã ánh xạ","THIẾU")</f>
        <v>Đã ánh xạ</v>
      </c>
      <c r="J151" s="7" t="s">
        <v>979</v>
      </c>
      <c r="K151" s="7"/>
    </row>
    <row r="152" customFormat="false" ht="15" hidden="false" customHeight="false" outlineLevel="0" collapsed="false">
      <c r="A152" s="2" t="s">
        <v>650</v>
      </c>
      <c r="B152" s="2" t="n">
        <v>3</v>
      </c>
      <c r="C152" s="2" t="s">
        <v>1010</v>
      </c>
      <c r="D152" s="2" t="s">
        <v>644</v>
      </c>
      <c r="E152" s="2" t="s">
        <v>651</v>
      </c>
      <c r="F152" s="2" t="s">
        <v>991</v>
      </c>
      <c r="G152" s="2" t="s">
        <v>645</v>
      </c>
      <c r="H152" s="2" t="n">
        <f aca="false">COUNTIF('Anh xa'!$A$2:$A$581,A152)</f>
        <v>2</v>
      </c>
      <c r="I152" s="3" t="str">
        <f aca="false">IF(H152&gt;0,"Đã ánh xạ","THIẾU")</f>
        <v>Đã ánh xạ</v>
      </c>
      <c r="J152" s="7" t="s">
        <v>979</v>
      </c>
      <c r="K152" s="7"/>
    </row>
    <row r="153" customFormat="false" ht="15" hidden="false" customHeight="false" outlineLevel="0" collapsed="false">
      <c r="A153" s="2" t="s">
        <v>652</v>
      </c>
      <c r="B153" s="2" t="n">
        <v>2</v>
      </c>
      <c r="C153" s="2" t="s">
        <v>1010</v>
      </c>
      <c r="D153" s="2" t="s">
        <v>653</v>
      </c>
      <c r="E153" s="2"/>
      <c r="F153" s="2" t="s">
        <v>990</v>
      </c>
      <c r="G153" s="2"/>
      <c r="H153" s="2" t="n">
        <f aca="false">COUNTIF('Anh xa'!$A$2:$A$581,"A7.4")+COUNTIF('Anh xa'!$A$2:$A$581,"A7.4.*")</f>
        <v>6</v>
      </c>
      <c r="I153" s="3" t="str">
        <f aca="false">IF(H153&gt;0,"Đã ánh xạ","THIẾU")</f>
        <v>Đã ánh xạ</v>
      </c>
      <c r="J153" s="7" t="s">
        <v>979</v>
      </c>
      <c r="K153" s="7"/>
    </row>
    <row r="154" customFormat="false" ht="15" hidden="false" customHeight="false" outlineLevel="0" collapsed="false">
      <c r="A154" s="2" t="s">
        <v>658</v>
      </c>
      <c r="B154" s="2" t="n">
        <v>3</v>
      </c>
      <c r="C154" s="2" t="s">
        <v>1010</v>
      </c>
      <c r="D154" s="2" t="s">
        <v>653</v>
      </c>
      <c r="E154" s="2" t="s">
        <v>659</v>
      </c>
      <c r="F154" s="2" t="s">
        <v>991</v>
      </c>
      <c r="G154" s="2"/>
      <c r="H154" s="2" t="n">
        <f aca="false">COUNTIF('Anh xa'!$A$2:$A$581,A154)</f>
        <v>2</v>
      </c>
      <c r="I154" s="3" t="str">
        <f aca="false">IF(H154&gt;0,"Đã ánh xạ","THIẾU")</f>
        <v>Đã ánh xạ</v>
      </c>
      <c r="J154" s="7" t="s">
        <v>979</v>
      </c>
      <c r="K154" s="7"/>
    </row>
    <row r="155" customFormat="false" ht="15" hidden="false" customHeight="false" outlineLevel="0" collapsed="false">
      <c r="A155" s="2" t="s">
        <v>662</v>
      </c>
      <c r="B155" s="2" t="n">
        <v>3</v>
      </c>
      <c r="C155" s="2" t="s">
        <v>1010</v>
      </c>
      <c r="D155" s="2" t="s">
        <v>653</v>
      </c>
      <c r="E155" s="2" t="s">
        <v>663</v>
      </c>
      <c r="F155" s="2" t="s">
        <v>991</v>
      </c>
      <c r="G155" s="2"/>
      <c r="H155" s="2" t="n">
        <f aca="false">COUNTIF('Anh xa'!$A$2:$A$581,A155)</f>
        <v>2</v>
      </c>
      <c r="I155" s="3" t="str">
        <f aca="false">IF(H155&gt;0,"Đã ánh xạ","THIẾU")</f>
        <v>Đã ánh xạ</v>
      </c>
      <c r="J155" s="7" t="s">
        <v>979</v>
      </c>
      <c r="K155" s="7"/>
    </row>
    <row r="156" customFormat="false" ht="15" hidden="false" customHeight="false" outlineLevel="0" collapsed="false">
      <c r="A156" s="2" t="s">
        <v>666</v>
      </c>
      <c r="B156" s="2" t="n">
        <v>2</v>
      </c>
      <c r="C156" s="2" t="s">
        <v>1010</v>
      </c>
      <c r="D156" s="2" t="s">
        <v>667</v>
      </c>
      <c r="E156" s="2"/>
      <c r="F156" s="2" t="s">
        <v>990</v>
      </c>
      <c r="G156" s="2"/>
      <c r="H156" s="2" t="n">
        <f aca="false">COUNTIF('Anh xa'!$A$2:$A$581,"A7.5")+COUNTIF('Anh xa'!$A$2:$A$581,"A7.5.*")</f>
        <v>4</v>
      </c>
      <c r="I156" s="3" t="str">
        <f aca="false">IF(H156&gt;0,"Đã ánh xạ","THIẾU")</f>
        <v>Đã ánh xạ</v>
      </c>
      <c r="J156" s="7" t="s">
        <v>979</v>
      </c>
      <c r="K156" s="7"/>
    </row>
    <row r="157" customFormat="false" ht="15" hidden="false" customHeight="false" outlineLevel="0" collapsed="false">
      <c r="A157" s="2" t="s">
        <v>672</v>
      </c>
      <c r="B157" s="2" t="n">
        <v>3</v>
      </c>
      <c r="C157" s="2" t="s">
        <v>1010</v>
      </c>
      <c r="D157" s="2" t="s">
        <v>667</v>
      </c>
      <c r="E157" s="2" t="s">
        <v>673</v>
      </c>
      <c r="F157" s="2" t="s">
        <v>991</v>
      </c>
      <c r="G157" s="2"/>
      <c r="H157" s="2" t="n">
        <f aca="false">COUNTIF('Anh xa'!$A$2:$A$581,A157)</f>
        <v>2</v>
      </c>
      <c r="I157" s="3" t="str">
        <f aca="false">IF(H157&gt;0,"Đã ánh xạ","THIẾU")</f>
        <v>Đã ánh xạ</v>
      </c>
      <c r="J157" s="7" t="s">
        <v>979</v>
      </c>
      <c r="K157" s="7"/>
    </row>
    <row r="158" customFormat="false" ht="15" hidden="false" customHeight="false" outlineLevel="0" collapsed="false">
      <c r="A158" s="8" t="s">
        <v>1011</v>
      </c>
      <c r="B158" s="8" t="n">
        <v>1</v>
      </c>
      <c r="C158" s="8" t="s">
        <v>1012</v>
      </c>
      <c r="D158" s="2"/>
      <c r="E158" s="2"/>
      <c r="F158" s="2" t="s">
        <v>1000</v>
      </c>
      <c r="G158" s="2"/>
      <c r="H158" s="2" t="n">
        <f aca="false">COUNTIF('Anh xa'!$A$2:$A$581,"A8.*")</f>
        <v>29</v>
      </c>
      <c r="I158" s="3" t="str">
        <f aca="false">IF(H158&gt;0,"Đã ánh xạ","THIẾU")</f>
        <v>Đã ánh xạ</v>
      </c>
      <c r="J158" s="7" t="s">
        <v>979</v>
      </c>
      <c r="K158" s="7"/>
    </row>
    <row r="159" customFormat="false" ht="15" hidden="false" customHeight="false" outlineLevel="0" collapsed="false">
      <c r="A159" s="2" t="s">
        <v>674</v>
      </c>
      <c r="B159" s="2" t="n">
        <v>2</v>
      </c>
      <c r="C159" s="2" t="s">
        <v>1012</v>
      </c>
      <c r="D159" s="2" t="s">
        <v>675</v>
      </c>
      <c r="E159" s="2"/>
      <c r="F159" s="2" t="s">
        <v>990</v>
      </c>
      <c r="G159" s="2" t="s">
        <v>239</v>
      </c>
      <c r="H159" s="2" t="n">
        <f aca="false">COUNTIF('Anh xa'!$A$2:$A$581,"A8.1")+COUNTIF('Anh xa'!$A$2:$A$581,"A8.1.*")</f>
        <v>10</v>
      </c>
      <c r="I159" s="3" t="str">
        <f aca="false">IF(H159&gt;0,"Đã ánh xạ","THIẾU")</f>
        <v>Đã ánh xạ</v>
      </c>
      <c r="J159" s="7" t="s">
        <v>979</v>
      </c>
      <c r="K159" s="7"/>
    </row>
    <row r="160" customFormat="false" ht="23.85" hidden="false" customHeight="false" outlineLevel="0" collapsed="false">
      <c r="A160" s="2" t="s">
        <v>676</v>
      </c>
      <c r="B160" s="2" t="n">
        <v>3</v>
      </c>
      <c r="C160" s="2" t="s">
        <v>1012</v>
      </c>
      <c r="D160" s="2" t="s">
        <v>675</v>
      </c>
      <c r="E160" s="2" t="s">
        <v>677</v>
      </c>
      <c r="F160" s="2" t="s">
        <v>991</v>
      </c>
      <c r="G160" s="2" t="s">
        <v>239</v>
      </c>
      <c r="H160" s="2" t="n">
        <f aca="false">COUNTIF('Anh xa'!$A$2:$A$581,A160)</f>
        <v>2</v>
      </c>
      <c r="I160" s="3" t="str">
        <f aca="false">IF(H160&gt;0,"Đã ánh xạ","THIẾU")</f>
        <v>Đã ánh xạ</v>
      </c>
      <c r="J160" s="7" t="s">
        <v>979</v>
      </c>
      <c r="K160" s="7"/>
    </row>
    <row r="161" customFormat="false" ht="15" hidden="false" customHeight="false" outlineLevel="0" collapsed="false">
      <c r="A161" s="2" t="s">
        <v>678</v>
      </c>
      <c r="B161" s="2" t="n">
        <v>3</v>
      </c>
      <c r="C161" s="2" t="s">
        <v>1012</v>
      </c>
      <c r="D161" s="2" t="s">
        <v>675</v>
      </c>
      <c r="E161" s="2" t="s">
        <v>679</v>
      </c>
      <c r="F161" s="2" t="s">
        <v>996</v>
      </c>
      <c r="G161" s="2" t="s">
        <v>239</v>
      </c>
      <c r="H161" s="2" t="n">
        <f aca="false">COUNTIF('Anh xa'!$A$2:$A$581,A161)</f>
        <v>2</v>
      </c>
      <c r="I161" s="3" t="str">
        <f aca="false">IF(H161&gt;0,"Đã ánh xạ","THIẾU")</f>
        <v>Đã ánh xạ</v>
      </c>
      <c r="J161" s="7" t="s">
        <v>979</v>
      </c>
      <c r="K161" s="7"/>
    </row>
    <row r="162" customFormat="false" ht="15" hidden="false" customHeight="false" outlineLevel="0" collapsed="false">
      <c r="A162" s="2" t="s">
        <v>680</v>
      </c>
      <c r="B162" s="2" t="n">
        <v>3</v>
      </c>
      <c r="C162" s="2" t="s">
        <v>1012</v>
      </c>
      <c r="D162" s="2" t="s">
        <v>675</v>
      </c>
      <c r="E162" s="2" t="s">
        <v>681</v>
      </c>
      <c r="F162" s="2" t="s">
        <v>996</v>
      </c>
      <c r="G162" s="2" t="s">
        <v>239</v>
      </c>
      <c r="H162" s="2" t="n">
        <f aca="false">COUNTIF('Anh xa'!$A$2:$A$581,A162)</f>
        <v>3</v>
      </c>
      <c r="I162" s="3" t="str">
        <f aca="false">IF(H162&gt;0,"Đã ánh xạ","THIẾU")</f>
        <v>Đã ánh xạ</v>
      </c>
      <c r="J162" s="7" t="s">
        <v>979</v>
      </c>
      <c r="K162" s="7"/>
    </row>
    <row r="163" customFormat="false" ht="15" hidden="false" customHeight="false" outlineLevel="0" collapsed="false">
      <c r="A163" s="2" t="s">
        <v>684</v>
      </c>
      <c r="B163" s="2" t="n">
        <v>2</v>
      </c>
      <c r="C163" s="2" t="s">
        <v>1012</v>
      </c>
      <c r="D163" s="2" t="s">
        <v>685</v>
      </c>
      <c r="E163" s="2"/>
      <c r="F163" s="2" t="s">
        <v>990</v>
      </c>
      <c r="G163" s="2" t="s">
        <v>686</v>
      </c>
      <c r="H163" s="2" t="n">
        <f aca="false">COUNTIF('Anh xa'!$A$2:$A$581,"A8.2")+COUNTIF('Anh xa'!$A$2:$A$581,"A8.2.*")</f>
        <v>19</v>
      </c>
      <c r="I163" s="3" t="str">
        <f aca="false">IF(H163&gt;0,"Đã ánh xạ","THIẾU")</f>
        <v>Đã ánh xạ</v>
      </c>
      <c r="J163" s="7" t="s">
        <v>979</v>
      </c>
      <c r="K163" s="7"/>
    </row>
    <row r="164" customFormat="false" ht="15" hidden="false" customHeight="false" outlineLevel="0" collapsed="false">
      <c r="A164" s="2" t="s">
        <v>689</v>
      </c>
      <c r="B164" s="2" t="n">
        <v>3</v>
      </c>
      <c r="C164" s="2" t="s">
        <v>1012</v>
      </c>
      <c r="D164" s="2" t="s">
        <v>685</v>
      </c>
      <c r="E164" s="2" t="s">
        <v>690</v>
      </c>
      <c r="F164" s="2" t="s">
        <v>991</v>
      </c>
      <c r="G164" s="2" t="s">
        <v>686</v>
      </c>
      <c r="H164" s="2" t="n">
        <f aca="false">COUNTIF('Anh xa'!$A$2:$A$581,A164)</f>
        <v>3</v>
      </c>
      <c r="I164" s="3" t="str">
        <f aca="false">IF(H164&gt;0,"Đã ánh xạ","THIẾU")</f>
        <v>Đã ánh xạ</v>
      </c>
      <c r="J164" s="7" t="s">
        <v>979</v>
      </c>
      <c r="K164" s="7"/>
    </row>
    <row r="165" customFormat="false" ht="15" hidden="false" customHeight="false" outlineLevel="0" collapsed="false">
      <c r="A165" s="2" t="s">
        <v>691</v>
      </c>
      <c r="B165" s="2" t="n">
        <v>3</v>
      </c>
      <c r="C165" s="2" t="s">
        <v>1012</v>
      </c>
      <c r="D165" s="2" t="s">
        <v>685</v>
      </c>
      <c r="E165" s="2" t="s">
        <v>692</v>
      </c>
      <c r="F165" s="2" t="s">
        <v>991</v>
      </c>
      <c r="G165" s="2" t="s">
        <v>686</v>
      </c>
      <c r="H165" s="2" t="n">
        <f aca="false">COUNTIF('Anh xa'!$A$2:$A$581,A165)</f>
        <v>1</v>
      </c>
      <c r="I165" s="3" t="str">
        <f aca="false">IF(H165&gt;0,"Đã ánh xạ","THIẾU")</f>
        <v>Đã ánh xạ</v>
      </c>
      <c r="J165" s="7" t="s">
        <v>979</v>
      </c>
      <c r="K165" s="7"/>
    </row>
    <row r="166" customFormat="false" ht="15" hidden="false" customHeight="false" outlineLevel="0" collapsed="false">
      <c r="A166" s="2" t="s">
        <v>693</v>
      </c>
      <c r="B166" s="2" t="n">
        <v>3</v>
      </c>
      <c r="C166" s="2" t="s">
        <v>1012</v>
      </c>
      <c r="D166" s="2" t="s">
        <v>685</v>
      </c>
      <c r="E166" s="2" t="s">
        <v>694</v>
      </c>
      <c r="F166" s="2" t="s">
        <v>991</v>
      </c>
      <c r="G166" s="2" t="s">
        <v>686</v>
      </c>
      <c r="H166" s="2" t="n">
        <f aca="false">COUNTIF('Anh xa'!$A$2:$A$581,A166)</f>
        <v>1</v>
      </c>
      <c r="I166" s="3" t="str">
        <f aca="false">IF(H166&gt;0,"Đã ánh xạ","THIẾU")</f>
        <v>Đã ánh xạ</v>
      </c>
      <c r="J166" s="7" t="s">
        <v>979</v>
      </c>
      <c r="K166" s="7"/>
    </row>
    <row r="167" customFormat="false" ht="15" hidden="false" customHeight="false" outlineLevel="0" collapsed="false">
      <c r="A167" s="2" t="s">
        <v>695</v>
      </c>
      <c r="B167" s="2" t="n">
        <v>3</v>
      </c>
      <c r="C167" s="2" t="s">
        <v>1012</v>
      </c>
      <c r="D167" s="2" t="s">
        <v>685</v>
      </c>
      <c r="E167" s="2" t="s">
        <v>696</v>
      </c>
      <c r="F167" s="2" t="s">
        <v>991</v>
      </c>
      <c r="G167" s="2" t="s">
        <v>686</v>
      </c>
      <c r="H167" s="2" t="n">
        <f aca="false">COUNTIF('Anh xa'!$A$2:$A$581,A167)</f>
        <v>3</v>
      </c>
      <c r="I167" s="3" t="str">
        <f aca="false">IF(H167&gt;0,"Đã ánh xạ","THIẾU")</f>
        <v>Đã ánh xạ</v>
      </c>
      <c r="J167" s="7" t="s">
        <v>979</v>
      </c>
      <c r="K167" s="7"/>
    </row>
    <row r="168" customFormat="false" ht="15" hidden="false" customHeight="false" outlineLevel="0" collapsed="false">
      <c r="A168" s="2" t="s">
        <v>697</v>
      </c>
      <c r="B168" s="2" t="n">
        <v>3</v>
      </c>
      <c r="C168" s="2" t="s">
        <v>1012</v>
      </c>
      <c r="D168" s="2" t="s">
        <v>685</v>
      </c>
      <c r="E168" s="2" t="s">
        <v>698</v>
      </c>
      <c r="F168" s="2" t="s">
        <v>991</v>
      </c>
      <c r="G168" s="2" t="s">
        <v>686</v>
      </c>
      <c r="H168" s="2" t="n">
        <f aca="false">COUNTIF('Anh xa'!$A$2:$A$581,A168)</f>
        <v>2</v>
      </c>
      <c r="I168" s="3" t="str">
        <f aca="false">IF(H168&gt;0,"Đã ánh xạ","THIẾU")</f>
        <v>Đã ánh xạ</v>
      </c>
      <c r="J168" s="7" t="s">
        <v>979</v>
      </c>
      <c r="K168" s="7"/>
    </row>
    <row r="169" customFormat="false" ht="15" hidden="false" customHeight="false" outlineLevel="0" collapsed="false">
      <c r="A169" s="2" t="s">
        <v>699</v>
      </c>
      <c r="B169" s="2" t="n">
        <v>3</v>
      </c>
      <c r="C169" s="2" t="s">
        <v>1012</v>
      </c>
      <c r="D169" s="2" t="s">
        <v>685</v>
      </c>
      <c r="E169" s="2" t="s">
        <v>700</v>
      </c>
      <c r="F169" s="2" t="s">
        <v>991</v>
      </c>
      <c r="G169" s="2" t="s">
        <v>686</v>
      </c>
      <c r="H169" s="2" t="n">
        <f aca="false">COUNTIF('Anh xa'!$A$2:$A$581,A169)</f>
        <v>2</v>
      </c>
      <c r="I169" s="3" t="str">
        <f aca="false">IF(H169&gt;0,"Đã ánh xạ","THIẾU")</f>
        <v>Đã ánh xạ</v>
      </c>
      <c r="J169" s="7" t="s">
        <v>979</v>
      </c>
      <c r="K169" s="7"/>
    </row>
    <row r="170" customFormat="false" ht="15" hidden="false" customHeight="false" outlineLevel="0" collapsed="false">
      <c r="A170" s="2" t="s">
        <v>701</v>
      </c>
      <c r="B170" s="2" t="n">
        <v>3</v>
      </c>
      <c r="C170" s="2" t="s">
        <v>1012</v>
      </c>
      <c r="D170" s="2" t="s">
        <v>685</v>
      </c>
      <c r="E170" s="2" t="s">
        <v>702</v>
      </c>
      <c r="F170" s="2" t="s">
        <v>996</v>
      </c>
      <c r="G170" s="2" t="s">
        <v>686</v>
      </c>
      <c r="H170" s="2" t="n">
        <f aca="false">COUNTIF('Anh xa'!$A$2:$A$581,A170)</f>
        <v>2</v>
      </c>
      <c r="I170" s="3" t="str">
        <f aca="false">IF(H170&gt;0,"Đã ánh xạ","THIẾU")</f>
        <v>Đã ánh xạ</v>
      </c>
      <c r="J170" s="7" t="s">
        <v>979</v>
      </c>
      <c r="K170" s="7"/>
    </row>
    <row r="171" customFormat="false" ht="15" hidden="false" customHeight="false" outlineLevel="0" collapsed="false">
      <c r="A171" s="2" t="s">
        <v>703</v>
      </c>
      <c r="B171" s="2" t="n">
        <v>3</v>
      </c>
      <c r="C171" s="2" t="s">
        <v>1012</v>
      </c>
      <c r="D171" s="2" t="s">
        <v>685</v>
      </c>
      <c r="E171" s="2" t="s">
        <v>704</v>
      </c>
      <c r="F171" s="2" t="s">
        <v>996</v>
      </c>
      <c r="G171" s="2" t="s">
        <v>686</v>
      </c>
      <c r="H171" s="2" t="n">
        <f aca="false">COUNTIF('Anh xa'!$A$2:$A$581,A171)</f>
        <v>2</v>
      </c>
      <c r="I171" s="3" t="str">
        <f aca="false">IF(H171&gt;0,"Đã ánh xạ","THIẾU")</f>
        <v>Đã ánh xạ</v>
      </c>
      <c r="J171" s="7" t="s">
        <v>979</v>
      </c>
      <c r="K171" s="7"/>
    </row>
    <row r="172" customFormat="false" ht="15" hidden="false" customHeight="false" outlineLevel="0" collapsed="false">
      <c r="A172" s="8" t="s">
        <v>1013</v>
      </c>
      <c r="B172" s="8" t="n">
        <v>1</v>
      </c>
      <c r="C172" s="8" t="s">
        <v>1014</v>
      </c>
      <c r="D172" s="2"/>
      <c r="E172" s="2"/>
      <c r="F172" s="2" t="s">
        <v>1000</v>
      </c>
      <c r="G172" s="2"/>
      <c r="H172" s="2" t="n">
        <f aca="false">COUNTIF('Anh xa'!$A$2:$A$581,"A9.*")</f>
        <v>56</v>
      </c>
      <c r="I172" s="3" t="str">
        <f aca="false">IF(H172&gt;0,"Đã ánh xạ","THIẾU")</f>
        <v>Đã ánh xạ</v>
      </c>
      <c r="J172" s="7" t="s">
        <v>979</v>
      </c>
      <c r="K172" s="7"/>
    </row>
    <row r="173" customFormat="false" ht="15" hidden="false" customHeight="false" outlineLevel="0" collapsed="false">
      <c r="A173" s="2" t="s">
        <v>709</v>
      </c>
      <c r="B173" s="2" t="n">
        <v>2</v>
      </c>
      <c r="C173" s="2" t="s">
        <v>1014</v>
      </c>
      <c r="D173" s="2" t="s">
        <v>710</v>
      </c>
      <c r="E173" s="2"/>
      <c r="F173" s="2" t="s">
        <v>990</v>
      </c>
      <c r="G173" s="2" t="s">
        <v>711</v>
      </c>
      <c r="H173" s="2" t="n">
        <f aca="false">COUNTIF('Anh xa'!$A$2:$A$581,"A9.1")+COUNTIF('Anh xa'!$A$2:$A$581,"A9.1.*")</f>
        <v>9</v>
      </c>
      <c r="I173" s="3" t="str">
        <f aca="false">IF(H173&gt;0,"Đã ánh xạ","THIẾU")</f>
        <v>Đã ánh xạ</v>
      </c>
      <c r="J173" s="7" t="s">
        <v>979</v>
      </c>
      <c r="K173" s="7"/>
    </row>
    <row r="174" customFormat="false" ht="15" hidden="false" customHeight="false" outlineLevel="0" collapsed="false">
      <c r="A174" s="2" t="s">
        <v>717</v>
      </c>
      <c r="B174" s="2" t="n">
        <v>3</v>
      </c>
      <c r="C174" s="2" t="s">
        <v>1014</v>
      </c>
      <c r="D174" s="2" t="s">
        <v>710</v>
      </c>
      <c r="E174" s="2" t="s">
        <v>718</v>
      </c>
      <c r="F174" s="2" t="s">
        <v>991</v>
      </c>
      <c r="G174" s="2" t="s">
        <v>711</v>
      </c>
      <c r="H174" s="2" t="n">
        <f aca="false">COUNTIF('Anh xa'!$A$2:$A$581,A174)</f>
        <v>3</v>
      </c>
      <c r="I174" s="3" t="str">
        <f aca="false">IF(H174&gt;0,"Đã ánh xạ","THIẾU")</f>
        <v>Đã ánh xạ</v>
      </c>
      <c r="J174" s="7" t="s">
        <v>979</v>
      </c>
      <c r="K174" s="7"/>
    </row>
    <row r="175" customFormat="false" ht="15" hidden="false" customHeight="false" outlineLevel="0" collapsed="false">
      <c r="A175" s="2" t="s">
        <v>719</v>
      </c>
      <c r="B175" s="2" t="n">
        <v>3</v>
      </c>
      <c r="C175" s="2" t="s">
        <v>1014</v>
      </c>
      <c r="D175" s="2" t="s">
        <v>710</v>
      </c>
      <c r="E175" s="2" t="s">
        <v>720</v>
      </c>
      <c r="F175" s="2" t="s">
        <v>996</v>
      </c>
      <c r="G175" s="2" t="s">
        <v>711</v>
      </c>
      <c r="H175" s="2" t="n">
        <f aca="false">COUNTIF('Anh xa'!$A$2:$A$581,A175)</f>
        <v>3</v>
      </c>
      <c r="I175" s="3" t="str">
        <f aca="false">IF(H175&gt;0,"Đã ánh xạ","THIẾU")</f>
        <v>Đã ánh xạ</v>
      </c>
      <c r="J175" s="7" t="s">
        <v>979</v>
      </c>
      <c r="K175" s="7"/>
    </row>
    <row r="176" customFormat="false" ht="15" hidden="false" customHeight="false" outlineLevel="0" collapsed="false">
      <c r="A176" s="2" t="s">
        <v>721</v>
      </c>
      <c r="B176" s="2" t="n">
        <v>2</v>
      </c>
      <c r="C176" s="2" t="s">
        <v>1014</v>
      </c>
      <c r="D176" s="2" t="s">
        <v>722</v>
      </c>
      <c r="E176" s="2"/>
      <c r="F176" s="2" t="s">
        <v>990</v>
      </c>
      <c r="G176" s="2" t="s">
        <v>711</v>
      </c>
      <c r="H176" s="2" t="n">
        <f aca="false">COUNTIF('Anh xa'!$A$2:$A$581,"A9.2")+COUNTIF('Anh xa'!$A$2:$A$581,"A9.2.*")</f>
        <v>12</v>
      </c>
      <c r="I176" s="3" t="str">
        <f aca="false">IF(H176&gt;0,"Đã ánh xạ","THIẾU")</f>
        <v>Đã ánh xạ</v>
      </c>
      <c r="J176" s="7" t="s">
        <v>979</v>
      </c>
      <c r="K176" s="7"/>
    </row>
    <row r="177" customFormat="false" ht="15" hidden="false" customHeight="false" outlineLevel="0" collapsed="false">
      <c r="A177" s="2" t="s">
        <v>729</v>
      </c>
      <c r="B177" s="2" t="n">
        <v>3</v>
      </c>
      <c r="C177" s="2" t="s">
        <v>1014</v>
      </c>
      <c r="D177" s="2" t="s">
        <v>722</v>
      </c>
      <c r="E177" s="2" t="s">
        <v>730</v>
      </c>
      <c r="F177" s="2" t="s">
        <v>996</v>
      </c>
      <c r="G177" s="2" t="s">
        <v>711</v>
      </c>
      <c r="H177" s="2" t="n">
        <f aca="false">COUNTIF('Anh xa'!$A$2:$A$581,A177)</f>
        <v>3</v>
      </c>
      <c r="I177" s="3" t="str">
        <f aca="false">IF(H177&gt;0,"Đã ánh xạ","THIẾU")</f>
        <v>Đã ánh xạ</v>
      </c>
      <c r="J177" s="7" t="s">
        <v>979</v>
      </c>
      <c r="K177" s="7"/>
    </row>
    <row r="178" customFormat="false" ht="15" hidden="false" customHeight="false" outlineLevel="0" collapsed="false">
      <c r="A178" s="2" t="s">
        <v>731</v>
      </c>
      <c r="B178" s="2" t="n">
        <v>3</v>
      </c>
      <c r="C178" s="2" t="s">
        <v>1014</v>
      </c>
      <c r="D178" s="2" t="s">
        <v>722</v>
      </c>
      <c r="E178" s="2" t="s">
        <v>732</v>
      </c>
      <c r="F178" s="2" t="s">
        <v>991</v>
      </c>
      <c r="G178" s="2" t="s">
        <v>711</v>
      </c>
      <c r="H178" s="2" t="n">
        <f aca="false">COUNTIF('Anh xa'!$A$2:$A$581,A178)</f>
        <v>2</v>
      </c>
      <c r="I178" s="3" t="str">
        <f aca="false">IF(H178&gt;0,"Đã ánh xạ","THIẾU")</f>
        <v>Đã ánh xạ</v>
      </c>
      <c r="J178" s="7" t="s">
        <v>979</v>
      </c>
      <c r="K178" s="7"/>
    </row>
    <row r="179" customFormat="false" ht="15" hidden="false" customHeight="false" outlineLevel="0" collapsed="false">
      <c r="A179" s="2" t="s">
        <v>733</v>
      </c>
      <c r="B179" s="2" t="n">
        <v>3</v>
      </c>
      <c r="C179" s="2" t="s">
        <v>1014</v>
      </c>
      <c r="D179" s="2" t="s">
        <v>722</v>
      </c>
      <c r="E179" s="2" t="s">
        <v>734</v>
      </c>
      <c r="F179" s="2" t="s">
        <v>991</v>
      </c>
      <c r="G179" s="2" t="s">
        <v>711</v>
      </c>
      <c r="H179" s="2" t="n">
        <f aca="false">COUNTIF('Anh xa'!$A$2:$A$581,A179)</f>
        <v>2</v>
      </c>
      <c r="I179" s="3" t="str">
        <f aca="false">IF(H179&gt;0,"Đã ánh xạ","THIẾU")</f>
        <v>Đã ánh xạ</v>
      </c>
      <c r="J179" s="7" t="s">
        <v>979</v>
      </c>
      <c r="K179" s="7"/>
    </row>
    <row r="180" customFormat="false" ht="15" hidden="false" customHeight="false" outlineLevel="0" collapsed="false">
      <c r="A180" s="2" t="s">
        <v>737</v>
      </c>
      <c r="B180" s="2" t="n">
        <v>3</v>
      </c>
      <c r="C180" s="2" t="s">
        <v>1014</v>
      </c>
      <c r="D180" s="2" t="s">
        <v>722</v>
      </c>
      <c r="E180" s="2" t="s">
        <v>738</v>
      </c>
      <c r="F180" s="2" t="s">
        <v>991</v>
      </c>
      <c r="G180" s="2" t="s">
        <v>711</v>
      </c>
      <c r="H180" s="2" t="n">
        <f aca="false">COUNTIF('Anh xa'!$A$2:$A$581,A180)</f>
        <v>2</v>
      </c>
      <c r="I180" s="3" t="str">
        <f aca="false">IF(H180&gt;0,"Đã ánh xạ","THIẾU")</f>
        <v>Đã ánh xạ</v>
      </c>
      <c r="J180" s="7" t="s">
        <v>979</v>
      </c>
      <c r="K180" s="7"/>
    </row>
    <row r="181" customFormat="false" ht="15" hidden="false" customHeight="false" outlineLevel="0" collapsed="false">
      <c r="A181" s="2" t="s">
        <v>739</v>
      </c>
      <c r="B181" s="2" t="n">
        <v>2</v>
      </c>
      <c r="C181" s="2" t="s">
        <v>1014</v>
      </c>
      <c r="D181" s="2" t="s">
        <v>740</v>
      </c>
      <c r="E181" s="2"/>
      <c r="F181" s="2" t="s">
        <v>990</v>
      </c>
      <c r="G181" s="2"/>
      <c r="H181" s="2" t="n">
        <f aca="false">COUNTIF('Anh xa'!$A$2:$A$581,"A9.3")+COUNTIF('Anh xa'!$A$2:$A$581,"A9.3.*")</f>
        <v>8</v>
      </c>
      <c r="I181" s="3" t="str">
        <f aca="false">IF(H181&gt;0,"Đã ánh xạ","THIẾU")</f>
        <v>Đã ánh xạ</v>
      </c>
      <c r="J181" s="7" t="s">
        <v>979</v>
      </c>
      <c r="K181" s="7"/>
    </row>
    <row r="182" customFormat="false" ht="15" hidden="false" customHeight="false" outlineLevel="0" collapsed="false">
      <c r="A182" s="2" t="s">
        <v>745</v>
      </c>
      <c r="B182" s="2" t="n">
        <v>3</v>
      </c>
      <c r="C182" s="2" t="s">
        <v>1014</v>
      </c>
      <c r="D182" s="2" t="s">
        <v>740</v>
      </c>
      <c r="E182" s="2" t="s">
        <v>742</v>
      </c>
      <c r="F182" s="2" t="s">
        <v>991</v>
      </c>
      <c r="G182" s="2"/>
      <c r="H182" s="2" t="n">
        <f aca="false">COUNTIF('Anh xa'!$A$2:$A$581,A182)</f>
        <v>2</v>
      </c>
      <c r="I182" s="3" t="str">
        <f aca="false">IF(H182&gt;0,"Đã ánh xạ","THIẾU")</f>
        <v>Đã ánh xạ</v>
      </c>
      <c r="J182" s="7" t="s">
        <v>979</v>
      </c>
      <c r="K182" s="7"/>
    </row>
    <row r="183" customFormat="false" ht="15" hidden="false" customHeight="false" outlineLevel="0" collapsed="false">
      <c r="A183" s="2" t="s">
        <v>746</v>
      </c>
      <c r="B183" s="2" t="n">
        <v>3</v>
      </c>
      <c r="C183" s="2" t="s">
        <v>1014</v>
      </c>
      <c r="D183" s="2" t="s">
        <v>740</v>
      </c>
      <c r="E183" s="2" t="s">
        <v>747</v>
      </c>
      <c r="F183" s="2" t="s">
        <v>991</v>
      </c>
      <c r="G183" s="2"/>
      <c r="H183" s="2" t="n">
        <f aca="false">COUNTIF('Anh xa'!$A$2:$A$581,A183)</f>
        <v>1</v>
      </c>
      <c r="I183" s="3" t="str">
        <f aca="false">IF(H183&gt;0,"Đã ánh xạ","THIẾU")</f>
        <v>Đã ánh xạ</v>
      </c>
      <c r="J183" s="7" t="s">
        <v>979</v>
      </c>
      <c r="K183" s="7"/>
    </row>
    <row r="184" customFormat="false" ht="15" hidden="false" customHeight="false" outlineLevel="0" collapsed="false">
      <c r="A184" s="2" t="s">
        <v>748</v>
      </c>
      <c r="B184" s="2" t="n">
        <v>3</v>
      </c>
      <c r="C184" s="2" t="s">
        <v>1014</v>
      </c>
      <c r="D184" s="2" t="s">
        <v>740</v>
      </c>
      <c r="E184" s="2" t="s">
        <v>749</v>
      </c>
      <c r="F184" s="2" t="s">
        <v>991</v>
      </c>
      <c r="G184" s="2"/>
      <c r="H184" s="2" t="n">
        <f aca="false">COUNTIF('Anh xa'!$A$2:$A$581,A184)</f>
        <v>2</v>
      </c>
      <c r="I184" s="3" t="str">
        <f aca="false">IF(H184&gt;0,"Đã ánh xạ","THIẾU")</f>
        <v>Đã ánh xạ</v>
      </c>
      <c r="J184" s="7" t="s">
        <v>979</v>
      </c>
      <c r="K184" s="7"/>
    </row>
    <row r="185" customFormat="false" ht="15" hidden="false" customHeight="false" outlineLevel="0" collapsed="false">
      <c r="A185" s="2" t="s">
        <v>750</v>
      </c>
      <c r="B185" s="2" t="n">
        <v>2</v>
      </c>
      <c r="C185" s="2" t="s">
        <v>1014</v>
      </c>
      <c r="D185" s="2" t="s">
        <v>751</v>
      </c>
      <c r="E185" s="2"/>
      <c r="F185" s="2" t="s">
        <v>990</v>
      </c>
      <c r="G185" s="2" t="s">
        <v>752</v>
      </c>
      <c r="H185" s="2" t="n">
        <f aca="false">COUNTIF('Anh xa'!$A$2:$A$581,"A9.4")+COUNTIF('Anh xa'!$A$2:$A$581,"A9.4.*")</f>
        <v>9</v>
      </c>
      <c r="I185" s="3" t="str">
        <f aca="false">IF(H185&gt;0,"Đã ánh xạ","THIẾU")</f>
        <v>Đã ánh xạ</v>
      </c>
      <c r="J185" s="7" t="s">
        <v>979</v>
      </c>
      <c r="K185" s="7"/>
    </row>
    <row r="186" customFormat="false" ht="15" hidden="false" customHeight="false" outlineLevel="0" collapsed="false">
      <c r="A186" s="2" t="s">
        <v>756</v>
      </c>
      <c r="B186" s="2" t="n">
        <v>3</v>
      </c>
      <c r="C186" s="2" t="s">
        <v>1014</v>
      </c>
      <c r="D186" s="2" t="s">
        <v>751</v>
      </c>
      <c r="E186" s="2" t="s">
        <v>757</v>
      </c>
      <c r="F186" s="2" t="s">
        <v>991</v>
      </c>
      <c r="G186" s="2" t="s">
        <v>752</v>
      </c>
      <c r="H186" s="2" t="n">
        <f aca="false">COUNTIF('Anh xa'!$A$2:$A$581,A186)</f>
        <v>2</v>
      </c>
      <c r="I186" s="3" t="str">
        <f aca="false">IF(H186&gt;0,"Đã ánh xạ","THIẾU")</f>
        <v>Đã ánh xạ</v>
      </c>
      <c r="J186" s="7" t="s">
        <v>979</v>
      </c>
      <c r="K186" s="7"/>
    </row>
    <row r="187" customFormat="false" ht="15" hidden="false" customHeight="false" outlineLevel="0" collapsed="false">
      <c r="A187" s="2" t="s">
        <v>760</v>
      </c>
      <c r="B187" s="2" t="n">
        <v>3</v>
      </c>
      <c r="C187" s="2" t="s">
        <v>1014</v>
      </c>
      <c r="D187" s="2" t="s">
        <v>751</v>
      </c>
      <c r="E187" s="2" t="s">
        <v>761</v>
      </c>
      <c r="F187" s="2" t="s">
        <v>991</v>
      </c>
      <c r="G187" s="2" t="s">
        <v>752</v>
      </c>
      <c r="H187" s="2" t="n">
        <f aca="false">COUNTIF('Anh xa'!$A$2:$A$581,A187)</f>
        <v>1</v>
      </c>
      <c r="I187" s="3" t="str">
        <f aca="false">IF(H187&gt;0,"Đã ánh xạ","THIẾU")</f>
        <v>Đã ánh xạ</v>
      </c>
      <c r="J187" s="7" t="s">
        <v>979</v>
      </c>
      <c r="K187" s="7"/>
    </row>
    <row r="188" customFormat="false" ht="15" hidden="false" customHeight="false" outlineLevel="0" collapsed="false">
      <c r="A188" s="2" t="s">
        <v>764</v>
      </c>
      <c r="B188" s="2" t="n">
        <v>3</v>
      </c>
      <c r="C188" s="2" t="s">
        <v>1014</v>
      </c>
      <c r="D188" s="2" t="s">
        <v>751</v>
      </c>
      <c r="E188" s="2" t="s">
        <v>765</v>
      </c>
      <c r="F188" s="2" t="s">
        <v>991</v>
      </c>
      <c r="G188" s="2" t="s">
        <v>752</v>
      </c>
      <c r="H188" s="2" t="n">
        <f aca="false">COUNTIF('Anh xa'!$A$2:$A$581,A188)</f>
        <v>2</v>
      </c>
      <c r="I188" s="3" t="str">
        <f aca="false">IF(H188&gt;0,"Đã ánh xạ","THIẾU")</f>
        <v>Đã ánh xạ</v>
      </c>
      <c r="J188" s="7" t="s">
        <v>979</v>
      </c>
      <c r="K188" s="7"/>
    </row>
    <row r="189" customFormat="false" ht="15" hidden="false" customHeight="false" outlineLevel="0" collapsed="false">
      <c r="A189" s="2" t="s">
        <v>766</v>
      </c>
      <c r="B189" s="2" t="n">
        <v>3</v>
      </c>
      <c r="C189" s="2" t="s">
        <v>1014</v>
      </c>
      <c r="D189" s="2" t="s">
        <v>751</v>
      </c>
      <c r="E189" s="2" t="s">
        <v>767</v>
      </c>
      <c r="F189" s="2" t="s">
        <v>997</v>
      </c>
      <c r="G189" s="2" t="s">
        <v>752</v>
      </c>
      <c r="H189" s="2" t="n">
        <f aca="false">COUNTIF('Anh xa'!$A$2:$A$581,A189)</f>
        <v>2</v>
      </c>
      <c r="I189" s="3" t="str">
        <f aca="false">IF(H189&gt;0,"Đã ánh xạ","THIẾU")</f>
        <v>Đã ánh xạ</v>
      </c>
      <c r="J189" s="7" t="s">
        <v>979</v>
      </c>
      <c r="K189" s="7"/>
    </row>
    <row r="190" customFormat="false" ht="15" hidden="false" customHeight="false" outlineLevel="0" collapsed="false">
      <c r="A190" s="2" t="s">
        <v>768</v>
      </c>
      <c r="B190" s="2" t="n">
        <v>2</v>
      </c>
      <c r="C190" s="2" t="s">
        <v>1014</v>
      </c>
      <c r="D190" s="2" t="s">
        <v>769</v>
      </c>
      <c r="E190" s="2"/>
      <c r="F190" s="2" t="s">
        <v>990</v>
      </c>
      <c r="G190" s="2"/>
      <c r="H190" s="2" t="n">
        <f aca="false">COUNTIF('Anh xa'!$A$2:$A$581,"A9.5")+COUNTIF('Anh xa'!$A$2:$A$581,"A9.5.*")</f>
        <v>9</v>
      </c>
      <c r="I190" s="3" t="str">
        <f aca="false">IF(H190&gt;0,"Đã ánh xạ","THIẾU")</f>
        <v>Đã ánh xạ</v>
      </c>
      <c r="J190" s="7" t="s">
        <v>979</v>
      </c>
      <c r="K190" s="7"/>
    </row>
    <row r="191" customFormat="false" ht="15" hidden="false" customHeight="false" outlineLevel="0" collapsed="false">
      <c r="A191" s="2" t="s">
        <v>774</v>
      </c>
      <c r="B191" s="2" t="n">
        <v>3</v>
      </c>
      <c r="C191" s="2" t="s">
        <v>1014</v>
      </c>
      <c r="D191" s="2" t="s">
        <v>769</v>
      </c>
      <c r="E191" s="2" t="s">
        <v>775</v>
      </c>
      <c r="F191" s="2" t="s">
        <v>996</v>
      </c>
      <c r="G191" s="2"/>
      <c r="H191" s="2" t="n">
        <f aca="false">COUNTIF('Anh xa'!$A$2:$A$581,A191)</f>
        <v>4</v>
      </c>
      <c r="I191" s="3" t="str">
        <f aca="false">IF(H191&gt;0,"Đã ánh xạ","THIẾU")</f>
        <v>Đã ánh xạ</v>
      </c>
      <c r="J191" s="7" t="s">
        <v>979</v>
      </c>
      <c r="K191" s="7"/>
    </row>
    <row r="192" customFormat="false" ht="15" hidden="false" customHeight="false" outlineLevel="0" collapsed="false">
      <c r="A192" s="2" t="s">
        <v>778</v>
      </c>
      <c r="B192" s="2" t="n">
        <v>3</v>
      </c>
      <c r="C192" s="2" t="s">
        <v>1014</v>
      </c>
      <c r="D192" s="2" t="s">
        <v>769</v>
      </c>
      <c r="E192" s="2" t="s">
        <v>779</v>
      </c>
      <c r="F192" s="2" t="s">
        <v>991</v>
      </c>
      <c r="G192" s="2"/>
      <c r="H192" s="2" t="n">
        <f aca="false">COUNTIF('Anh xa'!$A$2:$A$581,A192)</f>
        <v>2</v>
      </c>
      <c r="I192" s="3" t="str">
        <f aca="false">IF(H192&gt;0,"Đã ánh xạ","THIẾU")</f>
        <v>Đã ánh xạ</v>
      </c>
      <c r="J192" s="7" t="s">
        <v>979</v>
      </c>
      <c r="K192" s="7"/>
    </row>
    <row r="193" customFormat="false" ht="15" hidden="false" customHeight="false" outlineLevel="0" collapsed="false">
      <c r="A193" s="2" t="s">
        <v>782</v>
      </c>
      <c r="B193" s="2" t="n">
        <v>2</v>
      </c>
      <c r="C193" s="2" t="s">
        <v>1014</v>
      </c>
      <c r="D193" s="2" t="s">
        <v>783</v>
      </c>
      <c r="E193" s="2"/>
      <c r="F193" s="2" t="s">
        <v>990</v>
      </c>
      <c r="G193" s="2"/>
      <c r="H193" s="2" t="n">
        <f aca="false">COUNTIF('Anh xa'!$A$2:$A$581,"A9.6")+COUNTIF('Anh xa'!$A$2:$A$581,"A9.6.*")</f>
        <v>4</v>
      </c>
      <c r="I193" s="3" t="str">
        <f aca="false">IF(H193&gt;0,"Đã ánh xạ","THIẾU")</f>
        <v>Đã ánh xạ</v>
      </c>
      <c r="J193" s="7" t="s">
        <v>979</v>
      </c>
      <c r="K193" s="7"/>
    </row>
    <row r="194" customFormat="false" ht="23.85" hidden="false" customHeight="false" outlineLevel="0" collapsed="false">
      <c r="A194" s="2" t="s">
        <v>788</v>
      </c>
      <c r="B194" s="2" t="n">
        <v>3</v>
      </c>
      <c r="C194" s="2" t="s">
        <v>1014</v>
      </c>
      <c r="D194" s="2" t="s">
        <v>783</v>
      </c>
      <c r="E194" s="2" t="s">
        <v>789</v>
      </c>
      <c r="F194" s="2" t="s">
        <v>991</v>
      </c>
      <c r="G194" s="2"/>
      <c r="H194" s="2" t="n">
        <f aca="false">COUNTIF('Anh xa'!$A$2:$A$581,A194)</f>
        <v>2</v>
      </c>
      <c r="I194" s="3" t="str">
        <f aca="false">IF(H194&gt;0,"Đã ánh xạ","THIẾU")</f>
        <v>Đã ánh xạ</v>
      </c>
      <c r="J194" s="7" t="s">
        <v>979</v>
      </c>
      <c r="K194" s="7"/>
    </row>
    <row r="195" customFormat="false" ht="15" hidden="false" customHeight="false" outlineLevel="0" collapsed="false">
      <c r="A195" s="2" t="s">
        <v>790</v>
      </c>
      <c r="B195" s="2" t="n">
        <v>2</v>
      </c>
      <c r="C195" s="2" t="s">
        <v>1014</v>
      </c>
      <c r="D195" s="2" t="s">
        <v>791</v>
      </c>
      <c r="E195" s="2"/>
      <c r="F195" s="2" t="s">
        <v>990</v>
      </c>
      <c r="G195" s="2"/>
      <c r="H195" s="2" t="n">
        <f aca="false">COUNTIF('Anh xa'!$A$2:$A$581,"A9.7")+COUNTIF('Anh xa'!$A$2:$A$581,"A9.7.*")</f>
        <v>5</v>
      </c>
      <c r="I195" s="3" t="str">
        <f aca="false">IF(H195&gt;0,"Đã ánh xạ","THIẾU")</f>
        <v>Đã ánh xạ</v>
      </c>
      <c r="J195" s="7" t="s">
        <v>979</v>
      </c>
      <c r="K195" s="7"/>
    </row>
    <row r="196" customFormat="false" ht="23.85" hidden="false" customHeight="false" outlineLevel="0" collapsed="false">
      <c r="A196" s="2" t="s">
        <v>795</v>
      </c>
      <c r="B196" s="2" t="n">
        <v>3</v>
      </c>
      <c r="C196" s="2" t="s">
        <v>1014</v>
      </c>
      <c r="D196" s="2" t="s">
        <v>791</v>
      </c>
      <c r="E196" s="2" t="s">
        <v>796</v>
      </c>
      <c r="F196" s="2" t="s">
        <v>991</v>
      </c>
      <c r="G196" s="2"/>
      <c r="H196" s="2" t="n">
        <f aca="false">COUNTIF('Anh xa'!$A$2:$A$581,A196)</f>
        <v>3</v>
      </c>
      <c r="I196" s="3" t="str">
        <f aca="false">IF(H196&gt;0,"Đã ánh xạ","THIẾU")</f>
        <v>Đã ánh xạ</v>
      </c>
      <c r="J196" s="7" t="s">
        <v>979</v>
      </c>
      <c r="K196" s="7"/>
    </row>
    <row r="197" customFormat="false" ht="15" hidden="false" customHeight="false" outlineLevel="0" collapsed="false">
      <c r="A197" s="8" t="s">
        <v>1015</v>
      </c>
      <c r="B197" s="8" t="n">
        <v>1</v>
      </c>
      <c r="C197" s="8" t="s">
        <v>1016</v>
      </c>
      <c r="D197" s="2"/>
      <c r="E197" s="2"/>
      <c r="F197" s="2" t="s">
        <v>1000</v>
      </c>
      <c r="G197" s="2"/>
      <c r="H197" s="2" t="n">
        <f aca="false">COUNTIF('Anh xa'!$A$2:$A$581,"A10.*")</f>
        <v>14</v>
      </c>
      <c r="I197" s="3" t="str">
        <f aca="false">IF(H197&gt;0,"Đã ánh xạ","THIẾU")</f>
        <v>Đã ánh xạ</v>
      </c>
      <c r="J197" s="7" t="s">
        <v>979</v>
      </c>
      <c r="K197" s="7"/>
    </row>
    <row r="198" customFormat="false" ht="15" hidden="false" customHeight="false" outlineLevel="0" collapsed="false">
      <c r="A198" s="2" t="s">
        <v>797</v>
      </c>
      <c r="B198" s="2" t="n">
        <v>2</v>
      </c>
      <c r="C198" s="2" t="s">
        <v>1016</v>
      </c>
      <c r="D198" s="2" t="s">
        <v>798</v>
      </c>
      <c r="E198" s="2"/>
      <c r="F198" s="2" t="s">
        <v>990</v>
      </c>
      <c r="G198" s="2"/>
      <c r="H198" s="2" t="n">
        <f aca="false">COUNTIF('Anh xa'!$A$2:$A$581,"A10.1")+COUNTIF('Anh xa'!$A$2:$A$581,"A10.1.*")</f>
        <v>8</v>
      </c>
      <c r="I198" s="3" t="str">
        <f aca="false">IF(H198&gt;0,"Đã ánh xạ","THIẾU")</f>
        <v>Đã ánh xạ</v>
      </c>
      <c r="J198" s="7" t="s">
        <v>979</v>
      </c>
      <c r="K198" s="7"/>
    </row>
    <row r="199" customFormat="false" ht="15" hidden="false" customHeight="false" outlineLevel="0" collapsed="false">
      <c r="A199" s="2" t="s">
        <v>799</v>
      </c>
      <c r="B199" s="2" t="n">
        <v>3</v>
      </c>
      <c r="C199" s="2" t="s">
        <v>1016</v>
      </c>
      <c r="D199" s="2" t="s">
        <v>798</v>
      </c>
      <c r="E199" s="2" t="s">
        <v>800</v>
      </c>
      <c r="F199" s="2" t="s">
        <v>991</v>
      </c>
      <c r="G199" s="2"/>
      <c r="H199" s="2" t="n">
        <f aca="false">COUNTIF('Anh xa'!$A$2:$A$581,A199)</f>
        <v>2</v>
      </c>
      <c r="I199" s="3" t="str">
        <f aca="false">IF(H199&gt;0,"Đã ánh xạ","THIẾU")</f>
        <v>Đã ánh xạ</v>
      </c>
      <c r="J199" s="7" t="s">
        <v>979</v>
      </c>
      <c r="K199" s="7"/>
    </row>
    <row r="200" customFormat="false" ht="15" hidden="false" customHeight="false" outlineLevel="0" collapsed="false">
      <c r="A200" s="2" t="s">
        <v>801</v>
      </c>
      <c r="B200" s="2" t="n">
        <v>3</v>
      </c>
      <c r="C200" s="2" t="s">
        <v>1016</v>
      </c>
      <c r="D200" s="2" t="s">
        <v>798</v>
      </c>
      <c r="E200" s="2" t="s">
        <v>802</v>
      </c>
      <c r="F200" s="2" t="s">
        <v>996</v>
      </c>
      <c r="G200" s="2"/>
      <c r="H200" s="2" t="n">
        <f aca="false">COUNTIF('Anh xa'!$A$2:$A$581,A200)</f>
        <v>1</v>
      </c>
      <c r="I200" s="3" t="str">
        <f aca="false">IF(H200&gt;0,"Đã ánh xạ","THIẾU")</f>
        <v>Đã ánh xạ</v>
      </c>
      <c r="J200" s="7" t="s">
        <v>979</v>
      </c>
      <c r="K200" s="7"/>
    </row>
    <row r="201" customFormat="false" ht="15" hidden="false" customHeight="false" outlineLevel="0" collapsed="false">
      <c r="A201" s="2" t="s">
        <v>803</v>
      </c>
      <c r="B201" s="2" t="n">
        <v>3</v>
      </c>
      <c r="C201" s="2" t="s">
        <v>1016</v>
      </c>
      <c r="D201" s="2" t="s">
        <v>798</v>
      </c>
      <c r="E201" s="2" t="s">
        <v>804</v>
      </c>
      <c r="F201" s="2" t="s">
        <v>996</v>
      </c>
      <c r="G201" s="2"/>
      <c r="H201" s="2" t="n">
        <f aca="false">COUNTIF('Anh xa'!$A$2:$A$581,A201)</f>
        <v>2</v>
      </c>
      <c r="I201" s="3" t="str">
        <f aca="false">IF(H201&gt;0,"Đã ánh xạ","THIẾU")</f>
        <v>Đã ánh xạ</v>
      </c>
      <c r="J201" s="7" t="s">
        <v>979</v>
      </c>
      <c r="K201" s="7"/>
    </row>
    <row r="202" customFormat="false" ht="15" hidden="false" customHeight="false" outlineLevel="0" collapsed="false">
      <c r="A202" s="2" t="s">
        <v>805</v>
      </c>
      <c r="B202" s="2" t="n">
        <v>2</v>
      </c>
      <c r="C202" s="2" t="s">
        <v>1016</v>
      </c>
      <c r="D202" s="2" t="s">
        <v>806</v>
      </c>
      <c r="E202" s="2"/>
      <c r="F202" s="2" t="s">
        <v>990</v>
      </c>
      <c r="G202" s="2"/>
      <c r="H202" s="2" t="n">
        <f aca="false">COUNTIF('Anh xa'!$A$2:$A$581,"A10.2")+COUNTIF('Anh xa'!$A$2:$A$581,"A10.2.*")</f>
        <v>6</v>
      </c>
      <c r="I202" s="3" t="str">
        <f aca="false">IF(H202&gt;0,"Đã ánh xạ","THIẾU")</f>
        <v>Đã ánh xạ</v>
      </c>
      <c r="J202" s="7" t="s">
        <v>979</v>
      </c>
      <c r="K202" s="7"/>
    </row>
    <row r="203" customFormat="false" ht="23.85" hidden="false" customHeight="false" outlineLevel="0" collapsed="false">
      <c r="A203" s="2" t="s">
        <v>807</v>
      </c>
      <c r="B203" s="2" t="n">
        <v>3</v>
      </c>
      <c r="C203" s="2" t="s">
        <v>1016</v>
      </c>
      <c r="D203" s="2" t="s">
        <v>806</v>
      </c>
      <c r="E203" s="2" t="s">
        <v>808</v>
      </c>
      <c r="F203" s="2" t="s">
        <v>996</v>
      </c>
      <c r="G203" s="2"/>
      <c r="H203" s="2" t="n">
        <f aca="false">COUNTIF('Anh xa'!$A$2:$A$581,A203)</f>
        <v>5</v>
      </c>
      <c r="I203" s="3" t="str">
        <f aca="false">IF(H203&gt;0,"Đã ánh xạ","THIẾU")</f>
        <v>Đã ánh xạ</v>
      </c>
      <c r="J203" s="7" t="s">
        <v>979</v>
      </c>
      <c r="K203" s="7"/>
    </row>
    <row r="204" customFormat="false" ht="15" hidden="false" customHeight="false" outlineLevel="0" collapsed="false">
      <c r="A204" s="8" t="s">
        <v>1017</v>
      </c>
      <c r="B204" s="8" t="n">
        <v>1</v>
      </c>
      <c r="C204" s="8" t="s">
        <v>1018</v>
      </c>
      <c r="D204" s="2"/>
      <c r="E204" s="2"/>
      <c r="F204" s="2" t="s">
        <v>1000</v>
      </c>
      <c r="G204" s="2"/>
      <c r="H204" s="2" t="n">
        <f aca="false">COUNTIF('Anh xa'!$A$2:$A$581,"A11.*")</f>
        <v>41</v>
      </c>
      <c r="I204" s="3" t="str">
        <f aca="false">IF(H204&gt;0,"Đã ánh xạ","THIẾU")</f>
        <v>Đã ánh xạ</v>
      </c>
      <c r="J204" s="7" t="s">
        <v>979</v>
      </c>
      <c r="K204" s="7"/>
    </row>
    <row r="205" customFormat="false" ht="15" hidden="false" customHeight="false" outlineLevel="0" collapsed="false">
      <c r="A205" s="2" t="s">
        <v>809</v>
      </c>
      <c r="B205" s="2" t="n">
        <v>2</v>
      </c>
      <c r="C205" s="2" t="s">
        <v>1018</v>
      </c>
      <c r="D205" s="2" t="s">
        <v>810</v>
      </c>
      <c r="E205" s="2"/>
      <c r="F205" s="2" t="s">
        <v>990</v>
      </c>
      <c r="G205" s="2" t="s">
        <v>360</v>
      </c>
      <c r="H205" s="2" t="n">
        <f aca="false">COUNTIF('Anh xa'!$A$2:$A$581,"A11.1")+COUNTIF('Anh xa'!$A$2:$A$581,"A11.1.*")</f>
        <v>17</v>
      </c>
      <c r="I205" s="3" t="str">
        <f aca="false">IF(H205&gt;0,"Đã ánh xạ","THIẾU")</f>
        <v>Đã ánh xạ</v>
      </c>
      <c r="J205" s="7" t="s">
        <v>979</v>
      </c>
      <c r="K205" s="7"/>
    </row>
    <row r="206" customFormat="false" ht="23.85" hidden="false" customHeight="false" outlineLevel="0" collapsed="false">
      <c r="A206" s="2" t="s">
        <v>817</v>
      </c>
      <c r="B206" s="2" t="n">
        <v>3</v>
      </c>
      <c r="C206" s="2" t="s">
        <v>1018</v>
      </c>
      <c r="D206" s="2" t="s">
        <v>810</v>
      </c>
      <c r="E206" s="2" t="s">
        <v>818</v>
      </c>
      <c r="F206" s="2" t="s">
        <v>991</v>
      </c>
      <c r="G206" s="2" t="s">
        <v>360</v>
      </c>
      <c r="H206" s="2" t="n">
        <f aca="false">COUNTIF('Anh xa'!$A$2:$A$581,A206)</f>
        <v>3</v>
      </c>
      <c r="I206" s="3" t="str">
        <f aca="false">IF(H206&gt;0,"Đã ánh xạ","THIẾU")</f>
        <v>Đã ánh xạ</v>
      </c>
      <c r="J206" s="7" t="s">
        <v>979</v>
      </c>
      <c r="K206" s="7"/>
    </row>
    <row r="207" customFormat="false" ht="15" hidden="false" customHeight="false" outlineLevel="0" collapsed="false">
      <c r="A207" s="2" t="s">
        <v>819</v>
      </c>
      <c r="B207" s="2" t="n">
        <v>3</v>
      </c>
      <c r="C207" s="2" t="s">
        <v>1018</v>
      </c>
      <c r="D207" s="2" t="s">
        <v>810</v>
      </c>
      <c r="E207" s="2" t="s">
        <v>820</v>
      </c>
      <c r="F207" s="2" t="s">
        <v>996</v>
      </c>
      <c r="G207" s="2" t="s">
        <v>360</v>
      </c>
      <c r="H207" s="2" t="n">
        <f aca="false">COUNTIF('Anh xa'!$A$2:$A$581,A207)</f>
        <v>1</v>
      </c>
      <c r="I207" s="3" t="str">
        <f aca="false">IF(H207&gt;0,"Đã ánh xạ","THIẾU")</f>
        <v>Đã ánh xạ</v>
      </c>
      <c r="J207" s="7" t="s">
        <v>979</v>
      </c>
      <c r="K207" s="7"/>
    </row>
    <row r="208" customFormat="false" ht="15" hidden="false" customHeight="false" outlineLevel="0" collapsed="false">
      <c r="A208" s="2" t="s">
        <v>821</v>
      </c>
      <c r="B208" s="2" t="n">
        <v>3</v>
      </c>
      <c r="C208" s="2" t="s">
        <v>1018</v>
      </c>
      <c r="D208" s="2" t="s">
        <v>810</v>
      </c>
      <c r="E208" s="2" t="s">
        <v>822</v>
      </c>
      <c r="F208" s="2" t="s">
        <v>996</v>
      </c>
      <c r="G208" s="2" t="s">
        <v>360</v>
      </c>
      <c r="H208" s="2" t="n">
        <f aca="false">COUNTIF('Anh xa'!$A$2:$A$581,A208)</f>
        <v>2</v>
      </c>
      <c r="I208" s="3" t="str">
        <f aca="false">IF(H208&gt;0,"Đã ánh xạ","THIẾU")</f>
        <v>Đã ánh xạ</v>
      </c>
      <c r="J208" s="7" t="s">
        <v>979</v>
      </c>
      <c r="K208" s="7"/>
    </row>
    <row r="209" customFormat="false" ht="15" hidden="false" customHeight="false" outlineLevel="0" collapsed="false">
      <c r="A209" s="2" t="s">
        <v>823</v>
      </c>
      <c r="B209" s="2" t="n">
        <v>3</v>
      </c>
      <c r="C209" s="2" t="s">
        <v>1018</v>
      </c>
      <c r="D209" s="2" t="s">
        <v>810</v>
      </c>
      <c r="E209" s="2" t="s">
        <v>824</v>
      </c>
      <c r="F209" s="2" t="s">
        <v>996</v>
      </c>
      <c r="G209" s="2" t="s">
        <v>360</v>
      </c>
      <c r="H209" s="2" t="n">
        <f aca="false">COUNTIF('Anh xa'!$A$2:$A$581,A209)</f>
        <v>3</v>
      </c>
      <c r="I209" s="3" t="str">
        <f aca="false">IF(H209&gt;0,"Đã ánh xạ","THIẾU")</f>
        <v>Đã ánh xạ</v>
      </c>
      <c r="J209" s="7" t="s">
        <v>979</v>
      </c>
      <c r="K209" s="7"/>
    </row>
    <row r="210" customFormat="false" ht="15" hidden="false" customHeight="false" outlineLevel="0" collapsed="false">
      <c r="A210" s="2" t="s">
        <v>829</v>
      </c>
      <c r="B210" s="2" t="n">
        <v>3</v>
      </c>
      <c r="C210" s="2" t="s">
        <v>1018</v>
      </c>
      <c r="D210" s="2" t="s">
        <v>810</v>
      </c>
      <c r="E210" s="2" t="s">
        <v>830</v>
      </c>
      <c r="F210" s="2" t="s">
        <v>996</v>
      </c>
      <c r="G210" s="2" t="s">
        <v>360</v>
      </c>
      <c r="H210" s="2" t="n">
        <f aca="false">COUNTIF('Anh xa'!$A$2:$A$581,A210)</f>
        <v>2</v>
      </c>
      <c r="I210" s="3" t="str">
        <f aca="false">IF(H210&gt;0,"Đã ánh xạ","THIẾU")</f>
        <v>Đã ánh xạ</v>
      </c>
      <c r="J210" s="7" t="s">
        <v>979</v>
      </c>
      <c r="K210" s="7"/>
    </row>
    <row r="211" customFormat="false" ht="15" hidden="false" customHeight="false" outlineLevel="0" collapsed="false">
      <c r="A211" s="2" t="s">
        <v>831</v>
      </c>
      <c r="B211" s="2" t="n">
        <v>3</v>
      </c>
      <c r="C211" s="2" t="s">
        <v>1018</v>
      </c>
      <c r="D211" s="2" t="s">
        <v>810</v>
      </c>
      <c r="E211" s="2" t="s">
        <v>832</v>
      </c>
      <c r="F211" s="2" t="s">
        <v>991</v>
      </c>
      <c r="G211" s="2" t="s">
        <v>360</v>
      </c>
      <c r="H211" s="2" t="n">
        <f aca="false">COUNTIF('Anh xa'!$A$2:$A$581,A211)</f>
        <v>2</v>
      </c>
      <c r="I211" s="3" t="str">
        <f aca="false">IF(H211&gt;0,"Đã ánh xạ","THIẾU")</f>
        <v>Đã ánh xạ</v>
      </c>
      <c r="J211" s="7" t="s">
        <v>979</v>
      </c>
      <c r="K211" s="7"/>
    </row>
    <row r="212" customFormat="false" ht="15" hidden="false" customHeight="false" outlineLevel="0" collapsed="false">
      <c r="A212" s="2" t="s">
        <v>833</v>
      </c>
      <c r="B212" s="2" t="n">
        <v>2</v>
      </c>
      <c r="C212" s="2" t="s">
        <v>1018</v>
      </c>
      <c r="D212" s="2" t="s">
        <v>834</v>
      </c>
      <c r="E212" s="2"/>
      <c r="F212" s="2" t="s">
        <v>990</v>
      </c>
      <c r="G212" s="2" t="s">
        <v>835</v>
      </c>
      <c r="H212" s="2" t="n">
        <f aca="false">COUNTIF('Anh xa'!$A$2:$A$581,"A11.2")+COUNTIF('Anh xa'!$A$2:$A$581,"A11.2.*")</f>
        <v>14</v>
      </c>
      <c r="I212" s="3" t="str">
        <f aca="false">IF(H212&gt;0,"Đã ánh xạ","THIẾU")</f>
        <v>Đã ánh xạ</v>
      </c>
      <c r="J212" s="7" t="s">
        <v>979</v>
      </c>
      <c r="K212" s="7"/>
    </row>
    <row r="213" customFormat="false" ht="23.85" hidden="false" customHeight="false" outlineLevel="0" collapsed="false">
      <c r="A213" s="2" t="s">
        <v>836</v>
      </c>
      <c r="B213" s="2" t="n">
        <v>3</v>
      </c>
      <c r="C213" s="2" t="s">
        <v>1018</v>
      </c>
      <c r="D213" s="2" t="s">
        <v>834</v>
      </c>
      <c r="E213" s="2" t="s">
        <v>837</v>
      </c>
      <c r="F213" s="2" t="s">
        <v>991</v>
      </c>
      <c r="G213" s="2" t="s">
        <v>835</v>
      </c>
      <c r="H213" s="2" t="n">
        <f aca="false">COUNTIF('Anh xa'!$A$2:$A$581,A213)</f>
        <v>2</v>
      </c>
      <c r="I213" s="3" t="str">
        <f aca="false">IF(H213&gt;0,"Đã ánh xạ","THIẾU")</f>
        <v>Đã ánh xạ</v>
      </c>
      <c r="J213" s="7" t="s">
        <v>979</v>
      </c>
      <c r="K213" s="7"/>
    </row>
    <row r="214" customFormat="false" ht="15" hidden="false" customHeight="false" outlineLevel="0" collapsed="false">
      <c r="A214" s="2" t="s">
        <v>838</v>
      </c>
      <c r="B214" s="2" t="n">
        <v>3</v>
      </c>
      <c r="C214" s="2" t="s">
        <v>1018</v>
      </c>
      <c r="D214" s="2" t="s">
        <v>834</v>
      </c>
      <c r="E214" s="2" t="s">
        <v>839</v>
      </c>
      <c r="F214" s="2" t="s">
        <v>997</v>
      </c>
      <c r="G214" s="2" t="s">
        <v>835</v>
      </c>
      <c r="H214" s="2" t="n">
        <f aca="false">COUNTIF('Anh xa'!$A$2:$A$581,A214)</f>
        <v>2</v>
      </c>
      <c r="I214" s="3" t="str">
        <f aca="false">IF(H214&gt;0,"Đã ánh xạ","THIẾU")</f>
        <v>Đã ánh xạ</v>
      </c>
      <c r="J214" s="7" t="s">
        <v>979</v>
      </c>
      <c r="K214" s="7"/>
    </row>
    <row r="215" customFormat="false" ht="15" hidden="false" customHeight="false" outlineLevel="0" collapsed="false">
      <c r="A215" s="2" t="s">
        <v>840</v>
      </c>
      <c r="B215" s="2" t="n">
        <v>3</v>
      </c>
      <c r="C215" s="2" t="s">
        <v>1018</v>
      </c>
      <c r="D215" s="2" t="s">
        <v>834</v>
      </c>
      <c r="E215" s="2" t="s">
        <v>841</v>
      </c>
      <c r="F215" s="2" t="s">
        <v>996</v>
      </c>
      <c r="G215" s="2" t="s">
        <v>835</v>
      </c>
      <c r="H215" s="2" t="n">
        <f aca="false">COUNTIF('Anh xa'!$A$2:$A$581,A215)</f>
        <v>3</v>
      </c>
      <c r="I215" s="3" t="str">
        <f aca="false">IF(H215&gt;0,"Đã ánh xạ","THIẾU")</f>
        <v>Đã ánh xạ</v>
      </c>
      <c r="J215" s="7" t="s">
        <v>979</v>
      </c>
      <c r="K215" s="7"/>
    </row>
    <row r="216" customFormat="false" ht="15" hidden="false" customHeight="false" outlineLevel="0" collapsed="false">
      <c r="A216" s="2" t="s">
        <v>846</v>
      </c>
      <c r="B216" s="2" t="n">
        <v>3</v>
      </c>
      <c r="C216" s="2" t="s">
        <v>1018</v>
      </c>
      <c r="D216" s="2" t="s">
        <v>834</v>
      </c>
      <c r="E216" s="2" t="s">
        <v>847</v>
      </c>
      <c r="F216" s="2" t="s">
        <v>991</v>
      </c>
      <c r="G216" s="2" t="s">
        <v>835</v>
      </c>
      <c r="H216" s="2" t="n">
        <f aca="false">COUNTIF('Anh xa'!$A$2:$A$581,A216)</f>
        <v>1</v>
      </c>
      <c r="I216" s="3" t="str">
        <f aca="false">IF(H216&gt;0,"Đã ánh xạ","THIẾU")</f>
        <v>Đã ánh xạ</v>
      </c>
      <c r="J216" s="7" t="s">
        <v>979</v>
      </c>
      <c r="K216" s="7"/>
    </row>
    <row r="217" customFormat="false" ht="15" hidden="false" customHeight="false" outlineLevel="0" collapsed="false">
      <c r="A217" s="2" t="s">
        <v>850</v>
      </c>
      <c r="B217" s="2" t="n">
        <v>3</v>
      </c>
      <c r="C217" s="2" t="s">
        <v>1018</v>
      </c>
      <c r="D217" s="2" t="s">
        <v>834</v>
      </c>
      <c r="E217" s="2" t="s">
        <v>851</v>
      </c>
      <c r="F217" s="2" t="s">
        <v>996</v>
      </c>
      <c r="G217" s="2" t="s">
        <v>835</v>
      </c>
      <c r="H217" s="2" t="n">
        <f aca="false">COUNTIF('Anh xa'!$A$2:$A$581,A217)</f>
        <v>2</v>
      </c>
      <c r="I217" s="3" t="str">
        <f aca="false">IF(H217&gt;0,"Đã ánh xạ","THIẾU")</f>
        <v>Đã ánh xạ</v>
      </c>
      <c r="J217" s="7" t="s">
        <v>979</v>
      </c>
      <c r="K217" s="7"/>
    </row>
    <row r="218" customFormat="false" ht="15" hidden="false" customHeight="false" outlineLevel="0" collapsed="false">
      <c r="A218" s="2" t="s">
        <v>854</v>
      </c>
      <c r="B218" s="2" t="n">
        <v>3</v>
      </c>
      <c r="C218" s="2" t="s">
        <v>1018</v>
      </c>
      <c r="D218" s="2" t="s">
        <v>834</v>
      </c>
      <c r="E218" s="2" t="s">
        <v>855</v>
      </c>
      <c r="F218" s="2" t="s">
        <v>991</v>
      </c>
      <c r="G218" s="2" t="s">
        <v>835</v>
      </c>
      <c r="H218" s="2" t="n">
        <f aca="false">COUNTIF('Anh xa'!$A$2:$A$581,A218)</f>
        <v>1</v>
      </c>
      <c r="I218" s="3" t="str">
        <f aca="false">IF(H218&gt;0,"Đã ánh xạ","THIẾU")</f>
        <v>Đã ánh xạ</v>
      </c>
      <c r="J218" s="7" t="s">
        <v>979</v>
      </c>
      <c r="K218" s="7"/>
    </row>
    <row r="219" customFormat="false" ht="15" hidden="false" customHeight="false" outlineLevel="0" collapsed="false">
      <c r="A219" s="2" t="s">
        <v>858</v>
      </c>
      <c r="B219" s="2" t="n">
        <v>2</v>
      </c>
      <c r="C219" s="2" t="s">
        <v>1018</v>
      </c>
      <c r="D219" s="2" t="s">
        <v>859</v>
      </c>
      <c r="E219" s="2"/>
      <c r="F219" s="2" t="s">
        <v>990</v>
      </c>
      <c r="G219" s="2"/>
      <c r="H219" s="2" t="n">
        <f aca="false">COUNTIF('Anh xa'!$A$2:$A$581,"A11.3")+COUNTIF('Anh xa'!$A$2:$A$581,"A11.3.*")</f>
        <v>6</v>
      </c>
      <c r="I219" s="3" t="str">
        <f aca="false">IF(H219&gt;0,"Đã ánh xạ","THIẾU")</f>
        <v>Đã ánh xạ</v>
      </c>
      <c r="J219" s="7" t="s">
        <v>979</v>
      </c>
      <c r="K219" s="7"/>
    </row>
    <row r="220" customFormat="false" ht="15" hidden="false" customHeight="false" outlineLevel="0" collapsed="false">
      <c r="A220" s="2" t="s">
        <v>860</v>
      </c>
      <c r="B220" s="2" t="n">
        <v>3</v>
      </c>
      <c r="C220" s="2" t="s">
        <v>1018</v>
      </c>
      <c r="D220" s="2" t="s">
        <v>859</v>
      </c>
      <c r="E220" s="2" t="s">
        <v>861</v>
      </c>
      <c r="F220" s="2" t="s">
        <v>996</v>
      </c>
      <c r="G220" s="2"/>
      <c r="H220" s="2" t="n">
        <f aca="false">COUNTIF('Anh xa'!$A$2:$A$581,A220)</f>
        <v>2</v>
      </c>
      <c r="I220" s="3" t="str">
        <f aca="false">IF(H220&gt;0,"Đã ánh xạ","THIẾU")</f>
        <v>Đã ánh xạ</v>
      </c>
      <c r="J220" s="7" t="s">
        <v>979</v>
      </c>
      <c r="K220" s="7"/>
    </row>
    <row r="221" customFormat="false" ht="15" hidden="false" customHeight="false" outlineLevel="0" collapsed="false">
      <c r="A221" s="2" t="s">
        <v>862</v>
      </c>
      <c r="B221" s="2" t="n">
        <v>3</v>
      </c>
      <c r="C221" s="2" t="s">
        <v>1018</v>
      </c>
      <c r="D221" s="2" t="s">
        <v>859</v>
      </c>
      <c r="E221" s="2" t="s">
        <v>863</v>
      </c>
      <c r="F221" s="2" t="s">
        <v>997</v>
      </c>
      <c r="G221" s="2"/>
      <c r="H221" s="2" t="n">
        <f aca="false">COUNTIF('Anh xa'!$A$2:$A$581,A221)</f>
        <v>2</v>
      </c>
      <c r="I221" s="3" t="str">
        <f aca="false">IF(H221&gt;0,"Đã ánh xạ","THIẾU")</f>
        <v>Đã ánh xạ</v>
      </c>
      <c r="J221" s="7" t="s">
        <v>979</v>
      </c>
      <c r="K221" s="7"/>
    </row>
    <row r="222" customFormat="false" ht="15" hidden="false" customHeight="false" outlineLevel="0" collapsed="false">
      <c r="A222" s="2" t="s">
        <v>864</v>
      </c>
      <c r="B222" s="2" t="n">
        <v>2</v>
      </c>
      <c r="C222" s="2" t="s">
        <v>1018</v>
      </c>
      <c r="D222" s="2" t="s">
        <v>865</v>
      </c>
      <c r="E222" s="2"/>
      <c r="F222" s="2" t="s">
        <v>990</v>
      </c>
      <c r="G222" s="2"/>
      <c r="H222" s="2" t="n">
        <f aca="false">COUNTIF('Anh xa'!$A$2:$A$581,"A11.4")+COUNTIF('Anh xa'!$A$2:$A$581,"A11.4.*")</f>
        <v>4</v>
      </c>
      <c r="I222" s="3" t="str">
        <f aca="false">IF(H222&gt;0,"Đã ánh xạ","THIẾU")</f>
        <v>Đã ánh xạ</v>
      </c>
      <c r="J222" s="7" t="s">
        <v>979</v>
      </c>
      <c r="K222" s="7"/>
    </row>
    <row r="223" customFormat="false" ht="23.85" hidden="false" customHeight="false" outlineLevel="0" collapsed="false">
      <c r="A223" s="2" t="s">
        <v>866</v>
      </c>
      <c r="B223" s="2" t="n">
        <v>3</v>
      </c>
      <c r="C223" s="2" t="s">
        <v>1018</v>
      </c>
      <c r="D223" s="2" t="s">
        <v>865</v>
      </c>
      <c r="E223" s="2" t="s">
        <v>867</v>
      </c>
      <c r="F223" s="2" t="s">
        <v>996</v>
      </c>
      <c r="G223" s="2"/>
      <c r="H223" s="2" t="n">
        <f aca="false">COUNTIF('Anh xa'!$A$2:$A$581,A223)</f>
        <v>3</v>
      </c>
      <c r="I223" s="3" t="str">
        <f aca="false">IF(H223&gt;0,"Đã ánh xạ","THIẾU")</f>
        <v>Đã ánh xạ</v>
      </c>
      <c r="J223" s="7" t="s">
        <v>979</v>
      </c>
      <c r="K223" s="7"/>
    </row>
    <row r="224" customFormat="false" ht="15" hidden="false" customHeight="false" outlineLevel="0" collapsed="false">
      <c r="A224" s="8" t="s">
        <v>1019</v>
      </c>
      <c r="B224" s="8" t="n">
        <v>1</v>
      </c>
      <c r="C224" s="8" t="s">
        <v>1020</v>
      </c>
      <c r="D224" s="2"/>
      <c r="E224" s="2"/>
      <c r="F224" s="2" t="s">
        <v>1021</v>
      </c>
      <c r="G224" s="2"/>
      <c r="H224" s="2" t="n">
        <f aca="false">COUNTIF('Anh xa'!$A$2:$A$581,"A12.*")</f>
        <v>20</v>
      </c>
      <c r="I224" s="3" t="str">
        <f aca="false">IF(H224&gt;0,"Đã ánh xạ","THIẾU")</f>
        <v>Đã ánh xạ</v>
      </c>
      <c r="J224" s="7" t="s">
        <v>979</v>
      </c>
      <c r="K224" s="7"/>
    </row>
    <row r="225" customFormat="false" ht="15" hidden="false" customHeight="false" outlineLevel="0" collapsed="false">
      <c r="A225" s="2" t="s">
        <v>870</v>
      </c>
      <c r="B225" s="2" t="n">
        <v>2</v>
      </c>
      <c r="C225" s="2" t="s">
        <v>1020</v>
      </c>
      <c r="D225" s="2" t="s">
        <v>871</v>
      </c>
      <c r="E225" s="2"/>
      <c r="F225" s="2" t="s">
        <v>990</v>
      </c>
      <c r="G225" s="2"/>
      <c r="H225" s="2" t="n">
        <f aca="false">COUNTIF('Anh xa'!$A$2:$A$581,"A12.1")+COUNTIF('Anh xa'!$A$2:$A$581,"A12.1.*")</f>
        <v>20</v>
      </c>
      <c r="I225" s="3" t="str">
        <f aca="false">IF(H225&gt;0,"Đã ánh xạ","THIẾU")</f>
        <v>Đã ánh xạ</v>
      </c>
      <c r="J225" s="7" t="s">
        <v>979</v>
      </c>
      <c r="K225" s="7"/>
    </row>
    <row r="226" customFormat="false" ht="23.85" hidden="false" customHeight="false" outlineLevel="0" collapsed="false">
      <c r="A226" s="2" t="s">
        <v>874</v>
      </c>
      <c r="B226" s="2" t="n">
        <v>3</v>
      </c>
      <c r="C226" s="2" t="s">
        <v>1020</v>
      </c>
      <c r="D226" s="2" t="s">
        <v>871</v>
      </c>
      <c r="E226" s="2" t="s">
        <v>875</v>
      </c>
      <c r="F226" s="2" t="s">
        <v>991</v>
      </c>
      <c r="G226" s="2"/>
      <c r="H226" s="2" t="n">
        <f aca="false">COUNTIF('Anh xa'!$A$2:$A$581,A226)</f>
        <v>2</v>
      </c>
      <c r="I226" s="3" t="str">
        <f aca="false">IF(H226&gt;0,"Đã ánh xạ","THIẾU")</f>
        <v>Đã ánh xạ</v>
      </c>
      <c r="J226" s="7" t="s">
        <v>979</v>
      </c>
      <c r="K226" s="7"/>
    </row>
    <row r="227" customFormat="false" ht="15" hidden="false" customHeight="false" outlineLevel="0" collapsed="false">
      <c r="A227" s="2" t="s">
        <v>876</v>
      </c>
      <c r="B227" s="2" t="n">
        <v>3</v>
      </c>
      <c r="C227" s="2" t="s">
        <v>1020</v>
      </c>
      <c r="D227" s="2" t="s">
        <v>871</v>
      </c>
      <c r="E227" s="2" t="s">
        <v>877</v>
      </c>
      <c r="F227" s="2" t="s">
        <v>996</v>
      </c>
      <c r="G227" s="2"/>
      <c r="H227" s="2" t="n">
        <f aca="false">COUNTIF('Anh xa'!$A$2:$A$581,A227)</f>
        <v>2</v>
      </c>
      <c r="I227" s="3" t="str">
        <f aca="false">IF(H227&gt;0,"Đã ánh xạ","THIẾU")</f>
        <v>Đã ánh xạ</v>
      </c>
      <c r="J227" s="7" t="s">
        <v>979</v>
      </c>
      <c r="K227" s="7"/>
    </row>
    <row r="228" customFormat="false" ht="15" hidden="false" customHeight="false" outlineLevel="0" collapsed="false">
      <c r="A228" s="2" t="s">
        <v>878</v>
      </c>
      <c r="B228" s="2" t="n">
        <v>3</v>
      </c>
      <c r="C228" s="2" t="s">
        <v>1020</v>
      </c>
      <c r="D228" s="2" t="s">
        <v>871</v>
      </c>
      <c r="E228" s="2" t="s">
        <v>879</v>
      </c>
      <c r="F228" s="2" t="s">
        <v>996</v>
      </c>
      <c r="G228" s="2"/>
      <c r="H228" s="2" t="n">
        <f aca="false">COUNTIF('Anh xa'!$A$2:$A$581,A228)</f>
        <v>1</v>
      </c>
      <c r="I228" s="3" t="str">
        <f aca="false">IF(H228&gt;0,"Đã ánh xạ","THIẾU")</f>
        <v>Đã ánh xạ</v>
      </c>
      <c r="J228" s="7" t="s">
        <v>979</v>
      </c>
      <c r="K228" s="7"/>
    </row>
    <row r="229" customFormat="false" ht="15" hidden="false" customHeight="false" outlineLevel="0" collapsed="false">
      <c r="A229" s="2" t="s">
        <v>880</v>
      </c>
      <c r="B229" s="2" t="n">
        <v>3</v>
      </c>
      <c r="C229" s="2" t="s">
        <v>1020</v>
      </c>
      <c r="D229" s="2" t="s">
        <v>871</v>
      </c>
      <c r="E229" s="2" t="s">
        <v>881</v>
      </c>
      <c r="F229" s="2" t="s">
        <v>991</v>
      </c>
      <c r="G229" s="2"/>
      <c r="H229" s="2" t="n">
        <f aca="false">COUNTIF('Anh xa'!$A$2:$A$581,A229)</f>
        <v>1</v>
      </c>
      <c r="I229" s="3" t="str">
        <f aca="false">IF(H229&gt;0,"Đã ánh xạ","THIẾU")</f>
        <v>Đã ánh xạ</v>
      </c>
      <c r="J229" s="7" t="s">
        <v>979</v>
      </c>
      <c r="K229" s="7"/>
    </row>
    <row r="230" customFormat="false" ht="15" hidden="false" customHeight="false" outlineLevel="0" collapsed="false">
      <c r="A230" s="2" t="s">
        <v>882</v>
      </c>
      <c r="B230" s="2" t="n">
        <v>3</v>
      </c>
      <c r="C230" s="2" t="s">
        <v>1020</v>
      </c>
      <c r="D230" s="2" t="s">
        <v>871</v>
      </c>
      <c r="E230" s="2" t="s">
        <v>883</v>
      </c>
      <c r="F230" s="2" t="s">
        <v>991</v>
      </c>
      <c r="G230" s="2"/>
      <c r="H230" s="2" t="n">
        <f aca="false">COUNTIF('Anh xa'!$A$2:$A$581,A230)</f>
        <v>1</v>
      </c>
      <c r="I230" s="3" t="str">
        <f aca="false">IF(H230&gt;0,"Đã ánh xạ","THIẾU")</f>
        <v>Đã ánh xạ</v>
      </c>
      <c r="J230" s="7" t="s">
        <v>979</v>
      </c>
      <c r="K230" s="7"/>
    </row>
    <row r="231" customFormat="false" ht="15" hidden="false" customHeight="false" outlineLevel="0" collapsed="false">
      <c r="A231" s="2" t="s">
        <v>884</v>
      </c>
      <c r="B231" s="2" t="n">
        <v>3</v>
      </c>
      <c r="C231" s="2" t="s">
        <v>1020</v>
      </c>
      <c r="D231" s="2" t="s">
        <v>871</v>
      </c>
      <c r="E231" s="2" t="s">
        <v>885</v>
      </c>
      <c r="F231" s="2" t="s">
        <v>991</v>
      </c>
      <c r="G231" s="2"/>
      <c r="H231" s="2" t="n">
        <f aca="false">COUNTIF('Anh xa'!$A$2:$A$581,A231)</f>
        <v>1</v>
      </c>
      <c r="I231" s="3" t="str">
        <f aca="false">IF(H231&gt;0,"Đã ánh xạ","THIẾU")</f>
        <v>Đã ánh xạ</v>
      </c>
      <c r="J231" s="7" t="s">
        <v>979</v>
      </c>
      <c r="K231" s="7"/>
    </row>
    <row r="232" customFormat="false" ht="15" hidden="false" customHeight="false" outlineLevel="0" collapsed="false">
      <c r="A232" s="2" t="s">
        <v>886</v>
      </c>
      <c r="B232" s="2" t="n">
        <v>3</v>
      </c>
      <c r="C232" s="2" t="s">
        <v>1020</v>
      </c>
      <c r="D232" s="2" t="s">
        <v>871</v>
      </c>
      <c r="E232" s="2" t="s">
        <v>887</v>
      </c>
      <c r="F232" s="2" t="s">
        <v>991</v>
      </c>
      <c r="G232" s="2"/>
      <c r="H232" s="2" t="n">
        <f aca="false">COUNTIF('Anh xa'!$A$2:$A$581,A232)</f>
        <v>1</v>
      </c>
      <c r="I232" s="3" t="str">
        <f aca="false">IF(H232&gt;0,"Đã ánh xạ","THIẾU")</f>
        <v>Đã ánh xạ</v>
      </c>
      <c r="J232" s="7" t="s">
        <v>979</v>
      </c>
      <c r="K232" s="7"/>
    </row>
    <row r="233" customFormat="false" ht="15" hidden="false" customHeight="false" outlineLevel="0" collapsed="false">
      <c r="A233" s="2" t="s">
        <v>888</v>
      </c>
      <c r="B233" s="2" t="n">
        <v>3</v>
      </c>
      <c r="C233" s="2" t="s">
        <v>1020</v>
      </c>
      <c r="D233" s="2" t="s">
        <v>871</v>
      </c>
      <c r="E233" s="2" t="s">
        <v>889</v>
      </c>
      <c r="F233" s="2" t="s">
        <v>991</v>
      </c>
      <c r="G233" s="2"/>
      <c r="H233" s="2" t="n">
        <f aca="false">COUNTIF('Anh xa'!$A$2:$A$581,A233)</f>
        <v>1</v>
      </c>
      <c r="I233" s="3" t="str">
        <f aca="false">IF(H233&gt;0,"Đã ánh xạ","THIẾU")</f>
        <v>Đã ánh xạ</v>
      </c>
      <c r="J233" s="7" t="s">
        <v>979</v>
      </c>
      <c r="K233" s="7"/>
    </row>
    <row r="234" customFormat="false" ht="15" hidden="false" customHeight="false" outlineLevel="0" collapsed="false">
      <c r="A234" s="2" t="s">
        <v>890</v>
      </c>
      <c r="B234" s="2" t="n">
        <v>3</v>
      </c>
      <c r="C234" s="2" t="s">
        <v>1020</v>
      </c>
      <c r="D234" s="2" t="s">
        <v>871</v>
      </c>
      <c r="E234" s="2" t="s">
        <v>891</v>
      </c>
      <c r="F234" s="2" t="s">
        <v>991</v>
      </c>
      <c r="G234" s="2"/>
      <c r="H234" s="2" t="n">
        <f aca="false">COUNTIF('Anh xa'!$A$2:$A$581,A234)</f>
        <v>1</v>
      </c>
      <c r="I234" s="3" t="str">
        <f aca="false">IF(H234&gt;0,"Đã ánh xạ","THIẾU")</f>
        <v>Đã ánh xạ</v>
      </c>
      <c r="J234" s="7" t="s">
        <v>979</v>
      </c>
      <c r="K234" s="7"/>
    </row>
    <row r="235" customFormat="false" ht="15" hidden="false" customHeight="false" outlineLevel="0" collapsed="false">
      <c r="A235" s="2" t="s">
        <v>892</v>
      </c>
      <c r="B235" s="2" t="n">
        <v>3</v>
      </c>
      <c r="C235" s="2" t="s">
        <v>1020</v>
      </c>
      <c r="D235" s="2" t="s">
        <v>871</v>
      </c>
      <c r="E235" s="2" t="s">
        <v>893</v>
      </c>
      <c r="F235" s="2" t="s">
        <v>991</v>
      </c>
      <c r="G235" s="2"/>
      <c r="H235" s="2" t="n">
        <f aca="false">COUNTIF('Anh xa'!$A$2:$A$581,A235)</f>
        <v>1</v>
      </c>
      <c r="I235" s="3" t="str">
        <f aca="false">IF(H235&gt;0,"Đã ánh xạ","THIẾU")</f>
        <v>Đã ánh xạ</v>
      </c>
      <c r="J235" s="7" t="s">
        <v>979</v>
      </c>
      <c r="K235" s="7"/>
    </row>
    <row r="236" customFormat="false" ht="15" hidden="false" customHeight="false" outlineLevel="0" collapsed="false">
      <c r="A236" s="2" t="s">
        <v>894</v>
      </c>
      <c r="B236" s="2" t="n">
        <v>3</v>
      </c>
      <c r="C236" s="2" t="s">
        <v>1020</v>
      </c>
      <c r="D236" s="2" t="s">
        <v>871</v>
      </c>
      <c r="E236" s="2" t="s">
        <v>895</v>
      </c>
      <c r="F236" s="2" t="s">
        <v>991</v>
      </c>
      <c r="G236" s="2"/>
      <c r="H236" s="2" t="n">
        <f aca="false">COUNTIF('Anh xa'!$A$2:$A$581,A236)</f>
        <v>1</v>
      </c>
      <c r="I236" s="3" t="str">
        <f aca="false">IF(H236&gt;0,"Đã ánh xạ","THIẾU")</f>
        <v>Đã ánh xạ</v>
      </c>
      <c r="J236" s="7" t="s">
        <v>979</v>
      </c>
      <c r="K236" s="7"/>
    </row>
    <row r="237" customFormat="false" ht="15" hidden="false" customHeight="false" outlineLevel="0" collapsed="false">
      <c r="A237" s="2" t="s">
        <v>896</v>
      </c>
      <c r="B237" s="2" t="n">
        <v>3</v>
      </c>
      <c r="C237" s="2" t="s">
        <v>1020</v>
      </c>
      <c r="D237" s="2" t="s">
        <v>871</v>
      </c>
      <c r="E237" s="2" t="s">
        <v>897</v>
      </c>
      <c r="F237" s="2" t="s">
        <v>991</v>
      </c>
      <c r="G237" s="2"/>
      <c r="H237" s="2" t="n">
        <f aca="false">COUNTIF('Anh xa'!$A$2:$A$581,A237)</f>
        <v>1</v>
      </c>
      <c r="I237" s="3" t="str">
        <f aca="false">IF(H237&gt;0,"Đã ánh xạ","THIẾU")</f>
        <v>Đã ánh xạ</v>
      </c>
      <c r="J237" s="7" t="s">
        <v>979</v>
      </c>
      <c r="K237" s="7"/>
    </row>
    <row r="238" customFormat="false" ht="15" hidden="false" customHeight="false" outlineLevel="0" collapsed="false">
      <c r="A238" s="2" t="s">
        <v>898</v>
      </c>
      <c r="B238" s="2" t="n">
        <v>3</v>
      </c>
      <c r="C238" s="2" t="s">
        <v>1020</v>
      </c>
      <c r="D238" s="2" t="s">
        <v>871</v>
      </c>
      <c r="E238" s="2" t="s">
        <v>899</v>
      </c>
      <c r="F238" s="2" t="s">
        <v>991</v>
      </c>
      <c r="G238" s="2"/>
      <c r="H238" s="2" t="n">
        <f aca="false">COUNTIF('Anh xa'!$A$2:$A$581,A238)</f>
        <v>1</v>
      </c>
      <c r="I238" s="3" t="str">
        <f aca="false">IF(H238&gt;0,"Đã ánh xạ","THIẾU")</f>
        <v>Đã ánh xạ</v>
      </c>
      <c r="J238" s="7" t="s">
        <v>979</v>
      </c>
      <c r="K238" s="7"/>
    </row>
    <row r="239" customFormat="false" ht="15" hidden="false" customHeight="false" outlineLevel="0" collapsed="false">
      <c r="A239" s="2" t="s">
        <v>900</v>
      </c>
      <c r="B239" s="2" t="n">
        <v>3</v>
      </c>
      <c r="C239" s="2" t="s">
        <v>1020</v>
      </c>
      <c r="D239" s="2" t="s">
        <v>871</v>
      </c>
      <c r="E239" s="2" t="s">
        <v>901</v>
      </c>
      <c r="F239" s="2" t="s">
        <v>991</v>
      </c>
      <c r="G239" s="2"/>
      <c r="H239" s="2" t="n">
        <f aca="false">COUNTIF('Anh xa'!$A$2:$A$581,A239)</f>
        <v>1</v>
      </c>
      <c r="I239" s="3" t="str">
        <f aca="false">IF(H239&gt;0,"Đã ánh xạ","THIẾU")</f>
        <v>Đã ánh xạ</v>
      </c>
      <c r="J239" s="7" t="s">
        <v>979</v>
      </c>
      <c r="K239" s="7"/>
    </row>
    <row r="240" customFormat="false" ht="15" hidden="false" customHeight="false" outlineLevel="0" collapsed="false">
      <c r="A240" s="2" t="s">
        <v>902</v>
      </c>
      <c r="B240" s="2" t="n">
        <v>3</v>
      </c>
      <c r="C240" s="2" t="s">
        <v>1020</v>
      </c>
      <c r="D240" s="2" t="s">
        <v>871</v>
      </c>
      <c r="E240" s="2" t="s">
        <v>903</v>
      </c>
      <c r="F240" s="2" t="s">
        <v>991</v>
      </c>
      <c r="G240" s="2"/>
      <c r="H240" s="2" t="n">
        <f aca="false">COUNTIF('Anh xa'!$A$2:$A$581,A240)</f>
        <v>1</v>
      </c>
      <c r="I240" s="3" t="str">
        <f aca="false">IF(H240&gt;0,"Đã ánh xạ","THIẾU")</f>
        <v>Đã ánh xạ</v>
      </c>
      <c r="J240" s="7" t="s">
        <v>979</v>
      </c>
      <c r="K240" s="7"/>
    </row>
    <row r="241" customFormat="false" ht="15" hidden="false" customHeight="false" outlineLevel="0" collapsed="false">
      <c r="A241" s="8" t="s">
        <v>1022</v>
      </c>
      <c r="B241" s="8" t="n">
        <v>1</v>
      </c>
      <c r="C241" s="8" t="s">
        <v>1023</v>
      </c>
      <c r="D241" s="2"/>
      <c r="E241" s="2"/>
      <c r="F241" s="2" t="s">
        <v>1024</v>
      </c>
      <c r="G241" s="2"/>
      <c r="H241" s="2" t="n">
        <f aca="false">COUNTIF('Anh xa'!$A$2:$A$581,"A13.*")</f>
        <v>31</v>
      </c>
      <c r="I241" s="3" t="str">
        <f aca="false">IF(H241&gt;0,"Đã ánh xạ","THIẾU")</f>
        <v>Đã ánh xạ</v>
      </c>
      <c r="J241" s="7" t="s">
        <v>979</v>
      </c>
      <c r="K241" s="7"/>
    </row>
    <row r="242" customFormat="false" ht="15" hidden="false" customHeight="false" outlineLevel="0" collapsed="false">
      <c r="A242" s="2" t="s">
        <v>904</v>
      </c>
      <c r="B242" s="2" t="n">
        <v>2</v>
      </c>
      <c r="C242" s="2" t="s">
        <v>1023</v>
      </c>
      <c r="D242" s="2" t="s">
        <v>905</v>
      </c>
      <c r="E242" s="2"/>
      <c r="F242" s="2" t="s">
        <v>990</v>
      </c>
      <c r="G242" s="2"/>
      <c r="H242" s="2" t="n">
        <f aca="false">COUNTIF('Anh xa'!$A$2:$A$581,"A13.1")+COUNTIF('Anh xa'!$A$2:$A$581,"A13.1.*")</f>
        <v>8</v>
      </c>
      <c r="I242" s="3" t="str">
        <f aca="false">IF(H242&gt;0,"Đã ánh xạ","THIẾU")</f>
        <v>Đã ánh xạ</v>
      </c>
      <c r="J242" s="7" t="s">
        <v>979</v>
      </c>
      <c r="K242" s="7"/>
    </row>
    <row r="243" customFormat="false" ht="15" hidden="false" customHeight="false" outlineLevel="0" collapsed="false">
      <c r="A243" s="2" t="s">
        <v>906</v>
      </c>
      <c r="B243" s="2" t="n">
        <v>3</v>
      </c>
      <c r="C243" s="2" t="s">
        <v>1023</v>
      </c>
      <c r="D243" s="2" t="s">
        <v>905</v>
      </c>
      <c r="E243" s="2" t="s">
        <v>907</v>
      </c>
      <c r="F243" s="2" t="s">
        <v>997</v>
      </c>
      <c r="G243" s="2"/>
      <c r="H243" s="2" t="n">
        <f aca="false">COUNTIF('Anh xa'!$A$2:$A$581,A243)</f>
        <v>2</v>
      </c>
      <c r="I243" s="3" t="str">
        <f aca="false">IF(H243&gt;0,"Đã ánh xạ","THIẾU")</f>
        <v>Đã ánh xạ</v>
      </c>
      <c r="J243" s="7" t="s">
        <v>979</v>
      </c>
      <c r="K243" s="7"/>
    </row>
    <row r="244" customFormat="false" ht="15" hidden="false" customHeight="false" outlineLevel="0" collapsed="false">
      <c r="A244" s="2" t="s">
        <v>908</v>
      </c>
      <c r="B244" s="2" t="n">
        <v>3</v>
      </c>
      <c r="C244" s="2" t="s">
        <v>1023</v>
      </c>
      <c r="D244" s="2" t="s">
        <v>905</v>
      </c>
      <c r="E244" s="2" t="s">
        <v>909</v>
      </c>
      <c r="F244" s="2" t="s">
        <v>997</v>
      </c>
      <c r="G244" s="2"/>
      <c r="H244" s="2" t="n">
        <f aca="false">COUNTIF('Anh xa'!$A$2:$A$581,A244)</f>
        <v>2</v>
      </c>
      <c r="I244" s="3" t="str">
        <f aca="false">IF(H244&gt;0,"Đã ánh xạ","THIẾU")</f>
        <v>Đã ánh xạ</v>
      </c>
      <c r="J244" s="7" t="s">
        <v>979</v>
      </c>
      <c r="K244" s="7"/>
    </row>
    <row r="245" customFormat="false" ht="15" hidden="false" customHeight="false" outlineLevel="0" collapsed="false">
      <c r="A245" s="2" t="s">
        <v>910</v>
      </c>
      <c r="B245" s="2" t="n">
        <v>3</v>
      </c>
      <c r="C245" s="2" t="s">
        <v>1023</v>
      </c>
      <c r="D245" s="2" t="s">
        <v>905</v>
      </c>
      <c r="E245" s="2" t="s">
        <v>911</v>
      </c>
      <c r="F245" s="2" t="s">
        <v>997</v>
      </c>
      <c r="G245" s="2"/>
      <c r="H245" s="2" t="n">
        <f aca="false">COUNTIF('Anh xa'!$A$2:$A$581,A245)</f>
        <v>2</v>
      </c>
      <c r="I245" s="3" t="str">
        <f aca="false">IF(H245&gt;0,"Đã ánh xạ","THIẾU")</f>
        <v>Đã ánh xạ</v>
      </c>
      <c r="J245" s="7" t="s">
        <v>979</v>
      </c>
      <c r="K245" s="7"/>
    </row>
    <row r="246" customFormat="false" ht="15" hidden="false" customHeight="false" outlineLevel="0" collapsed="false">
      <c r="A246" s="2" t="s">
        <v>912</v>
      </c>
      <c r="B246" s="2" t="n">
        <v>2</v>
      </c>
      <c r="C246" s="2" t="s">
        <v>1023</v>
      </c>
      <c r="D246" s="2" t="s">
        <v>913</v>
      </c>
      <c r="E246" s="2"/>
      <c r="F246" s="2" t="s">
        <v>990</v>
      </c>
      <c r="G246" s="2"/>
      <c r="H246" s="2" t="n">
        <f aca="false">COUNTIF('Anh xa'!$A$2:$A$581,"A13.2")+COUNTIF('Anh xa'!$A$2:$A$581,"A13.2.*")</f>
        <v>3</v>
      </c>
      <c r="I246" s="3" t="str">
        <f aca="false">IF(H246&gt;0,"Đã ánh xạ","THIẾU")</f>
        <v>Đã ánh xạ</v>
      </c>
      <c r="J246" s="7" t="s">
        <v>979</v>
      </c>
      <c r="K246" s="7"/>
    </row>
    <row r="247" customFormat="false" ht="15" hidden="false" customHeight="false" outlineLevel="0" collapsed="false">
      <c r="A247" s="2" t="s">
        <v>914</v>
      </c>
      <c r="B247" s="2" t="n">
        <v>3</v>
      </c>
      <c r="C247" s="2" t="s">
        <v>1023</v>
      </c>
      <c r="D247" s="2" t="s">
        <v>913</v>
      </c>
      <c r="E247" s="2" t="s">
        <v>915</v>
      </c>
      <c r="F247" s="2" t="s">
        <v>997</v>
      </c>
      <c r="G247" s="2"/>
      <c r="H247" s="2" t="n">
        <f aca="false">COUNTIF('Anh xa'!$A$2:$A$581,A247)</f>
        <v>2</v>
      </c>
      <c r="I247" s="3" t="str">
        <f aca="false">IF(H247&gt;0,"Đã ánh xạ","THIẾU")</f>
        <v>Đã ánh xạ</v>
      </c>
      <c r="J247" s="7" t="s">
        <v>979</v>
      </c>
      <c r="K247" s="7"/>
    </row>
    <row r="248" customFormat="false" ht="15" hidden="false" customHeight="false" outlineLevel="0" collapsed="false">
      <c r="A248" s="2" t="s">
        <v>916</v>
      </c>
      <c r="B248" s="2" t="n">
        <v>2</v>
      </c>
      <c r="C248" s="2" t="s">
        <v>1023</v>
      </c>
      <c r="D248" s="2" t="s">
        <v>917</v>
      </c>
      <c r="E248" s="2"/>
      <c r="F248" s="2" t="s">
        <v>990</v>
      </c>
      <c r="G248" s="2"/>
      <c r="H248" s="2" t="n">
        <f aca="false">COUNTIF('Anh xa'!$A$2:$A$581,"A13.3")+COUNTIF('Anh xa'!$A$2:$A$581,"A13.3.*")</f>
        <v>5</v>
      </c>
      <c r="I248" s="3" t="str">
        <f aca="false">IF(H248&gt;0,"Đã ánh xạ","THIẾU")</f>
        <v>Đã ánh xạ</v>
      </c>
      <c r="J248" s="7" t="s">
        <v>979</v>
      </c>
      <c r="K248" s="7"/>
    </row>
    <row r="249" customFormat="false" ht="15" hidden="false" customHeight="false" outlineLevel="0" collapsed="false">
      <c r="A249" s="2" t="s">
        <v>922</v>
      </c>
      <c r="B249" s="2" t="n">
        <v>3</v>
      </c>
      <c r="C249" s="2" t="s">
        <v>1023</v>
      </c>
      <c r="D249" s="2" t="s">
        <v>917</v>
      </c>
      <c r="E249" s="2" t="s">
        <v>923</v>
      </c>
      <c r="F249" s="2" t="s">
        <v>997</v>
      </c>
      <c r="G249" s="2"/>
      <c r="H249" s="2" t="n">
        <f aca="false">COUNTIF('Anh xa'!$A$2:$A$581,A249)</f>
        <v>3</v>
      </c>
      <c r="I249" s="3" t="str">
        <f aca="false">IF(H249&gt;0,"Đã ánh xạ","THIẾU")</f>
        <v>Đã ánh xạ</v>
      </c>
      <c r="J249" s="7" t="s">
        <v>979</v>
      </c>
      <c r="K249" s="7"/>
    </row>
    <row r="250" customFormat="false" ht="23.85" hidden="false" customHeight="false" outlineLevel="0" collapsed="false">
      <c r="A250" s="2" t="s">
        <v>924</v>
      </c>
      <c r="B250" s="2" t="n">
        <v>2</v>
      </c>
      <c r="C250" s="2" t="s">
        <v>1023</v>
      </c>
      <c r="D250" s="2" t="s">
        <v>925</v>
      </c>
      <c r="E250" s="2"/>
      <c r="F250" s="2" t="s">
        <v>990</v>
      </c>
      <c r="G250" s="2"/>
      <c r="H250" s="2" t="n">
        <f aca="false">COUNTIF('Anh xa'!$A$2:$A$581,"A13.5")+COUNTIF('Anh xa'!$A$2:$A$581,"A13.5.*")</f>
        <v>10</v>
      </c>
      <c r="I250" s="3" t="str">
        <f aca="false">IF(H250&gt;0,"Đã ánh xạ","THIẾU")</f>
        <v>Đã ánh xạ</v>
      </c>
      <c r="J250" s="7" t="s">
        <v>979</v>
      </c>
      <c r="K250" s="7"/>
    </row>
    <row r="251" customFormat="false" ht="23.85" hidden="false" customHeight="false" outlineLevel="0" collapsed="false">
      <c r="A251" s="2" t="s">
        <v>930</v>
      </c>
      <c r="B251" s="2" t="n">
        <v>3</v>
      </c>
      <c r="C251" s="2" t="s">
        <v>1023</v>
      </c>
      <c r="D251" s="2" t="s">
        <v>925</v>
      </c>
      <c r="E251" s="2" t="s">
        <v>931</v>
      </c>
      <c r="F251" s="2" t="s">
        <v>991</v>
      </c>
      <c r="G251" s="2"/>
      <c r="H251" s="2" t="n">
        <f aca="false">COUNTIF('Anh xa'!$A$2:$A$581,A251)</f>
        <v>5</v>
      </c>
      <c r="I251" s="3" t="str">
        <f aca="false">IF(H251&gt;0,"Đã ánh xạ","THIẾU")</f>
        <v>Đã ánh xạ</v>
      </c>
      <c r="J251" s="7" t="s">
        <v>979</v>
      </c>
      <c r="K251" s="7"/>
    </row>
    <row r="252" customFormat="false" ht="23.85" hidden="false" customHeight="false" outlineLevel="0" collapsed="false">
      <c r="A252" s="2" t="s">
        <v>936</v>
      </c>
      <c r="B252" s="2" t="n">
        <v>3</v>
      </c>
      <c r="C252" s="2" t="s">
        <v>1023</v>
      </c>
      <c r="D252" s="2" t="s">
        <v>925</v>
      </c>
      <c r="E252" s="2" t="s">
        <v>937</v>
      </c>
      <c r="F252" s="2" t="s">
        <v>996</v>
      </c>
      <c r="G252" s="2"/>
      <c r="H252" s="2" t="n">
        <f aca="false">COUNTIF('Anh xa'!$A$2:$A$581,A252)</f>
        <v>2</v>
      </c>
      <c r="I252" s="3" t="str">
        <f aca="false">IF(H252&gt;0,"Đã ánh xạ","THIẾU")</f>
        <v>Đã ánh xạ</v>
      </c>
      <c r="J252" s="7" t="s">
        <v>979</v>
      </c>
      <c r="K252" s="7"/>
    </row>
    <row r="253" customFormat="false" ht="15" hidden="false" customHeight="false" outlineLevel="0" collapsed="false">
      <c r="A253" s="2" t="s">
        <v>938</v>
      </c>
      <c r="B253" s="2" t="n">
        <v>2</v>
      </c>
      <c r="C253" s="2" t="s">
        <v>1023</v>
      </c>
      <c r="D253" s="2" t="s">
        <v>939</v>
      </c>
      <c r="E253" s="2"/>
      <c r="F253" s="2" t="s">
        <v>990</v>
      </c>
      <c r="G253" s="2"/>
      <c r="H253" s="2" t="n">
        <f aca="false">COUNTIF('Anh xa'!$A$2:$A$581,"A13.4")+COUNTIF('Anh xa'!$A$2:$A$581,"A13.4.*")</f>
        <v>5</v>
      </c>
      <c r="I253" s="3" t="str">
        <f aca="false">IF(H253&gt;0,"Đã ánh xạ","THIẾU")</f>
        <v>Đã ánh xạ</v>
      </c>
      <c r="J253" s="7" t="s">
        <v>979</v>
      </c>
      <c r="K253" s="7"/>
    </row>
    <row r="254" customFormat="false" ht="15" hidden="false" customHeight="false" outlineLevel="0" collapsed="false">
      <c r="A254" s="2" t="s">
        <v>940</v>
      </c>
      <c r="B254" s="2" t="n">
        <v>3</v>
      </c>
      <c r="C254" s="2" t="s">
        <v>1023</v>
      </c>
      <c r="D254" s="2" t="s">
        <v>939</v>
      </c>
      <c r="E254" s="2" t="s">
        <v>941</v>
      </c>
      <c r="F254" s="2" t="s">
        <v>997</v>
      </c>
      <c r="G254" s="2"/>
      <c r="H254" s="2" t="n">
        <f aca="false">COUNTIF('Anh xa'!$A$2:$A$581,A254)</f>
        <v>3</v>
      </c>
      <c r="I254" s="3" t="str">
        <f aca="false">IF(H254&gt;0,"Đã ánh xạ","THIẾU")</f>
        <v>Đã ánh xạ</v>
      </c>
      <c r="J254" s="7" t="s">
        <v>979</v>
      </c>
      <c r="K254" s="7"/>
    </row>
    <row r="255" customFormat="false" ht="15" hidden="false" customHeight="false" outlineLevel="0" collapsed="false">
      <c r="A255" s="8" t="s">
        <v>1025</v>
      </c>
      <c r="B255" s="8" t="n">
        <v>1</v>
      </c>
      <c r="C255" s="8" t="s">
        <v>1026</v>
      </c>
      <c r="D255" s="2"/>
      <c r="E255" s="2"/>
      <c r="F255" s="2" t="s">
        <v>995</v>
      </c>
      <c r="G255" s="2"/>
      <c r="H255" s="2" t="n">
        <f aca="false">COUNTIF('Anh xa'!$A$2:$A$581,"A14.*")</f>
        <v>32</v>
      </c>
      <c r="I255" s="3" t="str">
        <f aca="false">IF(H255&gt;0,"Đã ánh xạ","THIẾU")</f>
        <v>Đã ánh xạ</v>
      </c>
      <c r="J255" s="7" t="s">
        <v>979</v>
      </c>
      <c r="K255" s="7"/>
    </row>
    <row r="256" customFormat="false" ht="15" hidden="false" customHeight="false" outlineLevel="0" collapsed="false">
      <c r="A256" s="2" t="s">
        <v>942</v>
      </c>
      <c r="B256" s="2" t="n">
        <v>2</v>
      </c>
      <c r="C256" s="2" t="s">
        <v>1026</v>
      </c>
      <c r="D256" s="2" t="s">
        <v>943</v>
      </c>
      <c r="E256" s="2"/>
      <c r="F256" s="2" t="s">
        <v>990</v>
      </c>
      <c r="G256" s="2"/>
      <c r="H256" s="2" t="n">
        <f aca="false">COUNTIF('Anh xa'!$A$2:$A$581,"A14.1")+COUNTIF('Anh xa'!$A$2:$A$581,"A14.1.*")</f>
        <v>8</v>
      </c>
      <c r="I256" s="3" t="str">
        <f aca="false">IF(H256&gt;0,"Đã ánh xạ","THIẾU")</f>
        <v>Đã ánh xạ</v>
      </c>
      <c r="J256" s="7" t="s">
        <v>979</v>
      </c>
      <c r="K256" s="7"/>
    </row>
    <row r="257" customFormat="false" ht="15" hidden="false" customHeight="false" outlineLevel="0" collapsed="false">
      <c r="A257" s="2" t="s">
        <v>944</v>
      </c>
      <c r="B257" s="2" t="n">
        <v>3</v>
      </c>
      <c r="C257" s="2" t="s">
        <v>1026</v>
      </c>
      <c r="D257" s="2" t="s">
        <v>943</v>
      </c>
      <c r="E257" s="2" t="s">
        <v>945</v>
      </c>
      <c r="F257" s="2" t="s">
        <v>996</v>
      </c>
      <c r="G257" s="2"/>
      <c r="H257" s="2" t="n">
        <f aca="false">COUNTIF('Anh xa'!$A$2:$A$581,A257)</f>
        <v>2</v>
      </c>
      <c r="I257" s="3" t="str">
        <f aca="false">IF(H257&gt;0,"Đã ánh xạ","THIẾU")</f>
        <v>Đã ánh xạ</v>
      </c>
      <c r="J257" s="7" t="s">
        <v>979</v>
      </c>
      <c r="K257" s="7"/>
    </row>
    <row r="258" customFormat="false" ht="23.85" hidden="false" customHeight="false" outlineLevel="0" collapsed="false">
      <c r="A258" s="2" t="s">
        <v>946</v>
      </c>
      <c r="B258" s="2" t="n">
        <v>3</v>
      </c>
      <c r="C258" s="2" t="s">
        <v>1026</v>
      </c>
      <c r="D258" s="2" t="s">
        <v>943</v>
      </c>
      <c r="E258" s="2" t="s">
        <v>947</v>
      </c>
      <c r="F258" s="2" t="s">
        <v>991</v>
      </c>
      <c r="G258" s="2"/>
      <c r="H258" s="2" t="n">
        <f aca="false">COUNTIF('Anh xa'!$A$2:$A$581,A258)</f>
        <v>3</v>
      </c>
      <c r="I258" s="3" t="str">
        <f aca="false">IF(H258&gt;0,"Đã ánh xạ","THIẾU")</f>
        <v>Đã ánh xạ</v>
      </c>
      <c r="J258" s="7" t="s">
        <v>979</v>
      </c>
      <c r="K258" s="7"/>
    </row>
    <row r="259" customFormat="false" ht="15" hidden="false" customHeight="false" outlineLevel="0" collapsed="false">
      <c r="A259" s="2" t="s">
        <v>948</v>
      </c>
      <c r="B259" s="2" t="n">
        <v>3</v>
      </c>
      <c r="C259" s="2" t="s">
        <v>1026</v>
      </c>
      <c r="D259" s="2" t="s">
        <v>943</v>
      </c>
      <c r="E259" s="2" t="s">
        <v>949</v>
      </c>
      <c r="F259" s="2" t="s">
        <v>996</v>
      </c>
      <c r="G259" s="2"/>
      <c r="H259" s="2" t="n">
        <f aca="false">COUNTIF('Anh xa'!$A$2:$A$581,A259)</f>
        <v>2</v>
      </c>
      <c r="I259" s="3" t="str">
        <f aca="false">IF(H259&gt;0,"Đã ánh xạ","THIẾU")</f>
        <v>Đã ánh xạ</v>
      </c>
      <c r="J259" s="7" t="s">
        <v>979</v>
      </c>
      <c r="K259" s="7"/>
    </row>
    <row r="260" customFormat="false" ht="15" hidden="false" customHeight="false" outlineLevel="0" collapsed="false">
      <c r="A260" s="2" t="s">
        <v>950</v>
      </c>
      <c r="B260" s="2" t="n">
        <v>2</v>
      </c>
      <c r="C260" s="2" t="s">
        <v>1026</v>
      </c>
      <c r="D260" s="2" t="s">
        <v>951</v>
      </c>
      <c r="E260" s="2"/>
      <c r="F260" s="2" t="s">
        <v>990</v>
      </c>
      <c r="G260" s="2"/>
      <c r="H260" s="2" t="n">
        <f aca="false">COUNTIF('Anh xa'!$A$2:$A$581,"A14.2")+COUNTIF('Anh xa'!$A$2:$A$581,"A14.2.*")</f>
        <v>7</v>
      </c>
      <c r="I260" s="3" t="str">
        <f aca="false">IF(H260&gt;0,"Đã ánh xạ","THIẾU")</f>
        <v>Đã ánh xạ</v>
      </c>
      <c r="J260" s="7" t="s">
        <v>979</v>
      </c>
      <c r="K260" s="7"/>
    </row>
    <row r="261" customFormat="false" ht="23.85" hidden="false" customHeight="false" outlineLevel="0" collapsed="false">
      <c r="A261" s="2" t="s">
        <v>954</v>
      </c>
      <c r="B261" s="2" t="n">
        <v>3</v>
      </c>
      <c r="C261" s="2" t="s">
        <v>1026</v>
      </c>
      <c r="D261" s="2" t="s">
        <v>951</v>
      </c>
      <c r="E261" s="2" t="s">
        <v>955</v>
      </c>
      <c r="F261" s="2" t="s">
        <v>997</v>
      </c>
      <c r="G261" s="2"/>
      <c r="H261" s="2" t="n">
        <f aca="false">COUNTIF('Anh xa'!$A$2:$A$581,A261)</f>
        <v>3</v>
      </c>
      <c r="I261" s="3" t="str">
        <f aca="false">IF(H261&gt;0,"Đã ánh xạ","THIẾU")</f>
        <v>Đã ánh xạ</v>
      </c>
      <c r="J261" s="7" t="s">
        <v>979</v>
      </c>
      <c r="K261" s="7"/>
    </row>
    <row r="262" customFormat="false" ht="15" hidden="false" customHeight="false" outlineLevel="0" collapsed="false">
      <c r="A262" s="2" t="s">
        <v>958</v>
      </c>
      <c r="B262" s="2" t="n">
        <v>3</v>
      </c>
      <c r="C262" s="2" t="s">
        <v>1026</v>
      </c>
      <c r="D262" s="2" t="s">
        <v>951</v>
      </c>
      <c r="E262" s="2" t="s">
        <v>959</v>
      </c>
      <c r="F262" s="2" t="s">
        <v>991</v>
      </c>
      <c r="G262" s="2"/>
      <c r="H262" s="2" t="n">
        <f aca="false">COUNTIF('Anh xa'!$A$2:$A$581,A262)</f>
        <v>3</v>
      </c>
      <c r="I262" s="3" t="str">
        <f aca="false">IF(H262&gt;0,"Đã ánh xạ","THIẾU")</f>
        <v>Đã ánh xạ</v>
      </c>
      <c r="J262" s="7" t="s">
        <v>979</v>
      </c>
      <c r="K262" s="7"/>
    </row>
    <row r="263" customFormat="false" ht="15" hidden="false" customHeight="false" outlineLevel="0" collapsed="false">
      <c r="A263" s="2" t="s">
        <v>960</v>
      </c>
      <c r="B263" s="2" t="n">
        <v>2</v>
      </c>
      <c r="C263" s="2" t="s">
        <v>1026</v>
      </c>
      <c r="D263" s="2" t="s">
        <v>961</v>
      </c>
      <c r="E263" s="2"/>
      <c r="F263" s="2" t="s">
        <v>990</v>
      </c>
      <c r="G263" s="2"/>
      <c r="H263" s="2" t="n">
        <f aca="false">COUNTIF('Anh xa'!$A$2:$A$581,"A14.3")+COUNTIF('Anh xa'!$A$2:$A$581,"A14.3.*")</f>
        <v>7</v>
      </c>
      <c r="I263" s="3" t="str">
        <f aca="false">IF(H263&gt;0,"Đã ánh xạ","THIẾU")</f>
        <v>Đã ánh xạ</v>
      </c>
      <c r="J263" s="7" t="s">
        <v>979</v>
      </c>
      <c r="K263" s="7"/>
    </row>
    <row r="264" customFormat="false" ht="15" hidden="false" customHeight="false" outlineLevel="0" collapsed="false">
      <c r="A264" s="2" t="s">
        <v>962</v>
      </c>
      <c r="B264" s="2" t="n">
        <v>3</v>
      </c>
      <c r="C264" s="2" t="s">
        <v>1026</v>
      </c>
      <c r="D264" s="2" t="s">
        <v>961</v>
      </c>
      <c r="E264" s="2" t="s">
        <v>963</v>
      </c>
      <c r="F264" s="2" t="s">
        <v>991</v>
      </c>
      <c r="G264" s="2"/>
      <c r="H264" s="2" t="n">
        <f aca="false">COUNTIF('Anh xa'!$A$2:$A$581,A264)</f>
        <v>2</v>
      </c>
      <c r="I264" s="3" t="str">
        <f aca="false">IF(H264&gt;0,"Đã ánh xạ","THIẾU")</f>
        <v>Đã ánh xạ</v>
      </c>
      <c r="J264" s="7" t="s">
        <v>979</v>
      </c>
      <c r="K264" s="7"/>
    </row>
    <row r="265" customFormat="false" ht="15" hidden="false" customHeight="false" outlineLevel="0" collapsed="false">
      <c r="A265" s="2" t="s">
        <v>964</v>
      </c>
      <c r="B265" s="2" t="n">
        <v>3</v>
      </c>
      <c r="C265" s="2" t="s">
        <v>1026</v>
      </c>
      <c r="D265" s="2" t="s">
        <v>961</v>
      </c>
      <c r="E265" s="2" t="s">
        <v>965</v>
      </c>
      <c r="F265" s="2" t="s">
        <v>997</v>
      </c>
      <c r="G265" s="2"/>
      <c r="H265" s="2" t="n">
        <f aca="false">COUNTIF('Anh xa'!$A$2:$A$581,A265)</f>
        <v>3</v>
      </c>
      <c r="I265" s="3" t="str">
        <f aca="false">IF(H265&gt;0,"Đã ánh xạ","THIẾU")</f>
        <v>Đã ánh xạ</v>
      </c>
      <c r="J265" s="7" t="s">
        <v>979</v>
      </c>
      <c r="K265" s="7"/>
    </row>
    <row r="266" customFormat="false" ht="15" hidden="false" customHeight="false" outlineLevel="0" collapsed="false">
      <c r="A266" s="2" t="s">
        <v>966</v>
      </c>
      <c r="B266" s="2" t="n">
        <v>2</v>
      </c>
      <c r="C266" s="2" t="s">
        <v>1026</v>
      </c>
      <c r="D266" s="2" t="s">
        <v>232</v>
      </c>
      <c r="E266" s="2"/>
      <c r="F266" s="2" t="s">
        <v>990</v>
      </c>
      <c r="G266" s="2" t="s">
        <v>231</v>
      </c>
      <c r="H266" s="2" t="n">
        <f aca="false">COUNTIF('Anh xa'!$A$2:$A$581,"A14.4")+COUNTIF('Anh xa'!$A$2:$A$581,"A14.4.*")</f>
        <v>6</v>
      </c>
      <c r="I266" s="3" t="str">
        <f aca="false">IF(H266&gt;0,"Đã ánh xạ","THIẾU")</f>
        <v>Đã ánh xạ</v>
      </c>
      <c r="J266" s="7" t="s">
        <v>979</v>
      </c>
      <c r="K266" s="7"/>
    </row>
    <row r="267" customFormat="false" ht="15" hidden="false" customHeight="false" outlineLevel="0" collapsed="false">
      <c r="A267" s="2" t="s">
        <v>967</v>
      </c>
      <c r="B267" s="2" t="n">
        <v>3</v>
      </c>
      <c r="C267" s="2" t="s">
        <v>1026</v>
      </c>
      <c r="D267" s="2" t="s">
        <v>232</v>
      </c>
      <c r="E267" s="2" t="s">
        <v>968</v>
      </c>
      <c r="F267" s="2" t="s">
        <v>991</v>
      </c>
      <c r="G267" s="2" t="s">
        <v>231</v>
      </c>
      <c r="H267" s="2" t="n">
        <f aca="false">COUNTIF('Anh xa'!$A$2:$A$581,A267)</f>
        <v>2</v>
      </c>
      <c r="I267" s="3" t="str">
        <f aca="false">IF(H267&gt;0,"Đã ánh xạ","THIẾU")</f>
        <v>Đã ánh xạ</v>
      </c>
      <c r="J267" s="7" t="s">
        <v>979</v>
      </c>
      <c r="K267" s="7"/>
    </row>
    <row r="268" customFormat="false" ht="15" hidden="false" customHeight="false" outlineLevel="0" collapsed="false">
      <c r="A268" s="2" t="s">
        <v>969</v>
      </c>
      <c r="B268" s="2" t="n">
        <v>3</v>
      </c>
      <c r="C268" s="2" t="s">
        <v>1026</v>
      </c>
      <c r="D268" s="2" t="s">
        <v>232</v>
      </c>
      <c r="E268" s="2" t="s">
        <v>970</v>
      </c>
      <c r="F268" s="2" t="s">
        <v>997</v>
      </c>
      <c r="G268" s="2" t="s">
        <v>231</v>
      </c>
      <c r="H268" s="2" t="n">
        <f aca="false">COUNTIF('Anh xa'!$A$2:$A$581,A268)</f>
        <v>2</v>
      </c>
      <c r="I268" s="3" t="str">
        <f aca="false">IF(H268&gt;0,"Đã ánh xạ","THIẾU")</f>
        <v>Đã ánh xạ</v>
      </c>
      <c r="J268" s="7" t="s">
        <v>979</v>
      </c>
      <c r="K268" s="7"/>
    </row>
    <row r="269" customFormat="false" ht="15" hidden="false" customHeight="false" outlineLevel="0" collapsed="false">
      <c r="A269" s="2" t="s">
        <v>971</v>
      </c>
      <c r="B269" s="2" t="n">
        <v>2</v>
      </c>
      <c r="C269" s="2" t="s">
        <v>1026</v>
      </c>
      <c r="D269" s="2" t="s">
        <v>413</v>
      </c>
      <c r="E269" s="2"/>
      <c r="F269" s="2" t="s">
        <v>990</v>
      </c>
      <c r="G269" s="2"/>
      <c r="H269" s="2" t="n">
        <f aca="false">COUNTIF('Anh xa'!$A$2:$A$581,"A14.5")+COUNTIF('Anh xa'!$A$2:$A$581,"A14.5.*")</f>
        <v>4</v>
      </c>
      <c r="I269" s="3" t="str">
        <f aca="false">IF(H269&gt;0,"Đã ánh xạ","THIẾU")</f>
        <v>Đã ánh xạ</v>
      </c>
      <c r="J269" s="7" t="s">
        <v>979</v>
      </c>
      <c r="K269" s="7"/>
    </row>
    <row r="270" customFormat="false" ht="15" hidden="false" customHeight="false" outlineLevel="0" collapsed="false">
      <c r="A270" s="2" t="s">
        <v>972</v>
      </c>
      <c r="B270" s="2" t="n">
        <v>3</v>
      </c>
      <c r="C270" s="2" t="s">
        <v>1026</v>
      </c>
      <c r="D270" s="2" t="s">
        <v>413</v>
      </c>
      <c r="E270" s="2" t="s">
        <v>973</v>
      </c>
      <c r="F270" s="2" t="s">
        <v>996</v>
      </c>
      <c r="G270" s="2"/>
      <c r="H270" s="2" t="n">
        <f aca="false">COUNTIF('Anh xa'!$A$2:$A$581,A270)</f>
        <v>3</v>
      </c>
      <c r="I270" s="3" t="str">
        <f aca="false">IF(H270&gt;0,"Đã ánh xạ","THIẾU")</f>
        <v>Đã ánh xạ</v>
      </c>
      <c r="J270" s="7" t="s">
        <v>979</v>
      </c>
      <c r="K270" s="7"/>
    </row>
  </sheetData>
  <conditionalFormatting sqref="I2:I270">
    <cfRule type="cellIs" priority="2" operator="equal" aboveAverage="0" equalAverage="0" bottom="0" percent="0" rank="0" text="" dxfId="0">
      <formula>"THIẾU"</formula>
    </cfRule>
    <cfRule type="cellIs" priority="3" operator="equal" aboveAverage="0" equalAverage="0" bottom="0" percent="0" rank="0" text="" dxfId="1">
      <formula>"Đã ánh xạ"</formula>
    </cfRule>
  </conditionalFormatting>
  <dataValidations count="1">
    <dataValidation allowBlank="true" errorStyle="stop" operator="between" showDropDown="false" showErrorMessage="false" showInputMessage="false" sqref="J2:J270" type="list">
      <formula1>"Chưa làm,Đang làm,Đã làm"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4" min="3" style="0" width="60"/>
    <col collapsed="false" customWidth="true" hidden="false" outlineLevel="0" max="5" min="5" style="0" width="10"/>
    <col collapsed="false" customWidth="true" hidden="false" outlineLevel="0" max="6" min="6" style="0" width="12"/>
    <col collapsed="false" customWidth="true" hidden="false" outlineLevel="0" max="7" min="7" style="0" width="8"/>
  </cols>
  <sheetData>
    <row r="1" customFormat="false" ht="30" hidden="false" customHeight="true" outlineLevel="0" collapsed="false">
      <c r="A1" s="1" t="s">
        <v>35</v>
      </c>
      <c r="B1" s="1" t="s">
        <v>974</v>
      </c>
      <c r="C1" s="1" t="s">
        <v>975</v>
      </c>
      <c r="D1" s="1" t="s">
        <v>1027</v>
      </c>
      <c r="E1" s="1" t="s">
        <v>1028</v>
      </c>
      <c r="F1" s="1" t="s">
        <v>1029</v>
      </c>
      <c r="G1" s="1" t="s">
        <v>1030</v>
      </c>
    </row>
    <row r="2" customFormat="false" ht="23.85" hidden="false" customHeight="false" outlineLevel="0" collapsed="false">
      <c r="A2" s="2" t="s">
        <v>402</v>
      </c>
      <c r="B2" s="2" t="s">
        <v>47</v>
      </c>
      <c r="C2" s="2" t="s">
        <v>403</v>
      </c>
      <c r="D2" s="2" t="s">
        <v>1031</v>
      </c>
      <c r="E2" s="2" t="n">
        <v>12</v>
      </c>
      <c r="F2" s="2" t="n">
        <f aca="false">SUMPRODUCT(('Anh xa'!$D$2:$D$581=A2)*1)</f>
        <v>12</v>
      </c>
      <c r="G2" s="2" t="str">
        <f aca="false">IF(AND(F2&gt;0,F2=E2),"✓","THIẾU")</f>
        <v>✓</v>
      </c>
    </row>
    <row r="3" customFormat="false" ht="15" hidden="false" customHeight="false" outlineLevel="0" collapsed="false">
      <c r="A3" s="2" t="s">
        <v>82</v>
      </c>
      <c r="B3" s="2" t="s">
        <v>47</v>
      </c>
      <c r="C3" s="2" t="s">
        <v>83</v>
      </c>
      <c r="D3" s="2" t="s">
        <v>1032</v>
      </c>
      <c r="E3" s="2" t="n">
        <v>5</v>
      </c>
      <c r="F3" s="2" t="n">
        <f aca="false">SUMPRODUCT(('Anh xa'!$D$2:$D$581=A3)*1)</f>
        <v>5</v>
      </c>
      <c r="G3" s="2" t="str">
        <f aca="false">IF(AND(F3&gt;0,F3=E3),"✓","THIẾU")</f>
        <v>✓</v>
      </c>
    </row>
    <row r="4" customFormat="false" ht="15" hidden="false" customHeight="false" outlineLevel="0" collapsed="false">
      <c r="A4" s="2" t="s">
        <v>46</v>
      </c>
      <c r="B4" s="2" t="s">
        <v>47</v>
      </c>
      <c r="C4" s="2" t="s">
        <v>48</v>
      </c>
      <c r="D4" s="2" t="s">
        <v>1033</v>
      </c>
      <c r="E4" s="2" t="n">
        <v>4</v>
      </c>
      <c r="F4" s="2" t="n">
        <f aca="false">SUMPRODUCT(('Anh xa'!$D$2:$D$581=A4)*1)</f>
        <v>4</v>
      </c>
      <c r="G4" s="2" t="str">
        <f aca="false">IF(AND(F4&gt;0,F4=E4),"✓","THIẾU")</f>
        <v>✓</v>
      </c>
    </row>
    <row r="5" customFormat="false" ht="15" hidden="false" customHeight="false" outlineLevel="0" collapsed="false">
      <c r="A5" s="2" t="s">
        <v>176</v>
      </c>
      <c r="B5" s="2" t="s">
        <v>47</v>
      </c>
      <c r="C5" s="2" t="s">
        <v>177</v>
      </c>
      <c r="D5" s="2" t="s">
        <v>1034</v>
      </c>
      <c r="E5" s="2" t="n">
        <v>6</v>
      </c>
      <c r="F5" s="2" t="n">
        <f aca="false">SUMPRODUCT(('Anh xa'!$D$2:$D$581=A5)*1)</f>
        <v>6</v>
      </c>
      <c r="G5" s="2" t="str">
        <f aca="false">IF(AND(F5&gt;0,F5=E5),"✓","THIẾU")</f>
        <v>✓</v>
      </c>
    </row>
    <row r="6" customFormat="false" ht="15" hidden="false" customHeight="false" outlineLevel="0" collapsed="false">
      <c r="A6" s="2" t="s">
        <v>265</v>
      </c>
      <c r="B6" s="2" t="s">
        <v>47</v>
      </c>
      <c r="C6" s="2" t="s">
        <v>266</v>
      </c>
      <c r="D6" s="2" t="s">
        <v>1035</v>
      </c>
      <c r="E6" s="2" t="n">
        <v>5</v>
      </c>
      <c r="F6" s="2" t="n">
        <f aca="false">SUMPRODUCT(('Anh xa'!$D$2:$D$581=A6)*1)</f>
        <v>5</v>
      </c>
      <c r="G6" s="2" t="str">
        <f aca="false">IF(AND(F6&gt;0,F6=E6),"✓","THIẾU")</f>
        <v>✓</v>
      </c>
    </row>
    <row r="7" customFormat="false" ht="23.85" hidden="false" customHeight="false" outlineLevel="0" collapsed="false">
      <c r="A7" s="2" t="s">
        <v>241</v>
      </c>
      <c r="B7" s="2" t="s">
        <v>47</v>
      </c>
      <c r="C7" s="2" t="s">
        <v>242</v>
      </c>
      <c r="D7" s="2" t="s">
        <v>1036</v>
      </c>
      <c r="E7" s="2" t="n">
        <v>7</v>
      </c>
      <c r="F7" s="2" t="n">
        <f aca="false">SUMPRODUCT(('Anh xa'!$D$2:$D$581=A7)*1)</f>
        <v>7</v>
      </c>
      <c r="G7" s="2" t="str">
        <f aca="false">IF(AND(F7&gt;0,F7=E7),"✓","THIẾU")</f>
        <v>✓</v>
      </c>
    </row>
    <row r="8" customFormat="false" ht="15" hidden="false" customHeight="false" outlineLevel="0" collapsed="false">
      <c r="A8" s="2" t="s">
        <v>301</v>
      </c>
      <c r="B8" s="2" t="s">
        <v>47</v>
      </c>
      <c r="C8" s="2" t="s">
        <v>302</v>
      </c>
      <c r="D8" s="2" t="s">
        <v>1037</v>
      </c>
      <c r="E8" s="2" t="n">
        <v>4</v>
      </c>
      <c r="F8" s="2" t="n">
        <f aca="false">SUMPRODUCT(('Anh xa'!$D$2:$D$581=A8)*1)</f>
        <v>4</v>
      </c>
      <c r="G8" s="2" t="str">
        <f aca="false">IF(AND(F8&gt;0,F8=E8),"✓","THIẾU")</f>
        <v>✓</v>
      </c>
    </row>
    <row r="9" customFormat="false" ht="15" hidden="false" customHeight="false" outlineLevel="0" collapsed="false">
      <c r="A9" s="2" t="s">
        <v>316</v>
      </c>
      <c r="B9" s="2" t="s">
        <v>47</v>
      </c>
      <c r="C9" s="2" t="s">
        <v>317</v>
      </c>
      <c r="D9" s="2" t="s">
        <v>1038</v>
      </c>
      <c r="E9" s="2" t="n">
        <v>2</v>
      </c>
      <c r="F9" s="2" t="n">
        <f aca="false">SUMPRODUCT(('Anh xa'!$D$2:$D$581=A9)*1)</f>
        <v>2</v>
      </c>
      <c r="G9" s="2" t="str">
        <f aca="false">IF(AND(F9&gt;0,F9=E9),"✓","THIẾU")</f>
        <v>✓</v>
      </c>
    </row>
    <row r="10" customFormat="false" ht="23.85" hidden="false" customHeight="false" outlineLevel="0" collapsed="false">
      <c r="A10" s="2" t="s">
        <v>358</v>
      </c>
      <c r="B10" s="2" t="s">
        <v>47</v>
      </c>
      <c r="C10" s="2" t="s">
        <v>359</v>
      </c>
      <c r="D10" s="2" t="s">
        <v>1039</v>
      </c>
      <c r="E10" s="2" t="n">
        <v>3</v>
      </c>
      <c r="F10" s="2" t="n">
        <f aca="false">SUMPRODUCT(('Anh xa'!$D$2:$D$581=A10)*1)</f>
        <v>3</v>
      </c>
      <c r="G10" s="2" t="str">
        <f aca="false">IF(AND(F10&gt;0,F10=E10),"✓","THIẾU")</f>
        <v>✓</v>
      </c>
    </row>
    <row r="11" customFormat="false" ht="15" hidden="false" customHeight="false" outlineLevel="0" collapsed="false">
      <c r="A11" s="2" t="s">
        <v>160</v>
      </c>
      <c r="B11" s="2" t="s">
        <v>141</v>
      </c>
      <c r="C11" s="2" t="s">
        <v>161</v>
      </c>
      <c r="D11" s="2" t="s">
        <v>1040</v>
      </c>
      <c r="E11" s="2" t="n">
        <v>2</v>
      </c>
      <c r="F11" s="2" t="n">
        <f aca="false">SUMPRODUCT(('Anh xa'!$D$2:$D$581=A11)*1)</f>
        <v>2</v>
      </c>
      <c r="G11" s="2" t="str">
        <f aca="false">IF(AND(F11&gt;0,F11=E11),"✓","THIẾU")</f>
        <v>✓</v>
      </c>
    </row>
    <row r="12" customFormat="false" ht="15" hidden="false" customHeight="false" outlineLevel="0" collapsed="false">
      <c r="A12" s="2" t="s">
        <v>146</v>
      </c>
      <c r="B12" s="2" t="s">
        <v>141</v>
      </c>
      <c r="C12" s="2" t="s">
        <v>147</v>
      </c>
      <c r="D12" s="2" t="s">
        <v>1041</v>
      </c>
      <c r="E12" s="2" t="n">
        <v>5</v>
      </c>
      <c r="F12" s="2" t="n">
        <f aca="false">SUMPRODUCT(('Anh xa'!$D$2:$D$581=A12)*1)</f>
        <v>5</v>
      </c>
      <c r="G12" s="2" t="str">
        <f aca="false">IF(AND(F12&gt;0,F12=E12),"✓","THIẾU")</f>
        <v>✓</v>
      </c>
    </row>
    <row r="13" customFormat="false" ht="15" hidden="false" customHeight="false" outlineLevel="0" collapsed="false">
      <c r="A13" s="2" t="s">
        <v>926</v>
      </c>
      <c r="B13" s="2" t="s">
        <v>141</v>
      </c>
      <c r="C13" s="2" t="s">
        <v>927</v>
      </c>
      <c r="D13" s="2" t="s">
        <v>1042</v>
      </c>
      <c r="E13" s="2" t="n">
        <v>3</v>
      </c>
      <c r="F13" s="2" t="n">
        <f aca="false">SUMPRODUCT(('Anh xa'!$D$2:$D$581=A13)*1)</f>
        <v>3</v>
      </c>
      <c r="G13" s="2" t="str">
        <f aca="false">IF(AND(F13&gt;0,F13=E13),"✓","THIẾU")</f>
        <v>✓</v>
      </c>
    </row>
    <row r="14" customFormat="false" ht="15" hidden="false" customHeight="false" outlineLevel="0" collapsed="false">
      <c r="A14" s="2" t="s">
        <v>928</v>
      </c>
      <c r="B14" s="2" t="s">
        <v>141</v>
      </c>
      <c r="C14" s="2" t="s">
        <v>929</v>
      </c>
      <c r="D14" s="2" t="s">
        <v>1043</v>
      </c>
      <c r="E14" s="2" t="n">
        <v>2</v>
      </c>
      <c r="F14" s="2" t="n">
        <f aca="false">SUMPRODUCT(('Anh xa'!$D$2:$D$581=A14)*1)</f>
        <v>2</v>
      </c>
      <c r="G14" s="2" t="str">
        <f aca="false">IF(AND(F14&gt;0,F14=E14),"✓","THIẾU")</f>
        <v>✓</v>
      </c>
    </row>
    <row r="15" customFormat="false" ht="15" hidden="false" customHeight="false" outlineLevel="0" collapsed="false">
      <c r="A15" s="2" t="s">
        <v>140</v>
      </c>
      <c r="B15" s="2" t="s">
        <v>141</v>
      </c>
      <c r="C15" s="2" t="s">
        <v>142</v>
      </c>
      <c r="D15" s="2" t="s">
        <v>1044</v>
      </c>
      <c r="E15" s="2" t="n">
        <v>5</v>
      </c>
      <c r="F15" s="2" t="n">
        <f aca="false">SUMPRODUCT(('Anh xa'!$D$2:$D$581=A15)*1)</f>
        <v>5</v>
      </c>
      <c r="G15" s="2" t="str">
        <f aca="false">IF(AND(F15&gt;0,F15=E15),"✓","THIẾU")</f>
        <v>✓</v>
      </c>
    </row>
    <row r="16" customFormat="false" ht="15" hidden="false" customHeight="false" outlineLevel="0" collapsed="false">
      <c r="A16" s="2" t="s">
        <v>776</v>
      </c>
      <c r="B16" s="2" t="s">
        <v>141</v>
      </c>
      <c r="C16" s="2" t="s">
        <v>777</v>
      </c>
      <c r="D16" s="2" t="s">
        <v>1045</v>
      </c>
      <c r="E16" s="2" t="n">
        <v>4</v>
      </c>
      <c r="F16" s="2" t="n">
        <f aca="false">SUMPRODUCT(('Anh xa'!$D$2:$D$581=A16)*1)</f>
        <v>4</v>
      </c>
      <c r="G16" s="2" t="str">
        <f aca="false">IF(AND(F16&gt;0,F16=E16),"✓","THIẾU")</f>
        <v>✓</v>
      </c>
    </row>
    <row r="17" customFormat="false" ht="15" hidden="false" customHeight="false" outlineLevel="0" collapsed="false">
      <c r="A17" s="2" t="s">
        <v>86</v>
      </c>
      <c r="B17" s="2" t="s">
        <v>87</v>
      </c>
      <c r="C17" s="2" t="s">
        <v>88</v>
      </c>
      <c r="D17" s="2" t="s">
        <v>1046</v>
      </c>
      <c r="E17" s="2" t="n">
        <v>2</v>
      </c>
      <c r="F17" s="2" t="n">
        <f aca="false">SUMPRODUCT(('Anh xa'!$D$2:$D$581=A17)*1)</f>
        <v>2</v>
      </c>
      <c r="G17" s="2" t="str">
        <f aca="false">IF(AND(F17&gt;0,F17=E17),"✓","THIẾU")</f>
        <v>✓</v>
      </c>
    </row>
    <row r="18" customFormat="false" ht="15" hidden="false" customHeight="false" outlineLevel="0" collapsed="false">
      <c r="A18" s="2" t="s">
        <v>90</v>
      </c>
      <c r="B18" s="2" t="s">
        <v>87</v>
      </c>
      <c r="C18" s="2" t="s">
        <v>91</v>
      </c>
      <c r="D18" s="2" t="s">
        <v>1047</v>
      </c>
      <c r="E18" s="2" t="n">
        <v>2</v>
      </c>
      <c r="F18" s="2" t="n">
        <f aca="false">SUMPRODUCT(('Anh xa'!$D$2:$D$581=A18)*1)</f>
        <v>2</v>
      </c>
      <c r="G18" s="2" t="str">
        <f aca="false">IF(AND(F18&gt;0,F18=E18),"✓","THIẾU")</f>
        <v>✓</v>
      </c>
    </row>
    <row r="19" customFormat="false" ht="15" hidden="false" customHeight="false" outlineLevel="0" collapsed="false">
      <c r="A19" s="2" t="s">
        <v>92</v>
      </c>
      <c r="B19" s="2" t="s">
        <v>87</v>
      </c>
      <c r="C19" s="2" t="s">
        <v>93</v>
      </c>
      <c r="D19" s="2" t="s">
        <v>1048</v>
      </c>
      <c r="E19" s="2" t="n">
        <v>2</v>
      </c>
      <c r="F19" s="2" t="n">
        <f aca="false">SUMPRODUCT(('Anh xa'!$D$2:$D$581=A19)*1)</f>
        <v>2</v>
      </c>
      <c r="G19" s="2" t="str">
        <f aca="false">IF(AND(F19&gt;0,F19=E19),"✓","THIẾU")</f>
        <v>✓</v>
      </c>
    </row>
    <row r="20" customFormat="false" ht="15" hidden="false" customHeight="false" outlineLevel="0" collapsed="false">
      <c r="A20" s="2" t="s">
        <v>94</v>
      </c>
      <c r="B20" s="2" t="s">
        <v>87</v>
      </c>
      <c r="C20" s="2" t="s">
        <v>95</v>
      </c>
      <c r="D20" s="2" t="s">
        <v>1049</v>
      </c>
      <c r="E20" s="2" t="n">
        <v>2</v>
      </c>
      <c r="F20" s="2" t="n">
        <f aca="false">SUMPRODUCT(('Anh xa'!$D$2:$D$581=A20)*1)</f>
        <v>2</v>
      </c>
      <c r="G20" s="2" t="str">
        <f aca="false">IF(AND(F20&gt;0,F20=E20),"✓","THIẾU")</f>
        <v>✓</v>
      </c>
    </row>
    <row r="21" customFormat="false" ht="15" hidden="false" customHeight="false" outlineLevel="0" collapsed="false">
      <c r="A21" s="2" t="s">
        <v>96</v>
      </c>
      <c r="B21" s="2" t="s">
        <v>87</v>
      </c>
      <c r="C21" s="2" t="s">
        <v>97</v>
      </c>
      <c r="D21" s="2" t="s">
        <v>84</v>
      </c>
      <c r="E21" s="2" t="n">
        <v>1</v>
      </c>
      <c r="F21" s="2" t="n">
        <f aca="false">SUMPRODUCT(('Anh xa'!$D$2:$D$581=A21)*1)</f>
        <v>1</v>
      </c>
      <c r="G21" s="2" t="str">
        <f aca="false">IF(AND(F21&gt;0,F21=E21),"✓","THIẾU")</f>
        <v>✓</v>
      </c>
    </row>
    <row r="22" customFormat="false" ht="15" hidden="false" customHeight="false" outlineLevel="0" collapsed="false">
      <c r="A22" s="2" t="s">
        <v>98</v>
      </c>
      <c r="B22" s="2" t="s">
        <v>87</v>
      </c>
      <c r="C22" s="2" t="s">
        <v>99</v>
      </c>
      <c r="D22" s="2" t="s">
        <v>84</v>
      </c>
      <c r="E22" s="2" t="n">
        <v>1</v>
      </c>
      <c r="F22" s="2" t="n">
        <f aca="false">SUMPRODUCT(('Anh xa'!$D$2:$D$581=A22)*1)</f>
        <v>1</v>
      </c>
      <c r="G22" s="2" t="str">
        <f aca="false">IF(AND(F22&gt;0,F22=E22),"✓","THIẾU")</f>
        <v>✓</v>
      </c>
    </row>
    <row r="23" customFormat="false" ht="15" hidden="false" customHeight="false" outlineLevel="0" collapsed="false">
      <c r="A23" s="2" t="s">
        <v>100</v>
      </c>
      <c r="B23" s="2" t="s">
        <v>87</v>
      </c>
      <c r="C23" s="2" t="s">
        <v>101</v>
      </c>
      <c r="D23" s="2" t="s">
        <v>84</v>
      </c>
      <c r="E23" s="2" t="n">
        <v>1</v>
      </c>
      <c r="F23" s="2" t="n">
        <f aca="false">SUMPRODUCT(('Anh xa'!$D$2:$D$581=A23)*1)</f>
        <v>1</v>
      </c>
      <c r="G23" s="2" t="str">
        <f aca="false">IF(AND(F23&gt;0,F23=E23),"✓","THIẾU")</f>
        <v>✓</v>
      </c>
    </row>
    <row r="24" customFormat="false" ht="15" hidden="false" customHeight="false" outlineLevel="0" collapsed="false">
      <c r="A24" s="2" t="s">
        <v>217</v>
      </c>
      <c r="B24" s="2" t="s">
        <v>57</v>
      </c>
      <c r="C24" s="2" t="s">
        <v>218</v>
      </c>
      <c r="D24" s="2" t="s">
        <v>1050</v>
      </c>
      <c r="E24" s="2" t="n">
        <v>6</v>
      </c>
      <c r="F24" s="2" t="n">
        <f aca="false">SUMPRODUCT(('Anh xa'!$D$2:$D$581=A24)*1)</f>
        <v>6</v>
      </c>
      <c r="G24" s="2" t="str">
        <f aca="false">IF(AND(F24&gt;0,F24=E24),"✓","THIẾU")</f>
        <v>✓</v>
      </c>
    </row>
    <row r="25" customFormat="false" ht="15" hidden="false" customHeight="false" outlineLevel="0" collapsed="false">
      <c r="A25" s="2" t="s">
        <v>221</v>
      </c>
      <c r="B25" s="2" t="s">
        <v>57</v>
      </c>
      <c r="C25" s="2" t="s">
        <v>222</v>
      </c>
      <c r="D25" s="2" t="s">
        <v>1051</v>
      </c>
      <c r="E25" s="2" t="n">
        <v>6</v>
      </c>
      <c r="F25" s="2" t="n">
        <f aca="false">SUMPRODUCT(('Anh xa'!$D$2:$D$581=A25)*1)</f>
        <v>6</v>
      </c>
      <c r="G25" s="2" t="str">
        <f aca="false">IF(AND(F25&gt;0,F25=E25),"✓","THIẾU")</f>
        <v>✓</v>
      </c>
    </row>
    <row r="26" customFormat="false" ht="15" hidden="false" customHeight="false" outlineLevel="0" collapsed="false">
      <c r="A26" s="2" t="s">
        <v>613</v>
      </c>
      <c r="B26" s="2" t="s">
        <v>57</v>
      </c>
      <c r="C26" s="2" t="s">
        <v>614</v>
      </c>
      <c r="D26" s="2" t="s">
        <v>1052</v>
      </c>
      <c r="E26" s="2" t="n">
        <v>6</v>
      </c>
      <c r="F26" s="2" t="n">
        <f aca="false">SUMPRODUCT(('Anh xa'!$D$2:$D$581=A26)*1)</f>
        <v>6</v>
      </c>
      <c r="G26" s="2" t="str">
        <f aca="false">IF(AND(F26&gt;0,F26=E26),"✓","THIẾU")</f>
        <v>✓</v>
      </c>
    </row>
    <row r="27" customFormat="false" ht="15" hidden="false" customHeight="false" outlineLevel="0" collapsed="false">
      <c r="A27" s="2" t="s">
        <v>420</v>
      </c>
      <c r="B27" s="2" t="s">
        <v>57</v>
      </c>
      <c r="C27" s="2" t="s">
        <v>421</v>
      </c>
      <c r="D27" s="2" t="s">
        <v>1053</v>
      </c>
      <c r="E27" s="2" t="n">
        <v>4</v>
      </c>
      <c r="F27" s="2" t="n">
        <f aca="false">SUMPRODUCT(('Anh xa'!$D$2:$D$581=A27)*1)</f>
        <v>4</v>
      </c>
      <c r="G27" s="2" t="str">
        <f aca="false">IF(AND(F27&gt;0,F27=E27),"✓","THIẾU")</f>
        <v>✓</v>
      </c>
    </row>
    <row r="28" customFormat="false" ht="15" hidden="false" customHeight="false" outlineLevel="0" collapsed="false">
      <c r="A28" s="2" t="s">
        <v>715</v>
      </c>
      <c r="B28" s="2" t="s">
        <v>57</v>
      </c>
      <c r="C28" s="2" t="s">
        <v>716</v>
      </c>
      <c r="D28" s="2" t="s">
        <v>1054</v>
      </c>
      <c r="E28" s="2" t="n">
        <v>3</v>
      </c>
      <c r="F28" s="2" t="n">
        <f aca="false">SUMPRODUCT(('Anh xa'!$D$2:$D$581=A28)*1)</f>
        <v>3</v>
      </c>
      <c r="G28" s="2" t="str">
        <f aca="false">IF(AND(F28&gt;0,F28=E28),"✓","THIẾU")</f>
        <v>✓</v>
      </c>
    </row>
    <row r="29" customFormat="false" ht="15" hidden="false" customHeight="false" outlineLevel="0" collapsed="false">
      <c r="A29" s="2" t="s">
        <v>511</v>
      </c>
      <c r="B29" s="2" t="s">
        <v>57</v>
      </c>
      <c r="C29" s="2" t="s">
        <v>512</v>
      </c>
      <c r="D29" s="2" t="s">
        <v>1055</v>
      </c>
      <c r="E29" s="2" t="n">
        <v>2</v>
      </c>
      <c r="F29" s="2" t="n">
        <f aca="false">SUMPRODUCT(('Anh xa'!$D$2:$D$581=A29)*1)</f>
        <v>2</v>
      </c>
      <c r="G29" s="2" t="str">
        <f aca="false">IF(AND(F29&gt;0,F29=E29),"✓","THIẾU")</f>
        <v>✓</v>
      </c>
    </row>
    <row r="30" customFormat="false" ht="15" hidden="false" customHeight="false" outlineLevel="0" collapsed="false">
      <c r="A30" s="2" t="s">
        <v>464</v>
      </c>
      <c r="B30" s="2" t="s">
        <v>57</v>
      </c>
      <c r="C30" s="2" t="s">
        <v>465</v>
      </c>
      <c r="D30" s="2" t="s">
        <v>1056</v>
      </c>
      <c r="E30" s="2" t="n">
        <v>2</v>
      </c>
      <c r="F30" s="2" t="n">
        <f aca="false">SUMPRODUCT(('Anh xa'!$D$2:$D$581=A30)*1)</f>
        <v>2</v>
      </c>
      <c r="G30" s="2" t="str">
        <f aca="false">IF(AND(F30&gt;0,F30=E30),"✓","THIẾU")</f>
        <v>✓</v>
      </c>
    </row>
    <row r="31" customFormat="false" ht="15" hidden="false" customHeight="false" outlineLevel="0" collapsed="false">
      <c r="A31" s="2" t="s">
        <v>517</v>
      </c>
      <c r="B31" s="2" t="s">
        <v>57</v>
      </c>
      <c r="C31" s="2" t="s">
        <v>516</v>
      </c>
      <c r="D31" s="2" t="s">
        <v>1057</v>
      </c>
      <c r="E31" s="2" t="n">
        <v>2</v>
      </c>
      <c r="F31" s="2" t="n">
        <f aca="false">SUMPRODUCT(('Anh xa'!$D$2:$D$581=A31)*1)</f>
        <v>2</v>
      </c>
      <c r="G31" s="2" t="str">
        <f aca="false">IF(AND(F31&gt;0,F31=E31),"✓","THIẾU")</f>
        <v>✓</v>
      </c>
    </row>
    <row r="32" customFormat="false" ht="15" hidden="false" customHeight="false" outlineLevel="0" collapsed="false">
      <c r="A32" s="2" t="s">
        <v>654</v>
      </c>
      <c r="B32" s="2" t="s">
        <v>57</v>
      </c>
      <c r="C32" s="2" t="s">
        <v>655</v>
      </c>
      <c r="D32" s="2" t="s">
        <v>1058</v>
      </c>
      <c r="E32" s="2" t="n">
        <v>2</v>
      </c>
      <c r="F32" s="2" t="n">
        <f aca="false">SUMPRODUCT(('Anh xa'!$D$2:$D$581=A32)*1)</f>
        <v>2</v>
      </c>
      <c r="G32" s="2" t="str">
        <f aca="false">IF(AND(F32&gt;0,F32=E32),"✓","THIẾU")</f>
        <v>✓</v>
      </c>
    </row>
    <row r="33" customFormat="false" ht="15" hidden="false" customHeight="false" outlineLevel="0" collapsed="false">
      <c r="A33" s="2" t="s">
        <v>754</v>
      </c>
      <c r="B33" s="2" t="s">
        <v>57</v>
      </c>
      <c r="C33" s="2" t="s">
        <v>755</v>
      </c>
      <c r="D33" s="2" t="s">
        <v>1059</v>
      </c>
      <c r="E33" s="2" t="n">
        <v>2</v>
      </c>
      <c r="F33" s="2" t="n">
        <f aca="false">SUMPRODUCT(('Anh xa'!$D$2:$D$581=A33)*1)</f>
        <v>2</v>
      </c>
      <c r="G33" s="2" t="str">
        <f aca="false">IF(AND(F33&gt;0,F33=E33),"✓","THIẾU")</f>
        <v>✓</v>
      </c>
    </row>
    <row r="34" customFormat="false" ht="15" hidden="false" customHeight="false" outlineLevel="0" collapsed="false">
      <c r="A34" s="2" t="s">
        <v>668</v>
      </c>
      <c r="B34" s="2" t="s">
        <v>57</v>
      </c>
      <c r="C34" s="2" t="s">
        <v>669</v>
      </c>
      <c r="D34" s="2" t="s">
        <v>1060</v>
      </c>
      <c r="E34" s="2" t="n">
        <v>2</v>
      </c>
      <c r="F34" s="2" t="n">
        <f aca="false">SUMPRODUCT(('Anh xa'!$D$2:$D$581=A34)*1)</f>
        <v>2</v>
      </c>
      <c r="G34" s="2" t="str">
        <f aca="false">IF(AND(F34&gt;0,F34=E34),"✓","THIẾU")</f>
        <v>✓</v>
      </c>
    </row>
    <row r="35" customFormat="false" ht="15" hidden="false" customHeight="false" outlineLevel="0" collapsed="false">
      <c r="A35" s="2" t="s">
        <v>656</v>
      </c>
      <c r="B35" s="2" t="s">
        <v>57</v>
      </c>
      <c r="C35" s="2" t="s">
        <v>657</v>
      </c>
      <c r="D35" s="2" t="s">
        <v>1061</v>
      </c>
      <c r="E35" s="2" t="n">
        <v>2</v>
      </c>
      <c r="F35" s="2" t="n">
        <f aca="false">SUMPRODUCT(('Anh xa'!$D$2:$D$581=A35)*1)</f>
        <v>2</v>
      </c>
      <c r="G35" s="2" t="str">
        <f aca="false">IF(AND(F35&gt;0,F35=E35),"✓","THIẾU")</f>
        <v>✓</v>
      </c>
    </row>
    <row r="36" customFormat="false" ht="15" hidden="false" customHeight="false" outlineLevel="0" collapsed="false">
      <c r="A36" s="2" t="s">
        <v>792</v>
      </c>
      <c r="B36" s="2" t="s">
        <v>57</v>
      </c>
      <c r="C36" s="2" t="s">
        <v>791</v>
      </c>
      <c r="D36" s="2" t="s">
        <v>790</v>
      </c>
      <c r="E36" s="2" t="n">
        <v>1</v>
      </c>
      <c r="F36" s="2" t="n">
        <f aca="false">SUMPRODUCT(('Anh xa'!$D$2:$D$581=A36)*1)</f>
        <v>1</v>
      </c>
      <c r="G36" s="2" t="str">
        <f aca="false">IF(AND(F36&gt;0,F36=E36),"✓","THIẾU")</f>
        <v>✓</v>
      </c>
    </row>
    <row r="37" customFormat="false" ht="15" hidden="false" customHeight="false" outlineLevel="0" collapsed="false">
      <c r="A37" s="2" t="s">
        <v>577</v>
      </c>
      <c r="B37" s="2" t="s">
        <v>57</v>
      </c>
      <c r="C37" s="2" t="s">
        <v>578</v>
      </c>
      <c r="D37" s="2" t="s">
        <v>1062</v>
      </c>
      <c r="E37" s="2" t="n">
        <v>2</v>
      </c>
      <c r="F37" s="2" t="n">
        <f aca="false">SUMPRODUCT(('Anh xa'!$D$2:$D$581=A37)*1)</f>
        <v>2</v>
      </c>
      <c r="G37" s="2" t="str">
        <f aca="false">IF(AND(F37&gt;0,F37=E37),"✓","THIẾU")</f>
        <v>✓</v>
      </c>
    </row>
    <row r="38" customFormat="false" ht="15" hidden="false" customHeight="false" outlineLevel="0" collapsed="false">
      <c r="A38" s="2" t="s">
        <v>571</v>
      </c>
      <c r="B38" s="2" t="s">
        <v>57</v>
      </c>
      <c r="C38" s="2" t="s">
        <v>572</v>
      </c>
      <c r="D38" s="2" t="s">
        <v>1063</v>
      </c>
      <c r="E38" s="2" t="n">
        <v>2</v>
      </c>
      <c r="F38" s="2" t="n">
        <f aca="false">SUMPRODUCT(('Anh xa'!$D$2:$D$581=A38)*1)</f>
        <v>2</v>
      </c>
      <c r="G38" s="2" t="str">
        <f aca="false">IF(AND(F38&gt;0,F38=E38),"✓","THIẾU")</f>
        <v>✓</v>
      </c>
    </row>
    <row r="39" customFormat="false" ht="15" hidden="false" customHeight="false" outlineLevel="0" collapsed="false">
      <c r="A39" s="2" t="s">
        <v>412</v>
      </c>
      <c r="B39" s="2" t="s">
        <v>57</v>
      </c>
      <c r="C39" s="2" t="s">
        <v>413</v>
      </c>
      <c r="D39" s="2" t="s">
        <v>1064</v>
      </c>
      <c r="E39" s="2" t="n">
        <v>5</v>
      </c>
      <c r="F39" s="2" t="n">
        <f aca="false">SUMPRODUCT(('Anh xa'!$D$2:$D$581=A39)*1)</f>
        <v>5</v>
      </c>
      <c r="G39" s="2" t="str">
        <f aca="false">IF(AND(F39&gt;0,F39=E39),"✓","THIẾU")</f>
        <v>✓</v>
      </c>
    </row>
    <row r="40" customFormat="false" ht="15" hidden="false" customHeight="false" outlineLevel="0" collapsed="false">
      <c r="A40" s="2" t="s">
        <v>56</v>
      </c>
      <c r="B40" s="2" t="s">
        <v>57</v>
      </c>
      <c r="C40" s="2" t="s">
        <v>58</v>
      </c>
      <c r="D40" s="2" t="s">
        <v>1065</v>
      </c>
      <c r="E40" s="2" t="n">
        <v>8</v>
      </c>
      <c r="F40" s="2" t="n">
        <f aca="false">SUMPRODUCT(('Anh xa'!$D$2:$D$581=A40)*1)</f>
        <v>8</v>
      </c>
      <c r="G40" s="2" t="str">
        <f aca="false">IF(AND(F40&gt;0,F40=E40),"✓","THIẾU")</f>
        <v>✓</v>
      </c>
    </row>
    <row r="41" customFormat="false" ht="15" hidden="false" customHeight="false" outlineLevel="0" collapsed="false">
      <c r="A41" s="2" t="s">
        <v>786</v>
      </c>
      <c r="B41" s="2" t="s">
        <v>57</v>
      </c>
      <c r="C41" s="2" t="s">
        <v>787</v>
      </c>
      <c r="D41" s="2" t="s">
        <v>1066</v>
      </c>
      <c r="E41" s="2" t="n">
        <v>4</v>
      </c>
      <c r="F41" s="2" t="n">
        <f aca="false">SUMPRODUCT(('Anh xa'!$D$2:$D$581=A41)*1)</f>
        <v>4</v>
      </c>
      <c r="G41" s="2" t="str">
        <f aca="false">IF(AND(F41&gt;0,F41=E41),"✓","THIẾU")</f>
        <v>✓</v>
      </c>
    </row>
    <row r="42" customFormat="false" ht="15" hidden="false" customHeight="false" outlineLevel="0" collapsed="false">
      <c r="A42" s="2" t="s">
        <v>267</v>
      </c>
      <c r="B42" s="2" t="s">
        <v>57</v>
      </c>
      <c r="C42" s="2" t="s">
        <v>268</v>
      </c>
      <c r="D42" s="2" t="s">
        <v>1067</v>
      </c>
      <c r="E42" s="2" t="n">
        <v>4</v>
      </c>
      <c r="F42" s="2" t="n">
        <f aca="false">SUMPRODUCT(('Anh xa'!$D$2:$D$581=A42)*1)</f>
        <v>4</v>
      </c>
      <c r="G42" s="2" t="str">
        <f aca="false">IF(AND(F42&gt;0,F42=E42),"✓","THIẾU")</f>
        <v>✓</v>
      </c>
    </row>
    <row r="43" customFormat="false" ht="15" hidden="false" customHeight="false" outlineLevel="0" collapsed="false">
      <c r="A43" s="2" t="s">
        <v>182</v>
      </c>
      <c r="B43" s="2" t="s">
        <v>183</v>
      </c>
      <c r="C43" s="2" t="s">
        <v>184</v>
      </c>
      <c r="D43" s="2" t="s">
        <v>1068</v>
      </c>
      <c r="E43" s="2" t="n">
        <v>4</v>
      </c>
      <c r="F43" s="2" t="n">
        <f aca="false">SUMPRODUCT(('Anh xa'!$D$2:$D$581=A43)*1)</f>
        <v>4</v>
      </c>
      <c r="G43" s="2" t="str">
        <f aca="false">IF(AND(F43&gt;0,F43=E43),"✓","THIẾU")</f>
        <v>✓</v>
      </c>
    </row>
    <row r="44" customFormat="false" ht="15" hidden="false" customHeight="false" outlineLevel="0" collapsed="false">
      <c r="A44" s="2" t="s">
        <v>209</v>
      </c>
      <c r="B44" s="2" t="s">
        <v>183</v>
      </c>
      <c r="C44" s="2" t="s">
        <v>210</v>
      </c>
      <c r="D44" s="2" t="s">
        <v>1069</v>
      </c>
      <c r="E44" s="2" t="n">
        <v>6</v>
      </c>
      <c r="F44" s="2" t="n">
        <f aca="false">SUMPRODUCT(('Anh xa'!$D$2:$D$581=A44)*1)</f>
        <v>6</v>
      </c>
      <c r="G44" s="2" t="str">
        <f aca="false">IF(AND(F44&gt;0,F44=E44),"✓","THIẾU")</f>
        <v>✓</v>
      </c>
    </row>
    <row r="45" customFormat="false" ht="15" hidden="false" customHeight="false" outlineLevel="0" collapsed="false">
      <c r="A45" s="2" t="s">
        <v>567</v>
      </c>
      <c r="B45" s="2" t="s">
        <v>183</v>
      </c>
      <c r="C45" s="2" t="s">
        <v>568</v>
      </c>
      <c r="D45" s="2" t="s">
        <v>1070</v>
      </c>
      <c r="E45" s="2" t="n">
        <v>7</v>
      </c>
      <c r="F45" s="2" t="n">
        <f aca="false">SUMPRODUCT(('Anh xa'!$D$2:$D$581=A45)*1)</f>
        <v>7</v>
      </c>
      <c r="G45" s="2" t="str">
        <f aca="false">IF(AND(F45&gt;0,F45=E45),"✓","THIẾU")</f>
        <v>✓</v>
      </c>
    </row>
    <row r="46" customFormat="false" ht="23.85" hidden="false" customHeight="false" outlineLevel="0" collapsed="false">
      <c r="A46" s="2" t="s">
        <v>346</v>
      </c>
      <c r="B46" s="2" t="s">
        <v>183</v>
      </c>
      <c r="C46" s="2" t="s">
        <v>347</v>
      </c>
      <c r="D46" s="2" t="s">
        <v>1071</v>
      </c>
      <c r="E46" s="2" t="n">
        <v>10</v>
      </c>
      <c r="F46" s="2" t="n">
        <f aca="false">SUMPRODUCT(('Anh xa'!$D$2:$D$581=A46)*1)</f>
        <v>10</v>
      </c>
      <c r="G46" s="2" t="str">
        <f aca="false">IF(AND(F46&gt;0,F46=E46),"✓","THIẾU")</f>
        <v>✓</v>
      </c>
    </row>
    <row r="47" customFormat="false" ht="23.85" hidden="false" customHeight="false" outlineLevel="0" collapsed="false">
      <c r="A47" s="2" t="s">
        <v>332</v>
      </c>
      <c r="B47" s="2" t="s">
        <v>183</v>
      </c>
      <c r="C47" s="2" t="s">
        <v>333</v>
      </c>
      <c r="D47" s="2" t="s">
        <v>1072</v>
      </c>
      <c r="E47" s="2" t="n">
        <v>14</v>
      </c>
      <c r="F47" s="2" t="n">
        <f aca="false">SUMPRODUCT(('Anh xa'!$D$2:$D$581=A47)*1)</f>
        <v>14</v>
      </c>
      <c r="G47" s="2" t="str">
        <f aca="false">IF(AND(F47&gt;0,F47=E47),"✓","THIẾU")</f>
        <v>✓</v>
      </c>
    </row>
    <row r="48" customFormat="false" ht="15" hidden="false" customHeight="false" outlineLevel="0" collapsed="false">
      <c r="A48" s="2" t="s">
        <v>189</v>
      </c>
      <c r="B48" s="2" t="s">
        <v>183</v>
      </c>
      <c r="C48" s="2" t="s">
        <v>190</v>
      </c>
      <c r="D48" s="2" t="s">
        <v>1073</v>
      </c>
      <c r="E48" s="2" t="n">
        <v>5</v>
      </c>
      <c r="F48" s="2" t="n">
        <f aca="false">SUMPRODUCT(('Anh xa'!$D$2:$D$581=A48)*1)</f>
        <v>5</v>
      </c>
      <c r="G48" s="2" t="str">
        <f aca="false">IF(AND(F48&gt;0,F48=E48),"✓","THIẾU")</f>
        <v>✓</v>
      </c>
    </row>
    <row r="49" customFormat="false" ht="15" hidden="false" customHeight="false" outlineLevel="0" collapsed="false">
      <c r="A49" s="2" t="s">
        <v>195</v>
      </c>
      <c r="B49" s="2" t="s">
        <v>183</v>
      </c>
      <c r="C49" s="2" t="s">
        <v>196</v>
      </c>
      <c r="D49" s="2" t="s">
        <v>1074</v>
      </c>
      <c r="E49" s="2" t="n">
        <v>3</v>
      </c>
      <c r="F49" s="2" t="n">
        <f aca="false">SUMPRODUCT(('Anh xa'!$D$2:$D$581=A49)*1)</f>
        <v>3</v>
      </c>
      <c r="G49" s="2" t="str">
        <f aca="false">IF(AND(F49&gt;0,F49=E49),"✓","THIẾU")</f>
        <v>✓</v>
      </c>
    </row>
    <row r="50" customFormat="false" ht="15" hidden="false" customHeight="false" outlineLevel="0" collapsed="false">
      <c r="A50" s="2" t="s">
        <v>199</v>
      </c>
      <c r="B50" s="2" t="s">
        <v>183</v>
      </c>
      <c r="C50" s="2" t="s">
        <v>200</v>
      </c>
      <c r="D50" s="2" t="s">
        <v>1075</v>
      </c>
      <c r="E50" s="2" t="n">
        <v>5</v>
      </c>
      <c r="F50" s="2" t="n">
        <f aca="false">SUMPRODUCT(('Anh xa'!$D$2:$D$581=A50)*1)</f>
        <v>5</v>
      </c>
      <c r="G50" s="2" t="str">
        <f aca="false">IF(AND(F50&gt;0,F50=E50),"✓","THIẾU")</f>
        <v>✓</v>
      </c>
    </row>
    <row r="51" customFormat="false" ht="15" hidden="false" customHeight="false" outlineLevel="0" collapsed="false">
      <c r="A51" s="2" t="s">
        <v>197</v>
      </c>
      <c r="B51" s="2" t="s">
        <v>183</v>
      </c>
      <c r="C51" s="2" t="s">
        <v>198</v>
      </c>
      <c r="D51" s="2" t="s">
        <v>1076</v>
      </c>
      <c r="E51" s="2" t="n">
        <v>4</v>
      </c>
      <c r="F51" s="2" t="n">
        <f aca="false">SUMPRODUCT(('Anh xa'!$D$2:$D$581=A51)*1)</f>
        <v>4</v>
      </c>
      <c r="G51" s="2" t="str">
        <f aca="false">IF(AND(F51&gt;0,F51=E51),"✓","THIẾU")</f>
        <v>✓</v>
      </c>
    </row>
    <row r="52" customFormat="false" ht="15" hidden="false" customHeight="false" outlineLevel="0" collapsed="false">
      <c r="A52" s="2" t="s">
        <v>499</v>
      </c>
      <c r="B52" s="2" t="s">
        <v>183</v>
      </c>
      <c r="C52" s="2" t="s">
        <v>500</v>
      </c>
      <c r="D52" s="2" t="s">
        <v>1077</v>
      </c>
      <c r="E52" s="2" t="n">
        <v>3</v>
      </c>
      <c r="F52" s="2" t="n">
        <f aca="false">SUMPRODUCT(('Anh xa'!$D$2:$D$581=A52)*1)</f>
        <v>3</v>
      </c>
      <c r="G52" s="2" t="str">
        <f aca="false">IF(AND(F52&gt;0,F52=E52),"✓","THIẾU")</f>
        <v>✓</v>
      </c>
    </row>
    <row r="53" customFormat="false" ht="15" hidden="false" customHeight="false" outlineLevel="0" collapsed="false">
      <c r="A53" s="2" t="s">
        <v>293</v>
      </c>
      <c r="B53" s="2" t="s">
        <v>183</v>
      </c>
      <c r="C53" s="2" t="s">
        <v>294</v>
      </c>
      <c r="D53" s="2" t="s">
        <v>1078</v>
      </c>
      <c r="E53" s="2" t="n">
        <v>8</v>
      </c>
      <c r="F53" s="2" t="n">
        <f aca="false">SUMPRODUCT(('Anh xa'!$D$2:$D$581=A53)*1)</f>
        <v>8</v>
      </c>
      <c r="G53" s="2" t="str">
        <f aca="false">IF(AND(F53&gt;0,F53=E53),"✓","THIẾU")</f>
        <v>✓</v>
      </c>
    </row>
    <row r="54" customFormat="false" ht="15" hidden="false" customHeight="false" outlineLevel="0" collapsed="false">
      <c r="A54" s="2" t="s">
        <v>201</v>
      </c>
      <c r="B54" s="2" t="s">
        <v>183</v>
      </c>
      <c r="C54" s="2" t="s">
        <v>202</v>
      </c>
      <c r="D54" s="2" t="s">
        <v>1079</v>
      </c>
      <c r="E54" s="2" t="n">
        <v>4</v>
      </c>
      <c r="F54" s="2" t="n">
        <f aca="false">SUMPRODUCT(('Anh xa'!$D$2:$D$581=A54)*1)</f>
        <v>4</v>
      </c>
      <c r="G54" s="2" t="str">
        <f aca="false">IF(AND(F54&gt;0,F54=E54),"✓","THIẾU")</f>
        <v>✓</v>
      </c>
    </row>
    <row r="55" customFormat="false" ht="15" hidden="false" customHeight="false" outlineLevel="0" collapsed="false">
      <c r="A55" s="2" t="s">
        <v>203</v>
      </c>
      <c r="B55" s="2" t="s">
        <v>183</v>
      </c>
      <c r="C55" s="2" t="s">
        <v>204</v>
      </c>
      <c r="D55" s="2" t="s">
        <v>1080</v>
      </c>
      <c r="E55" s="2" t="n">
        <v>4</v>
      </c>
      <c r="F55" s="2" t="n">
        <f aca="false">SUMPRODUCT(('Anh xa'!$D$2:$D$581=A55)*1)</f>
        <v>4</v>
      </c>
      <c r="G55" s="2" t="str">
        <f aca="false">IF(AND(F55&gt;0,F55=E55),"✓","THIẾU")</f>
        <v>✓</v>
      </c>
    </row>
    <row r="56" customFormat="false" ht="15" hidden="false" customHeight="false" outlineLevel="0" collapsed="false">
      <c r="A56" s="2" t="s">
        <v>148</v>
      </c>
      <c r="B56" s="2" t="s">
        <v>149</v>
      </c>
      <c r="C56" s="2" t="s">
        <v>150</v>
      </c>
      <c r="D56" s="2" t="s">
        <v>1081</v>
      </c>
      <c r="E56" s="2" t="n">
        <v>2</v>
      </c>
      <c r="F56" s="2" t="n">
        <f aca="false">SUMPRODUCT(('Anh xa'!$D$2:$D$581=A56)*1)</f>
        <v>2</v>
      </c>
      <c r="G56" s="2" t="str">
        <f aca="false">IF(AND(F56&gt;0,F56=E56),"✓","THIẾU")</f>
        <v>✓</v>
      </c>
    </row>
    <row r="57" customFormat="false" ht="23.85" hidden="false" customHeight="false" outlineLevel="0" collapsed="false">
      <c r="A57" s="2" t="s">
        <v>152</v>
      </c>
      <c r="B57" s="2" t="s">
        <v>149</v>
      </c>
      <c r="C57" s="2" t="s">
        <v>153</v>
      </c>
      <c r="D57" s="2" t="s">
        <v>1081</v>
      </c>
      <c r="E57" s="2" t="n">
        <v>2</v>
      </c>
      <c r="F57" s="2" t="n">
        <f aca="false">SUMPRODUCT(('Anh xa'!$D$2:$D$581=A57)*1)</f>
        <v>2</v>
      </c>
      <c r="G57" s="2" t="str">
        <f aca="false">IF(AND(F57&gt;0,F57=E57),"✓","THIẾU")</f>
        <v>✓</v>
      </c>
    </row>
    <row r="58" customFormat="false" ht="15" hidden="false" customHeight="false" outlineLevel="0" collapsed="false">
      <c r="A58" s="2" t="s">
        <v>211</v>
      </c>
      <c r="B58" s="2" t="s">
        <v>149</v>
      </c>
      <c r="C58" s="2" t="s">
        <v>212</v>
      </c>
      <c r="D58" s="2" t="s">
        <v>1082</v>
      </c>
      <c r="E58" s="2" t="n">
        <v>2</v>
      </c>
      <c r="F58" s="2" t="n">
        <f aca="false">SUMPRODUCT(('Anh xa'!$D$2:$D$581=A58)*1)</f>
        <v>2</v>
      </c>
      <c r="G58" s="2" t="str">
        <f aca="false">IF(AND(F58&gt;0,F58=E58),"✓","THIẾU")</f>
        <v>✓</v>
      </c>
    </row>
    <row r="59" customFormat="false" ht="15" hidden="false" customHeight="false" outlineLevel="0" collapsed="false">
      <c r="A59" s="2" t="s">
        <v>213</v>
      </c>
      <c r="B59" s="2" t="s">
        <v>149</v>
      </c>
      <c r="C59" s="2" t="s">
        <v>214</v>
      </c>
      <c r="D59" s="2" t="s">
        <v>1083</v>
      </c>
      <c r="E59" s="2" t="n">
        <v>3</v>
      </c>
      <c r="F59" s="2" t="n">
        <f aca="false">SUMPRODUCT(('Anh xa'!$D$2:$D$581=A59)*1)</f>
        <v>3</v>
      </c>
      <c r="G59" s="2" t="str">
        <f aca="false">IF(AND(F59&gt;0,F59=E59),"✓","THIẾU")</f>
        <v>✓</v>
      </c>
    </row>
    <row r="60" customFormat="false" ht="15" hidden="false" customHeight="false" outlineLevel="0" collapsed="false">
      <c r="A60" s="2" t="s">
        <v>932</v>
      </c>
      <c r="B60" s="2" t="s">
        <v>149</v>
      </c>
      <c r="C60" s="2" t="s">
        <v>933</v>
      </c>
      <c r="D60" s="2" t="s">
        <v>930</v>
      </c>
      <c r="E60" s="2" t="n">
        <v>1</v>
      </c>
      <c r="F60" s="2" t="n">
        <f aca="false">SUMPRODUCT(('Anh xa'!$D$2:$D$581=A60)*1)</f>
        <v>1</v>
      </c>
      <c r="G60" s="2" t="str">
        <f aca="false">IF(AND(F60&gt;0,F60=E60),"✓","THIẾU")</f>
        <v>✓</v>
      </c>
    </row>
    <row r="61" customFormat="false" ht="15" hidden="false" customHeight="false" outlineLevel="0" collapsed="false">
      <c r="A61" s="2" t="s">
        <v>934</v>
      </c>
      <c r="B61" s="2" t="s">
        <v>149</v>
      </c>
      <c r="C61" s="2" t="s">
        <v>935</v>
      </c>
      <c r="D61" s="2" t="s">
        <v>930</v>
      </c>
      <c r="E61" s="2" t="n">
        <v>1</v>
      </c>
      <c r="F61" s="2" t="n">
        <f aca="false">SUMPRODUCT(('Anh xa'!$D$2:$D$581=A61)*1)</f>
        <v>1</v>
      </c>
      <c r="G61" s="2" t="str">
        <f aca="false">IF(AND(F61&gt;0,F61=E61),"✓","THIẾU")</f>
        <v>✓</v>
      </c>
    </row>
    <row r="62" customFormat="false" ht="23.85" hidden="false" customHeight="false" outlineLevel="0" collapsed="false">
      <c r="A62" s="2" t="s">
        <v>450</v>
      </c>
      <c r="B62" s="2" t="s">
        <v>149</v>
      </c>
      <c r="C62" s="2" t="s">
        <v>451</v>
      </c>
      <c r="D62" s="2" t="s">
        <v>1084</v>
      </c>
      <c r="E62" s="2" t="n">
        <v>5</v>
      </c>
      <c r="F62" s="2" t="n">
        <f aca="false">SUMPRODUCT(('Anh xa'!$D$2:$D$581=A62)*1)</f>
        <v>5</v>
      </c>
      <c r="G62" s="2" t="str">
        <f aca="false">IF(AND(F62&gt;0,F62=E62),"✓","THIẾU")</f>
        <v>✓</v>
      </c>
    </row>
    <row r="63" customFormat="false" ht="15" hidden="false" customHeight="false" outlineLevel="0" collapsed="false">
      <c r="A63" s="2" t="s">
        <v>501</v>
      </c>
      <c r="B63" s="2" t="s">
        <v>149</v>
      </c>
      <c r="C63" s="2" t="s">
        <v>502</v>
      </c>
      <c r="D63" s="2" t="s">
        <v>497</v>
      </c>
      <c r="E63" s="2" t="n">
        <v>1</v>
      </c>
      <c r="F63" s="2" t="n">
        <f aca="false">SUMPRODUCT(('Anh xa'!$D$2:$D$581=A63)*1)</f>
        <v>1</v>
      </c>
      <c r="G63" s="2" t="str">
        <f aca="false">IF(AND(F63&gt;0,F63=E63),"✓","THIẾU")</f>
        <v>✓</v>
      </c>
    </row>
    <row r="64" customFormat="false" ht="23.85" hidden="false" customHeight="false" outlineLevel="0" collapsed="false">
      <c r="A64" s="2" t="s">
        <v>559</v>
      </c>
      <c r="B64" s="2" t="s">
        <v>149</v>
      </c>
      <c r="C64" s="2" t="s">
        <v>560</v>
      </c>
      <c r="D64" s="2" t="s">
        <v>557</v>
      </c>
      <c r="E64" s="2" t="n">
        <v>1</v>
      </c>
      <c r="F64" s="2" t="n">
        <f aca="false">SUMPRODUCT(('Anh xa'!$D$2:$D$581=A64)*1)</f>
        <v>1</v>
      </c>
      <c r="G64" s="2" t="str">
        <f aca="false">IF(AND(F64&gt;0,F64=E64),"✓","THIẾU")</f>
        <v>✓</v>
      </c>
    </row>
    <row r="65" customFormat="false" ht="15" hidden="false" customHeight="false" outlineLevel="0" collapsed="false">
      <c r="A65" s="2" t="s">
        <v>621</v>
      </c>
      <c r="B65" s="2" t="s">
        <v>149</v>
      </c>
      <c r="C65" s="2" t="s">
        <v>622</v>
      </c>
      <c r="D65" s="2" t="s">
        <v>619</v>
      </c>
      <c r="E65" s="2" t="n">
        <v>1</v>
      </c>
      <c r="F65" s="2" t="n">
        <f aca="false">SUMPRODUCT(('Anh xa'!$D$2:$D$581=A65)*1)</f>
        <v>1</v>
      </c>
      <c r="G65" s="2" t="str">
        <f aca="false">IF(AND(F65&gt;0,F65=E65),"✓","THIẾU")</f>
        <v>✓</v>
      </c>
    </row>
    <row r="66" customFormat="false" ht="23.85" hidden="false" customHeight="false" outlineLevel="0" collapsed="false">
      <c r="A66" s="2" t="s">
        <v>623</v>
      </c>
      <c r="B66" s="2" t="s">
        <v>149</v>
      </c>
      <c r="C66" s="2" t="s">
        <v>624</v>
      </c>
      <c r="D66" s="2" t="s">
        <v>619</v>
      </c>
      <c r="E66" s="2" t="n">
        <v>1</v>
      </c>
      <c r="F66" s="2" t="n">
        <f aca="false">SUMPRODUCT(('Anh xa'!$D$2:$D$581=A66)*1)</f>
        <v>1</v>
      </c>
      <c r="G66" s="2" t="str">
        <f aca="false">IF(AND(F66&gt;0,F66=E66),"✓","THIẾU")</f>
        <v>✓</v>
      </c>
    </row>
    <row r="67" customFormat="false" ht="15" hidden="false" customHeight="false" outlineLevel="0" collapsed="false">
      <c r="A67" s="2" t="s">
        <v>251</v>
      </c>
      <c r="B67" s="2" t="s">
        <v>149</v>
      </c>
      <c r="C67" s="2" t="s">
        <v>252</v>
      </c>
      <c r="D67" s="2" t="s">
        <v>1085</v>
      </c>
      <c r="E67" s="2" t="n">
        <v>2</v>
      </c>
      <c r="F67" s="2" t="n">
        <f aca="false">SUMPRODUCT(('Anh xa'!$D$2:$D$581=A67)*1)</f>
        <v>2</v>
      </c>
      <c r="G67" s="2" t="str">
        <f aca="false">IF(AND(F67&gt;0,F67=E67),"✓","THIẾU")</f>
        <v>✓</v>
      </c>
    </row>
    <row r="68" customFormat="false" ht="15" hidden="false" customHeight="false" outlineLevel="0" collapsed="false">
      <c r="A68" s="2" t="s">
        <v>168</v>
      </c>
      <c r="B68" s="2" t="s">
        <v>149</v>
      </c>
      <c r="C68" s="2" t="s">
        <v>169</v>
      </c>
      <c r="D68" s="2" t="s">
        <v>166</v>
      </c>
      <c r="E68" s="2" t="n">
        <v>1</v>
      </c>
      <c r="F68" s="2" t="n">
        <f aca="false">SUMPRODUCT(('Anh xa'!$D$2:$D$581=A68)*1)</f>
        <v>1</v>
      </c>
      <c r="G68" s="2" t="str">
        <f aca="false">IF(AND(F68&gt;0,F68=E68),"✓","THIẾU")</f>
        <v>✓</v>
      </c>
    </row>
    <row r="69" customFormat="false" ht="15" hidden="false" customHeight="false" outlineLevel="0" collapsed="false">
      <c r="A69" s="2" t="s">
        <v>295</v>
      </c>
      <c r="B69" s="2" t="s">
        <v>149</v>
      </c>
      <c r="C69" s="2" t="s">
        <v>296</v>
      </c>
      <c r="D69" s="2" t="s">
        <v>291</v>
      </c>
      <c r="E69" s="2" t="n">
        <v>1</v>
      </c>
      <c r="F69" s="2" t="n">
        <f aca="false">SUMPRODUCT(('Anh xa'!$D$2:$D$581=A69)*1)</f>
        <v>1</v>
      </c>
      <c r="G69" s="2" t="str">
        <f aca="false">IF(AND(F69&gt;0,F69=E69),"✓","THIẾU")</f>
        <v>✓</v>
      </c>
    </row>
    <row r="70" customFormat="false" ht="23.85" hidden="false" customHeight="false" outlineLevel="0" collapsed="false">
      <c r="A70" s="2" t="s">
        <v>815</v>
      </c>
      <c r="B70" s="2" t="s">
        <v>149</v>
      </c>
      <c r="C70" s="2" t="s">
        <v>816</v>
      </c>
      <c r="D70" s="2" t="s">
        <v>809</v>
      </c>
      <c r="E70" s="2" t="n">
        <v>1</v>
      </c>
      <c r="F70" s="2" t="n">
        <f aca="false">SUMPRODUCT(('Anh xa'!$D$2:$D$581=A70)*1)</f>
        <v>1</v>
      </c>
      <c r="G70" s="2" t="str">
        <f aca="false">IF(AND(F70&gt;0,F70=E70),"✓","THIẾU")</f>
        <v>✓</v>
      </c>
    </row>
    <row r="71" customFormat="false" ht="15" hidden="false" customHeight="false" outlineLevel="0" collapsed="false">
      <c r="A71" s="2" t="s">
        <v>318</v>
      </c>
      <c r="B71" s="2" t="s">
        <v>149</v>
      </c>
      <c r="C71" s="2" t="s">
        <v>319</v>
      </c>
      <c r="D71" s="2" t="s">
        <v>303</v>
      </c>
      <c r="E71" s="2" t="n">
        <v>1</v>
      </c>
      <c r="F71" s="2" t="n">
        <f aca="false">SUMPRODUCT(('Anh xa'!$D$2:$D$581=A71)*1)</f>
        <v>1</v>
      </c>
      <c r="G71" s="2" t="str">
        <f aca="false">IF(AND(F71&gt;0,F71=E71),"✓","THIẾU")</f>
        <v>✓</v>
      </c>
    </row>
    <row r="72" customFormat="false" ht="15" hidden="false" customHeight="false" outlineLevel="0" collapsed="false">
      <c r="A72" s="2" t="s">
        <v>438</v>
      </c>
      <c r="B72" s="2" t="s">
        <v>228</v>
      </c>
      <c r="C72" s="2" t="s">
        <v>439</v>
      </c>
      <c r="D72" s="2" t="s">
        <v>1086</v>
      </c>
      <c r="E72" s="2" t="n">
        <v>2</v>
      </c>
      <c r="F72" s="2" t="n">
        <f aca="false">SUMPRODUCT(('Anh xa'!$D$2:$D$581=A72)*1)</f>
        <v>2</v>
      </c>
      <c r="G72" s="2" t="str">
        <f aca="false">IF(AND(F72&gt;0,F72=E72),"✓","THIẾU")</f>
        <v>✓</v>
      </c>
    </row>
    <row r="73" customFormat="false" ht="15" hidden="false" customHeight="false" outlineLevel="0" collapsed="false">
      <c r="A73" s="2" t="s">
        <v>376</v>
      </c>
      <c r="B73" s="2" t="s">
        <v>228</v>
      </c>
      <c r="C73" s="2" t="s">
        <v>377</v>
      </c>
      <c r="D73" s="2" t="s">
        <v>1087</v>
      </c>
      <c r="E73" s="2" t="n">
        <v>5</v>
      </c>
      <c r="F73" s="2" t="n">
        <f aca="false">SUMPRODUCT(('Anh xa'!$D$2:$D$581=A73)*1)</f>
        <v>5</v>
      </c>
      <c r="G73" s="2" t="str">
        <f aca="false">IF(AND(F73&gt;0,F73=E73),"✓","THIẾU")</f>
        <v>✓</v>
      </c>
    </row>
    <row r="74" customFormat="false" ht="15" hidden="false" customHeight="false" outlineLevel="0" collapsed="false">
      <c r="A74" s="2" t="s">
        <v>227</v>
      </c>
      <c r="B74" s="2" t="s">
        <v>228</v>
      </c>
      <c r="C74" s="2" t="s">
        <v>229</v>
      </c>
      <c r="D74" s="2" t="s">
        <v>1088</v>
      </c>
      <c r="E74" s="2" t="n">
        <v>3</v>
      </c>
      <c r="F74" s="2" t="n">
        <f aca="false">SUMPRODUCT(('Anh xa'!$D$2:$D$581=A74)*1)</f>
        <v>3</v>
      </c>
      <c r="G74" s="2" t="str">
        <f aca="false">IF(AND(F74&gt;0,F74=E74),"✓","THIẾU")</f>
        <v>✓</v>
      </c>
    </row>
    <row r="75" customFormat="false" ht="15" hidden="false" customHeight="false" outlineLevel="0" collapsed="false">
      <c r="A75" s="2" t="s">
        <v>591</v>
      </c>
      <c r="B75" s="2" t="s">
        <v>228</v>
      </c>
      <c r="C75" s="2" t="s">
        <v>592</v>
      </c>
      <c r="D75" s="2" t="s">
        <v>1089</v>
      </c>
      <c r="E75" s="2" t="n">
        <v>3</v>
      </c>
      <c r="F75" s="2" t="n">
        <f aca="false">SUMPRODUCT(('Anh xa'!$D$2:$D$581=A75)*1)</f>
        <v>3</v>
      </c>
      <c r="G75" s="2" t="str">
        <f aca="false">IF(AND(F75&gt;0,F75=E75),"✓","THIẾU")</f>
        <v>✓</v>
      </c>
    </row>
    <row r="76" customFormat="false" ht="15" hidden="false" customHeight="false" outlineLevel="0" collapsed="false">
      <c r="A76" s="2" t="s">
        <v>682</v>
      </c>
      <c r="B76" s="2" t="s">
        <v>228</v>
      </c>
      <c r="C76" s="2" t="s">
        <v>683</v>
      </c>
      <c r="D76" s="2" t="s">
        <v>1090</v>
      </c>
      <c r="E76" s="2" t="n">
        <v>2</v>
      </c>
      <c r="F76" s="2" t="n">
        <f aca="false">SUMPRODUCT(('Anh xa'!$D$2:$D$581=A76)*1)</f>
        <v>2</v>
      </c>
      <c r="G76" s="2" t="str">
        <f aca="false">IF(AND(F76&gt;0,F76=E76),"✓","THIẾU")</f>
        <v>✓</v>
      </c>
    </row>
    <row r="77" customFormat="false" ht="15" hidden="false" customHeight="false" outlineLevel="0" collapsed="false">
      <c r="A77" s="2" t="s">
        <v>629</v>
      </c>
      <c r="B77" s="2" t="s">
        <v>228</v>
      </c>
      <c r="C77" s="2" t="s">
        <v>630</v>
      </c>
      <c r="D77" s="2" t="s">
        <v>1091</v>
      </c>
      <c r="E77" s="2" t="n">
        <v>3</v>
      </c>
      <c r="F77" s="2" t="n">
        <f aca="false">SUMPRODUCT(('Anh xa'!$D$2:$D$581=A77)*1)</f>
        <v>3</v>
      </c>
      <c r="G77" s="2" t="str">
        <f aca="false">IF(AND(F77&gt;0,F77=E77),"✓","THIẾU")</f>
        <v>✓</v>
      </c>
    </row>
    <row r="78" customFormat="false" ht="15" hidden="false" customHeight="false" outlineLevel="0" collapsed="false">
      <c r="A78" s="2" t="s">
        <v>727</v>
      </c>
      <c r="B78" s="2" t="s">
        <v>228</v>
      </c>
      <c r="C78" s="2" t="s">
        <v>728</v>
      </c>
      <c r="D78" s="2" t="s">
        <v>1092</v>
      </c>
      <c r="E78" s="2" t="n">
        <v>3</v>
      </c>
      <c r="F78" s="2" t="n">
        <f aca="false">SUMPRODUCT(('Anh xa'!$D$2:$D$581=A78)*1)</f>
        <v>3</v>
      </c>
      <c r="G78" s="2" t="str">
        <f aca="false">IF(AND(F78&gt;0,F78=E78),"✓","THIẾU")</f>
        <v>✓</v>
      </c>
    </row>
    <row r="79" customFormat="false" ht="15" hidden="false" customHeight="false" outlineLevel="0" collapsed="false">
      <c r="A79" s="2" t="s">
        <v>770</v>
      </c>
      <c r="B79" s="2" t="s">
        <v>228</v>
      </c>
      <c r="C79" s="2" t="s">
        <v>771</v>
      </c>
      <c r="D79" s="2" t="s">
        <v>1093</v>
      </c>
      <c r="E79" s="2" t="n">
        <v>3</v>
      </c>
      <c r="F79" s="2" t="n">
        <f aca="false">SUMPRODUCT(('Anh xa'!$D$2:$D$581=A79)*1)</f>
        <v>3</v>
      </c>
      <c r="G79" s="2" t="str">
        <f aca="false">IF(AND(F79&gt;0,F79=E79),"✓","THIẾU")</f>
        <v>✓</v>
      </c>
    </row>
    <row r="80" customFormat="false" ht="15" hidden="false" customHeight="false" outlineLevel="0" collapsed="false">
      <c r="A80" s="2" t="s">
        <v>784</v>
      </c>
      <c r="B80" s="2" t="s">
        <v>228</v>
      </c>
      <c r="C80" s="2" t="s">
        <v>785</v>
      </c>
      <c r="D80" s="2" t="s">
        <v>1094</v>
      </c>
      <c r="E80" s="2" t="n">
        <v>3</v>
      </c>
      <c r="F80" s="2" t="n">
        <f aca="false">SUMPRODUCT(('Anh xa'!$D$2:$D$581=A80)*1)</f>
        <v>3</v>
      </c>
      <c r="G80" s="2" t="str">
        <f aca="false">IF(AND(F80&gt;0,F80=E80),"✓","THIẾU")</f>
        <v>✓</v>
      </c>
    </row>
    <row r="81" customFormat="false" ht="15" hidden="false" customHeight="false" outlineLevel="0" collapsed="false">
      <c r="A81" s="2" t="s">
        <v>827</v>
      </c>
      <c r="B81" s="2" t="s">
        <v>228</v>
      </c>
      <c r="C81" s="2" t="s">
        <v>828</v>
      </c>
      <c r="D81" s="2" t="s">
        <v>1095</v>
      </c>
      <c r="E81" s="2" t="n">
        <v>3</v>
      </c>
      <c r="F81" s="2" t="n">
        <f aca="false">SUMPRODUCT(('Anh xa'!$D$2:$D$581=A81)*1)</f>
        <v>3</v>
      </c>
      <c r="G81" s="2" t="str">
        <f aca="false">IF(AND(F81&gt;0,F81=E81),"✓","THIẾU")</f>
        <v>✓</v>
      </c>
    </row>
    <row r="82" customFormat="false" ht="15" hidden="false" customHeight="false" outlineLevel="0" collapsed="false">
      <c r="A82" s="2" t="s">
        <v>707</v>
      </c>
      <c r="B82" s="2" t="s">
        <v>228</v>
      </c>
      <c r="C82" s="2" t="s">
        <v>708</v>
      </c>
      <c r="D82" s="2" t="s">
        <v>1096</v>
      </c>
      <c r="E82" s="2" t="n">
        <v>2</v>
      </c>
      <c r="F82" s="2" t="n">
        <f aca="false">SUMPRODUCT(('Anh xa'!$D$2:$D$581=A82)*1)</f>
        <v>2</v>
      </c>
      <c r="G82" s="2" t="str">
        <f aca="false">IF(AND(F82&gt;0,F82=E82),"✓","THIẾU")</f>
        <v>✓</v>
      </c>
    </row>
    <row r="83" customFormat="false" ht="15" hidden="false" customHeight="false" outlineLevel="0" collapsed="false">
      <c r="A83" s="2" t="s">
        <v>299</v>
      </c>
      <c r="B83" s="2" t="s">
        <v>63</v>
      </c>
      <c r="C83" s="2" t="s">
        <v>300</v>
      </c>
      <c r="D83" s="2" t="s">
        <v>1097</v>
      </c>
      <c r="E83" s="2" t="n">
        <v>3</v>
      </c>
      <c r="F83" s="2" t="n">
        <f aca="false">SUMPRODUCT(('Anh xa'!$D$2:$D$581=A83)*1)</f>
        <v>3</v>
      </c>
      <c r="G83" s="2" t="str">
        <f aca="false">IF(AND(F83&gt;0,F83=E83),"✓","THIẾU")</f>
        <v>✓</v>
      </c>
    </row>
    <row r="84" customFormat="false" ht="15" hidden="false" customHeight="false" outlineLevel="0" collapsed="false">
      <c r="A84" s="2" t="s">
        <v>374</v>
      </c>
      <c r="B84" s="2" t="s">
        <v>63</v>
      </c>
      <c r="C84" s="2" t="s">
        <v>375</v>
      </c>
      <c r="D84" s="2" t="s">
        <v>1098</v>
      </c>
      <c r="E84" s="2" t="n">
        <v>2</v>
      </c>
      <c r="F84" s="2" t="n">
        <f aca="false">SUMPRODUCT(('Anh xa'!$D$2:$D$581=A84)*1)</f>
        <v>2</v>
      </c>
      <c r="G84" s="2" t="str">
        <f aca="false">IF(AND(F84&gt;0,F84=E84),"✓","THIẾU")</f>
        <v>✓</v>
      </c>
    </row>
    <row r="85" customFormat="false" ht="15" hidden="false" customHeight="false" outlineLevel="0" collapsed="false">
      <c r="A85" s="2" t="s">
        <v>394</v>
      </c>
      <c r="B85" s="2" t="s">
        <v>63</v>
      </c>
      <c r="C85" s="2" t="s">
        <v>395</v>
      </c>
      <c r="D85" s="2" t="s">
        <v>1099</v>
      </c>
      <c r="E85" s="2" t="n">
        <v>2</v>
      </c>
      <c r="F85" s="2" t="n">
        <f aca="false">SUMPRODUCT(('Anh xa'!$D$2:$D$581=A85)*1)</f>
        <v>2</v>
      </c>
      <c r="G85" s="2" t="str">
        <f aca="false">IF(AND(F85&gt;0,F85=E85),"✓","THIẾU")</f>
        <v>✓</v>
      </c>
    </row>
    <row r="86" customFormat="false" ht="15" hidden="false" customHeight="false" outlineLevel="0" collapsed="false">
      <c r="A86" s="2" t="s">
        <v>460</v>
      </c>
      <c r="B86" s="2" t="s">
        <v>63</v>
      </c>
      <c r="C86" s="2" t="s">
        <v>461</v>
      </c>
      <c r="D86" s="2" t="s">
        <v>1100</v>
      </c>
      <c r="E86" s="2" t="n">
        <v>3</v>
      </c>
      <c r="F86" s="2" t="n">
        <f aca="false">SUMPRODUCT(('Anh xa'!$D$2:$D$581=A86)*1)</f>
        <v>3</v>
      </c>
      <c r="G86" s="2" t="str">
        <f aca="false">IF(AND(F86&gt;0,F86=E86),"✓","THIẾU")</f>
        <v>✓</v>
      </c>
    </row>
    <row r="87" customFormat="false" ht="15" hidden="false" customHeight="false" outlineLevel="0" collapsed="false">
      <c r="A87" s="2" t="s">
        <v>62</v>
      </c>
      <c r="B87" s="2" t="s">
        <v>63</v>
      </c>
      <c r="C87" s="2" t="s">
        <v>64</v>
      </c>
      <c r="D87" s="2" t="s">
        <v>1101</v>
      </c>
      <c r="E87" s="2" t="n">
        <v>4</v>
      </c>
      <c r="F87" s="2" t="n">
        <f aca="false">SUMPRODUCT(('Anh xa'!$D$2:$D$581=A87)*1)</f>
        <v>4</v>
      </c>
      <c r="G87" s="2" t="str">
        <f aca="false">IF(AND(F87&gt;0,F87=E87),"✓","THIẾU")</f>
        <v>✓</v>
      </c>
    </row>
    <row r="88" customFormat="false" ht="15" hidden="false" customHeight="false" outlineLevel="0" collapsed="false">
      <c r="A88" s="2" t="s">
        <v>495</v>
      </c>
      <c r="B88" s="2" t="s">
        <v>63</v>
      </c>
      <c r="C88" s="2" t="s">
        <v>496</v>
      </c>
      <c r="D88" s="2" t="s">
        <v>1102</v>
      </c>
      <c r="E88" s="2" t="n">
        <v>3</v>
      </c>
      <c r="F88" s="2" t="n">
        <f aca="false">SUMPRODUCT(('Anh xa'!$D$2:$D$581=A88)*1)</f>
        <v>3</v>
      </c>
      <c r="G88" s="2" t="str">
        <f aca="false">IF(AND(F88&gt;0,F88=E88),"✓","THIẾU")</f>
        <v>✓</v>
      </c>
    </row>
    <row r="89" customFormat="false" ht="15" hidden="false" customHeight="false" outlineLevel="0" collapsed="false">
      <c r="A89" s="2" t="s">
        <v>533</v>
      </c>
      <c r="B89" s="2" t="s">
        <v>63</v>
      </c>
      <c r="C89" s="2" t="s">
        <v>532</v>
      </c>
      <c r="D89" s="2" t="s">
        <v>1103</v>
      </c>
      <c r="E89" s="2" t="n">
        <v>2</v>
      </c>
      <c r="F89" s="2" t="n">
        <f aca="false">SUMPRODUCT(('Anh xa'!$D$2:$D$581=A89)*1)</f>
        <v>2</v>
      </c>
      <c r="G89" s="2" t="str">
        <f aca="false">IF(AND(F89&gt;0,F89=E89),"✓","THIẾU")</f>
        <v>✓</v>
      </c>
    </row>
    <row r="90" customFormat="false" ht="15" hidden="false" customHeight="false" outlineLevel="0" collapsed="false">
      <c r="A90" s="2" t="s">
        <v>524</v>
      </c>
      <c r="B90" s="2" t="s">
        <v>63</v>
      </c>
      <c r="C90" s="2" t="s">
        <v>523</v>
      </c>
      <c r="D90" s="2" t="s">
        <v>1104</v>
      </c>
      <c r="E90" s="2" t="n">
        <v>2</v>
      </c>
      <c r="F90" s="2" t="n">
        <f aca="false">SUMPRODUCT(('Anh xa'!$D$2:$D$581=A90)*1)</f>
        <v>2</v>
      </c>
      <c r="G90" s="2" t="str">
        <f aca="false">IF(AND(F90&gt;0,F90=E90),"✓","THIẾU")</f>
        <v>✓</v>
      </c>
    </row>
    <row r="91" customFormat="false" ht="15" hidden="false" customHeight="false" outlineLevel="0" collapsed="false">
      <c r="A91" s="2" t="s">
        <v>507</v>
      </c>
      <c r="B91" s="2" t="s">
        <v>63</v>
      </c>
      <c r="C91" s="2" t="s">
        <v>508</v>
      </c>
      <c r="D91" s="2" t="s">
        <v>1105</v>
      </c>
      <c r="E91" s="2" t="n">
        <v>3</v>
      </c>
      <c r="F91" s="2" t="n">
        <f aca="false">SUMPRODUCT(('Anh xa'!$D$2:$D$581=A91)*1)</f>
        <v>3</v>
      </c>
      <c r="G91" s="2" t="str">
        <f aca="false">IF(AND(F91&gt;0,F91=E91),"✓","THIẾU")</f>
        <v>✓</v>
      </c>
    </row>
    <row r="92" customFormat="false" ht="15" hidden="false" customHeight="false" outlineLevel="0" collapsed="false">
      <c r="A92" s="2" t="s">
        <v>548</v>
      </c>
      <c r="B92" s="2" t="s">
        <v>63</v>
      </c>
      <c r="C92" s="2" t="s">
        <v>547</v>
      </c>
      <c r="D92" s="2" t="s">
        <v>1106</v>
      </c>
      <c r="E92" s="2" t="n">
        <v>2</v>
      </c>
      <c r="F92" s="2" t="n">
        <f aca="false">SUMPRODUCT(('Anh xa'!$D$2:$D$581=A92)*1)</f>
        <v>2</v>
      </c>
      <c r="G92" s="2" t="str">
        <f aca="false">IF(AND(F92&gt;0,F92=E92),"✓","THIẾU")</f>
        <v>✓</v>
      </c>
    </row>
    <row r="93" customFormat="false" ht="15" hidden="false" customHeight="false" outlineLevel="0" collapsed="false">
      <c r="A93" s="2" t="s">
        <v>555</v>
      </c>
      <c r="B93" s="2" t="s">
        <v>63</v>
      </c>
      <c r="C93" s="2" t="s">
        <v>556</v>
      </c>
      <c r="D93" s="2" t="s">
        <v>1107</v>
      </c>
      <c r="E93" s="2" t="n">
        <v>2</v>
      </c>
      <c r="F93" s="2" t="n">
        <f aca="false">SUMPRODUCT(('Anh xa'!$D$2:$D$581=A93)*1)</f>
        <v>2</v>
      </c>
      <c r="G93" s="2" t="str">
        <f aca="false">IF(AND(F93&gt;0,F93=E93),"✓","THIẾU")</f>
        <v>✓</v>
      </c>
    </row>
    <row r="94" customFormat="false" ht="15" hidden="false" customHeight="false" outlineLevel="0" collapsed="false">
      <c r="A94" s="2" t="s">
        <v>231</v>
      </c>
      <c r="B94" s="2" t="s">
        <v>63</v>
      </c>
      <c r="C94" s="2" t="s">
        <v>232</v>
      </c>
      <c r="D94" s="2" t="s">
        <v>1108</v>
      </c>
      <c r="E94" s="2" t="n">
        <v>2</v>
      </c>
      <c r="F94" s="2" t="n">
        <f aca="false">SUMPRODUCT(('Anh xa'!$D$2:$D$581=A94)*1)</f>
        <v>2</v>
      </c>
      <c r="G94" s="2" t="str">
        <f aca="false">IF(AND(F94&gt;0,F94=E94),"✓","THIẾU")</f>
        <v>✓</v>
      </c>
    </row>
    <row r="95" customFormat="false" ht="15" hidden="false" customHeight="false" outlineLevel="0" collapsed="false">
      <c r="A95" s="2" t="s">
        <v>611</v>
      </c>
      <c r="B95" s="2" t="s">
        <v>63</v>
      </c>
      <c r="C95" s="2" t="s">
        <v>612</v>
      </c>
      <c r="D95" s="2" t="s">
        <v>1109</v>
      </c>
      <c r="E95" s="2" t="n">
        <v>2</v>
      </c>
      <c r="F95" s="2" t="n">
        <f aca="false">SUMPRODUCT(('Anh xa'!$D$2:$D$581=A95)*1)</f>
        <v>2</v>
      </c>
      <c r="G95" s="2" t="str">
        <f aca="false">IF(AND(F95&gt;0,F95=E95),"✓","THIẾU")</f>
        <v>✓</v>
      </c>
    </row>
    <row r="96" customFormat="false" ht="15" hidden="false" customHeight="false" outlineLevel="0" collapsed="false">
      <c r="A96" s="2" t="s">
        <v>633</v>
      </c>
      <c r="B96" s="2" t="s">
        <v>63</v>
      </c>
      <c r="C96" s="2" t="s">
        <v>634</v>
      </c>
      <c r="D96" s="2" t="s">
        <v>1110</v>
      </c>
      <c r="E96" s="2" t="n">
        <v>3</v>
      </c>
      <c r="F96" s="2" t="n">
        <f aca="false">SUMPRODUCT(('Anh xa'!$D$2:$D$581=A96)*1)</f>
        <v>3</v>
      </c>
      <c r="G96" s="2" t="str">
        <f aca="false">IF(AND(F96&gt;0,F96=E96),"✓","THIẾU")</f>
        <v>✓</v>
      </c>
    </row>
    <row r="97" customFormat="false" ht="15" hidden="false" customHeight="false" outlineLevel="0" collapsed="false">
      <c r="A97" s="2" t="s">
        <v>645</v>
      </c>
      <c r="B97" s="2" t="s">
        <v>63</v>
      </c>
      <c r="C97" s="2" t="s">
        <v>644</v>
      </c>
      <c r="D97" s="2" t="s">
        <v>1111</v>
      </c>
      <c r="E97" s="2" t="n">
        <v>2</v>
      </c>
      <c r="F97" s="2" t="n">
        <f aca="false">SUMPRODUCT(('Anh xa'!$D$2:$D$581=A97)*1)</f>
        <v>2</v>
      </c>
      <c r="G97" s="2" t="str">
        <f aca="false">IF(AND(F97&gt;0,F97=E97),"✓","THIẾU")</f>
        <v>✓</v>
      </c>
    </row>
    <row r="98" customFormat="false" ht="15" hidden="false" customHeight="false" outlineLevel="0" collapsed="false">
      <c r="A98" s="2" t="s">
        <v>239</v>
      </c>
      <c r="B98" s="2" t="s">
        <v>63</v>
      </c>
      <c r="C98" s="2" t="s">
        <v>240</v>
      </c>
      <c r="D98" s="2" t="s">
        <v>1112</v>
      </c>
      <c r="E98" s="2" t="n">
        <v>3</v>
      </c>
      <c r="F98" s="2" t="n">
        <f aca="false">SUMPRODUCT(('Anh xa'!$D$2:$D$581=A98)*1)</f>
        <v>3</v>
      </c>
      <c r="G98" s="2" t="str">
        <f aca="false">IF(AND(F98&gt;0,F98=E98),"✓","THIẾU")</f>
        <v>✓</v>
      </c>
    </row>
    <row r="99" customFormat="false" ht="15" hidden="false" customHeight="false" outlineLevel="0" collapsed="false">
      <c r="A99" s="2" t="s">
        <v>686</v>
      </c>
      <c r="B99" s="2" t="s">
        <v>63</v>
      </c>
      <c r="C99" s="2" t="s">
        <v>685</v>
      </c>
      <c r="D99" s="2" t="s">
        <v>1113</v>
      </c>
      <c r="E99" s="2" t="n">
        <v>3</v>
      </c>
      <c r="F99" s="2" t="n">
        <f aca="false">SUMPRODUCT(('Anh xa'!$D$2:$D$581=A99)*1)</f>
        <v>3</v>
      </c>
      <c r="G99" s="2" t="str">
        <f aca="false">IF(AND(F99&gt;0,F99=E99),"✓","THIẾU")</f>
        <v>✓</v>
      </c>
    </row>
    <row r="100" customFormat="false" ht="15" hidden="false" customHeight="false" outlineLevel="0" collapsed="false">
      <c r="A100" s="2" t="s">
        <v>752</v>
      </c>
      <c r="B100" s="2" t="s">
        <v>63</v>
      </c>
      <c r="C100" s="2" t="s">
        <v>753</v>
      </c>
      <c r="D100" s="2" t="s">
        <v>750</v>
      </c>
      <c r="E100" s="2" t="n">
        <v>1</v>
      </c>
      <c r="F100" s="2" t="n">
        <f aca="false">SUMPRODUCT(('Anh xa'!$D$2:$D$581=A100)*1)</f>
        <v>1</v>
      </c>
      <c r="G100" s="2" t="str">
        <f aca="false">IF(AND(F100&gt;0,F100=E100),"✓","THIẾU")</f>
        <v>✓</v>
      </c>
    </row>
    <row r="101" customFormat="false" ht="15" hidden="false" customHeight="false" outlineLevel="0" collapsed="false">
      <c r="A101" s="2" t="s">
        <v>711</v>
      </c>
      <c r="B101" s="2" t="s">
        <v>63</v>
      </c>
      <c r="C101" s="2" t="s">
        <v>712</v>
      </c>
      <c r="D101" s="2" t="s">
        <v>1114</v>
      </c>
      <c r="E101" s="2" t="n">
        <v>2</v>
      </c>
      <c r="F101" s="2" t="n">
        <f aca="false">SUMPRODUCT(('Anh xa'!$D$2:$D$581=A101)*1)</f>
        <v>2</v>
      </c>
      <c r="G101" s="2" t="str">
        <f aca="false">IF(AND(F101&gt;0,F101=E101),"✓","THIẾU")</f>
        <v>✓</v>
      </c>
    </row>
    <row r="102" customFormat="false" ht="15" hidden="false" customHeight="false" outlineLevel="0" collapsed="false">
      <c r="A102" s="2" t="s">
        <v>277</v>
      </c>
      <c r="B102" s="2" t="s">
        <v>63</v>
      </c>
      <c r="C102" s="2" t="s">
        <v>278</v>
      </c>
      <c r="D102" s="2" t="s">
        <v>1115</v>
      </c>
      <c r="E102" s="2" t="n">
        <v>2</v>
      </c>
      <c r="F102" s="2" t="n">
        <f aca="false">SUMPRODUCT(('Anh xa'!$D$2:$D$581=A102)*1)</f>
        <v>2</v>
      </c>
      <c r="G102" s="2" t="str">
        <f aca="false">IF(AND(F102&gt;0,F102=E102),"✓","THIẾU")</f>
        <v>✓</v>
      </c>
    </row>
    <row r="103" customFormat="false" ht="15" hidden="false" customHeight="false" outlineLevel="0" collapsed="false">
      <c r="A103" s="2" t="s">
        <v>174</v>
      </c>
      <c r="B103" s="2" t="s">
        <v>63</v>
      </c>
      <c r="C103" s="2" t="s">
        <v>175</v>
      </c>
      <c r="D103" s="2" t="s">
        <v>1116</v>
      </c>
      <c r="E103" s="2" t="n">
        <v>2</v>
      </c>
      <c r="F103" s="2" t="n">
        <f aca="false">SUMPRODUCT(('Anh xa'!$D$2:$D$581=A103)*1)</f>
        <v>2</v>
      </c>
      <c r="G103" s="2" t="str">
        <f aca="false">IF(AND(F103&gt;0,F103=E103),"✓","THIẾU")</f>
        <v>✓</v>
      </c>
    </row>
    <row r="104" customFormat="false" ht="15" hidden="false" customHeight="false" outlineLevel="0" collapsed="false">
      <c r="A104" s="2" t="s">
        <v>360</v>
      </c>
      <c r="B104" s="2" t="s">
        <v>63</v>
      </c>
      <c r="C104" s="2" t="s">
        <v>361</v>
      </c>
      <c r="D104" s="2" t="s">
        <v>1117</v>
      </c>
      <c r="E104" s="2" t="n">
        <v>4</v>
      </c>
      <c r="F104" s="2" t="n">
        <f aca="false">SUMPRODUCT(('Anh xa'!$D$2:$D$581=A104)*1)</f>
        <v>4</v>
      </c>
      <c r="G104" s="2" t="str">
        <f aca="false">IF(AND(F104&gt;0,F104=E104),"✓","THIẾU")</f>
        <v>✓</v>
      </c>
    </row>
    <row r="105" customFormat="false" ht="15" hidden="false" customHeight="false" outlineLevel="0" collapsed="false">
      <c r="A105" s="2" t="s">
        <v>835</v>
      </c>
      <c r="B105" s="2" t="s">
        <v>63</v>
      </c>
      <c r="C105" s="2" t="s">
        <v>109</v>
      </c>
      <c r="D105" s="2" t="s">
        <v>1118</v>
      </c>
      <c r="E105" s="2" t="n">
        <v>2</v>
      </c>
      <c r="F105" s="2" t="n">
        <f aca="false">SUMPRODUCT(('Anh xa'!$D$2:$D$581=A105)*1)</f>
        <v>2</v>
      </c>
      <c r="G105" s="2" t="str">
        <f aca="false">IF(AND(F105&gt;0,F105=E105),"✓","THIẾU")</f>
        <v>✓</v>
      </c>
    </row>
    <row r="106" customFormat="false" ht="15" hidden="false" customHeight="false" outlineLevel="0" collapsed="false">
      <c r="A106" s="2" t="s">
        <v>305</v>
      </c>
      <c r="B106" s="2" t="s">
        <v>306</v>
      </c>
      <c r="C106" s="2" t="s">
        <v>307</v>
      </c>
      <c r="D106" s="2" t="s">
        <v>303</v>
      </c>
      <c r="E106" s="2" t="n">
        <v>1</v>
      </c>
      <c r="F106" s="2" t="n">
        <f aca="false">SUMPRODUCT(('Anh xa'!$D$2:$D$581=A106)*1)</f>
        <v>1</v>
      </c>
      <c r="G106" s="2" t="str">
        <f aca="false">IF(AND(F106&gt;0,F106=E106),"✓","THIẾU")</f>
        <v>✓</v>
      </c>
    </row>
    <row r="107" customFormat="false" ht="15" hidden="false" customHeight="false" outlineLevel="0" collapsed="false">
      <c r="A107" s="2" t="s">
        <v>309</v>
      </c>
      <c r="B107" s="2" t="s">
        <v>306</v>
      </c>
      <c r="C107" s="2" t="s">
        <v>310</v>
      </c>
      <c r="D107" s="2" t="s">
        <v>1119</v>
      </c>
      <c r="E107" s="2" t="n">
        <v>4</v>
      </c>
      <c r="F107" s="2" t="n">
        <f aca="false">SUMPRODUCT(('Anh xa'!$D$2:$D$581=A107)*1)</f>
        <v>4</v>
      </c>
      <c r="G107" s="2" t="str">
        <f aca="false">IF(AND(F107&gt;0,F107=E107),"✓","THIẾU")</f>
        <v>✓</v>
      </c>
    </row>
    <row r="108" customFormat="false" ht="15" hidden="false" customHeight="false" outlineLevel="0" collapsed="false">
      <c r="A108" s="2" t="s">
        <v>368</v>
      </c>
      <c r="B108" s="2" t="s">
        <v>306</v>
      </c>
      <c r="C108" s="2" t="s">
        <v>369</v>
      </c>
      <c r="D108" s="2" t="s">
        <v>1120</v>
      </c>
      <c r="E108" s="2" t="n">
        <v>5</v>
      </c>
      <c r="F108" s="2" t="n">
        <f aca="false">SUMPRODUCT(('Anh xa'!$D$2:$D$581=A108)*1)</f>
        <v>5</v>
      </c>
      <c r="G108" s="2" t="str">
        <f aca="false">IF(AND(F108&gt;0,F108=E108),"✓","THIẾU")</f>
        <v>✓</v>
      </c>
    </row>
    <row r="109" customFormat="false" ht="15" hidden="false" customHeight="false" outlineLevel="0" collapsed="false">
      <c r="A109" s="2" t="s">
        <v>350</v>
      </c>
      <c r="B109" s="2" t="s">
        <v>306</v>
      </c>
      <c r="C109" s="2" t="s">
        <v>351</v>
      </c>
      <c r="D109" s="2" t="s">
        <v>348</v>
      </c>
      <c r="E109" s="2" t="n">
        <v>1</v>
      </c>
      <c r="F109" s="2" t="n">
        <f aca="false">SUMPRODUCT(('Anh xa'!$D$2:$D$581=A109)*1)</f>
        <v>1</v>
      </c>
      <c r="G109" s="2" t="str">
        <f aca="false">IF(AND(F109&gt;0,F109=E109),"✓","THIẾU")</f>
        <v>✓</v>
      </c>
    </row>
    <row r="110" customFormat="false" ht="15" hidden="false" customHeight="false" outlineLevel="0" collapsed="false">
      <c r="A110" s="2" t="s">
        <v>326</v>
      </c>
      <c r="B110" s="2" t="s">
        <v>306</v>
      </c>
      <c r="C110" s="2" t="s">
        <v>327</v>
      </c>
      <c r="D110" s="2" t="s">
        <v>1121</v>
      </c>
      <c r="E110" s="2" t="n">
        <v>3</v>
      </c>
      <c r="F110" s="2" t="n">
        <f aca="false">SUMPRODUCT(('Anh xa'!$D$2:$D$581=A110)*1)</f>
        <v>3</v>
      </c>
      <c r="G110" s="2" t="str">
        <f aca="false">IF(AND(F110&gt;0,F110=E110),"✓","THIẾU")</f>
        <v>✓</v>
      </c>
    </row>
    <row r="111" customFormat="false" ht="15" hidden="false" customHeight="false" outlineLevel="0" collapsed="false">
      <c r="A111" s="2" t="s">
        <v>380</v>
      </c>
      <c r="B111" s="2" t="s">
        <v>306</v>
      </c>
      <c r="C111" s="2" t="s">
        <v>381</v>
      </c>
      <c r="D111" s="2" t="s">
        <v>378</v>
      </c>
      <c r="E111" s="2" t="n">
        <v>1</v>
      </c>
      <c r="F111" s="2" t="n">
        <f aca="false">SUMPRODUCT(('Anh xa'!$D$2:$D$581=A111)*1)</f>
        <v>1</v>
      </c>
      <c r="G111" s="2" t="str">
        <f aca="false">IF(AND(F111&gt;0,F111=E111),"✓","THIẾU")</f>
        <v>✓</v>
      </c>
    </row>
    <row r="112" customFormat="false" ht="15" hidden="false" customHeight="false" outlineLevel="0" collapsed="false">
      <c r="A112" s="2" t="s">
        <v>311</v>
      </c>
      <c r="B112" s="2" t="s">
        <v>306</v>
      </c>
      <c r="C112" s="2" t="s">
        <v>312</v>
      </c>
      <c r="D112" s="2" t="s">
        <v>303</v>
      </c>
      <c r="E112" s="2" t="n">
        <v>1</v>
      </c>
      <c r="F112" s="2" t="n">
        <f aca="false">SUMPRODUCT(('Anh xa'!$D$2:$D$581=A112)*1)</f>
        <v>1</v>
      </c>
      <c r="G112" s="2" t="str">
        <f aca="false">IF(AND(F112&gt;0,F112=E112),"✓","THIẾU")</f>
        <v>✓</v>
      </c>
    </row>
    <row r="113" customFormat="false" ht="15" hidden="false" customHeight="false" outlineLevel="0" collapsed="false">
      <c r="A113" s="2" t="s">
        <v>314</v>
      </c>
      <c r="B113" s="2" t="s">
        <v>306</v>
      </c>
      <c r="C113" s="2" t="s">
        <v>315</v>
      </c>
      <c r="D113" s="2" t="s">
        <v>303</v>
      </c>
      <c r="E113" s="2" t="n">
        <v>1</v>
      </c>
      <c r="F113" s="2" t="n">
        <f aca="false">SUMPRODUCT(('Anh xa'!$D$2:$D$581=A113)*1)</f>
        <v>1</v>
      </c>
      <c r="G113" s="2" t="str">
        <f aca="false">IF(AND(F113&gt;0,F113=E113),"✓","THIẾU")</f>
        <v>✓</v>
      </c>
    </row>
    <row r="114" customFormat="false" ht="15" hidden="false" customHeight="false" outlineLevel="0" collapsed="false">
      <c r="A114" s="2" t="s">
        <v>918</v>
      </c>
      <c r="B114" s="2" t="s">
        <v>306</v>
      </c>
      <c r="C114" s="2" t="s">
        <v>919</v>
      </c>
      <c r="D114" s="2" t="s">
        <v>1122</v>
      </c>
      <c r="E114" s="2" t="n">
        <v>2</v>
      </c>
      <c r="F114" s="2" t="n">
        <f aca="false">SUMPRODUCT(('Anh xa'!$D$2:$D$581=A114)*1)</f>
        <v>2</v>
      </c>
      <c r="G114" s="2" t="str">
        <f aca="false">IF(AND(F114&gt;0,F114=E114),"✓","THIẾU")</f>
        <v>✓</v>
      </c>
    </row>
    <row r="115" customFormat="false" ht="15" hidden="false" customHeight="false" outlineLevel="0" collapsed="false">
      <c r="A115" s="2" t="s">
        <v>322</v>
      </c>
      <c r="B115" s="2" t="s">
        <v>117</v>
      </c>
      <c r="C115" s="2" t="s">
        <v>323</v>
      </c>
      <c r="D115" s="2" t="s">
        <v>320</v>
      </c>
      <c r="E115" s="2" t="n">
        <v>1</v>
      </c>
      <c r="F115" s="2" t="n">
        <f aca="false">SUMPRODUCT(('Anh xa'!$D$2:$D$581=A115)*1)</f>
        <v>1</v>
      </c>
      <c r="G115" s="2" t="str">
        <f aca="false">IF(AND(F115&gt;0,F115=E115),"✓","THIẾU")</f>
        <v>✓</v>
      </c>
    </row>
    <row r="116" customFormat="false" ht="23.85" hidden="false" customHeight="false" outlineLevel="0" collapsed="false">
      <c r="A116" s="2" t="s">
        <v>156</v>
      </c>
      <c r="B116" s="2" t="s">
        <v>117</v>
      </c>
      <c r="C116" s="2" t="s">
        <v>157</v>
      </c>
      <c r="D116" s="2" t="s">
        <v>1123</v>
      </c>
      <c r="E116" s="2" t="n">
        <v>10</v>
      </c>
      <c r="F116" s="2" t="n">
        <f aca="false">SUMPRODUCT(('Anh xa'!$D$2:$D$581=A116)*1)</f>
        <v>10</v>
      </c>
      <c r="G116" s="2" t="str">
        <f aca="false">IF(AND(F116&gt;0,F116=E116),"✓","THIẾU")</f>
        <v>✓</v>
      </c>
    </row>
    <row r="117" customFormat="false" ht="15" hidden="false" customHeight="false" outlineLevel="0" collapsed="false">
      <c r="A117" s="2" t="s">
        <v>116</v>
      </c>
      <c r="B117" s="2" t="s">
        <v>117</v>
      </c>
      <c r="C117" s="2" t="s">
        <v>118</v>
      </c>
      <c r="D117" s="2" t="s">
        <v>1124</v>
      </c>
      <c r="E117" s="2" t="n">
        <v>4</v>
      </c>
      <c r="F117" s="2" t="n">
        <f aca="false">SUMPRODUCT(('Anh xa'!$D$2:$D$581=A117)*1)</f>
        <v>4</v>
      </c>
      <c r="G117" s="2" t="str">
        <f aca="false">IF(AND(F117&gt;0,F117=E117),"✓","THIẾU")</f>
        <v>✓</v>
      </c>
    </row>
    <row r="118" customFormat="false" ht="15" hidden="false" customHeight="false" outlineLevel="0" collapsed="false">
      <c r="A118" s="2" t="s">
        <v>324</v>
      </c>
      <c r="B118" s="2" t="s">
        <v>117</v>
      </c>
      <c r="C118" s="2" t="s">
        <v>325</v>
      </c>
      <c r="D118" s="2" t="s">
        <v>320</v>
      </c>
      <c r="E118" s="2" t="n">
        <v>1</v>
      </c>
      <c r="F118" s="2" t="n">
        <f aca="false">SUMPRODUCT(('Anh xa'!$D$2:$D$581=A118)*1)</f>
        <v>1</v>
      </c>
      <c r="G118" s="2" t="str">
        <f aca="false">IF(AND(F118&gt;0,F118=E118),"✓","THIẾU")</f>
        <v>✓</v>
      </c>
    </row>
    <row r="119" customFormat="false" ht="23.85" hidden="false" customHeight="false" outlineLevel="0" collapsed="false">
      <c r="A119" s="2" t="s">
        <v>257</v>
      </c>
      <c r="B119" s="2" t="s">
        <v>117</v>
      </c>
      <c r="C119" s="2" t="s">
        <v>258</v>
      </c>
      <c r="D119" s="2" t="s">
        <v>1125</v>
      </c>
      <c r="E119" s="2" t="n">
        <v>17</v>
      </c>
      <c r="F119" s="2" t="n">
        <f aca="false">SUMPRODUCT(('Anh xa'!$D$2:$D$581=A119)*1)</f>
        <v>17</v>
      </c>
      <c r="G119" s="2" t="str">
        <f aca="false">IF(AND(F119&gt;0,F119=E119),"✓","THIẾU")</f>
        <v>✓</v>
      </c>
    </row>
    <row r="120" customFormat="false" ht="15" hidden="false" customHeight="false" outlineLevel="0" collapsed="false">
      <c r="A120" s="2" t="s">
        <v>334</v>
      </c>
      <c r="B120" s="2" t="s">
        <v>163</v>
      </c>
      <c r="C120" s="2" t="s">
        <v>335</v>
      </c>
      <c r="D120" s="2" t="s">
        <v>1126</v>
      </c>
      <c r="E120" s="2" t="n">
        <v>3</v>
      </c>
      <c r="F120" s="2" t="n">
        <f aca="false">SUMPRODUCT(('Anh xa'!$D$2:$D$581=A120)*1)</f>
        <v>3</v>
      </c>
      <c r="G120" s="2" t="str">
        <f aca="false">IF(AND(F120&gt;0,F120=E120),"✓","THIẾU")</f>
        <v>✓</v>
      </c>
    </row>
    <row r="121" customFormat="false" ht="15" hidden="false" customHeight="false" outlineLevel="0" collapsed="false">
      <c r="A121" s="2" t="s">
        <v>162</v>
      </c>
      <c r="B121" s="2" t="s">
        <v>163</v>
      </c>
      <c r="C121" s="2" t="s">
        <v>164</v>
      </c>
      <c r="D121" s="2" t="s">
        <v>1127</v>
      </c>
      <c r="E121" s="2" t="n">
        <v>3</v>
      </c>
      <c r="F121" s="2" t="n">
        <f aca="false">SUMPRODUCT(('Anh xa'!$D$2:$D$581=A121)*1)</f>
        <v>3</v>
      </c>
      <c r="G121" s="2" t="str">
        <f aca="false">IF(AND(F121&gt;0,F121=E121),"✓","THIẾU")</f>
        <v>✓</v>
      </c>
    </row>
    <row r="122" customFormat="false" ht="15" hidden="false" customHeight="false" outlineLevel="0" collapsed="false">
      <c r="A122" s="2" t="s">
        <v>487</v>
      </c>
      <c r="B122" s="2" t="s">
        <v>163</v>
      </c>
      <c r="C122" s="2" t="s">
        <v>488</v>
      </c>
      <c r="D122" s="2" t="s">
        <v>1128</v>
      </c>
      <c r="E122" s="2" t="n">
        <v>3</v>
      </c>
      <c r="F122" s="2" t="n">
        <f aca="false">SUMPRODUCT(('Anh xa'!$D$2:$D$581=A122)*1)</f>
        <v>3</v>
      </c>
      <c r="G122" s="2" t="str">
        <f aca="false">IF(AND(F122&gt;0,F122=E122),"✓","THIẾU")</f>
        <v>✓</v>
      </c>
    </row>
    <row r="123" customFormat="false" ht="15" hidden="false" customHeight="false" outlineLevel="0" collapsed="false">
      <c r="A123" s="2" t="s">
        <v>354</v>
      </c>
      <c r="B123" s="2" t="s">
        <v>163</v>
      </c>
      <c r="C123" s="2" t="s">
        <v>355</v>
      </c>
      <c r="D123" s="2" t="s">
        <v>352</v>
      </c>
      <c r="E123" s="2" t="n">
        <v>1</v>
      </c>
      <c r="F123" s="2" t="n">
        <f aca="false">SUMPRODUCT(('Anh xa'!$D$2:$D$581=A123)*1)</f>
        <v>1</v>
      </c>
      <c r="G123" s="2" t="str">
        <f aca="false">IF(AND(F123&gt;0,F123=E123),"✓","THIẾU")</f>
        <v>✓</v>
      </c>
    </row>
    <row r="124" customFormat="false" ht="15" hidden="false" customHeight="false" outlineLevel="0" collapsed="false">
      <c r="A124" s="2" t="s">
        <v>956</v>
      </c>
      <c r="B124" s="2" t="s">
        <v>163</v>
      </c>
      <c r="C124" s="2" t="s">
        <v>957</v>
      </c>
      <c r="D124" s="2" t="s">
        <v>1129</v>
      </c>
      <c r="E124" s="2" t="n">
        <v>2</v>
      </c>
      <c r="F124" s="2" t="n">
        <f aca="false">SUMPRODUCT(('Anh xa'!$D$2:$D$581=A124)*1)</f>
        <v>2</v>
      </c>
      <c r="G124" s="2" t="str">
        <f aca="false">IF(AND(F124&gt;0,F124=E124),"✓","THIẾU")</f>
        <v>✓</v>
      </c>
    </row>
    <row r="125" customFormat="false" ht="15" hidden="false" customHeight="false" outlineLevel="0" collapsed="false">
      <c r="A125" s="2" t="s">
        <v>868</v>
      </c>
      <c r="B125" s="2" t="s">
        <v>163</v>
      </c>
      <c r="C125" s="2" t="s">
        <v>869</v>
      </c>
      <c r="D125" s="2" t="s">
        <v>1130</v>
      </c>
      <c r="E125" s="2" t="n">
        <v>2</v>
      </c>
      <c r="F125" s="2" t="n">
        <f aca="false">SUMPRODUCT(('Anh xa'!$D$2:$D$581=A125)*1)</f>
        <v>2</v>
      </c>
      <c r="G125" s="2" t="str">
        <f aca="false">IF(AND(F125&gt;0,F125=E125),"✓","THIẾU")</f>
        <v>✓</v>
      </c>
    </row>
    <row r="126" customFormat="false" ht="15" hidden="false" customHeight="false" outlineLevel="0" collapsed="false">
      <c r="A126" s="2" t="s">
        <v>336</v>
      </c>
      <c r="B126" s="2" t="s">
        <v>337</v>
      </c>
      <c r="C126" s="2" t="s">
        <v>338</v>
      </c>
      <c r="D126" s="2" t="s">
        <v>1131</v>
      </c>
      <c r="E126" s="2" t="n">
        <v>5</v>
      </c>
      <c r="F126" s="2" t="n">
        <f aca="false">SUMPRODUCT(('Anh xa'!$D$2:$D$581=A126)*1)</f>
        <v>5</v>
      </c>
      <c r="G126" s="2" t="str">
        <f aca="false">IF(AND(F126&gt;0,F126=E126),"✓","THIẾU")</f>
        <v>✓</v>
      </c>
    </row>
    <row r="127" customFormat="false" ht="15" hidden="false" customHeight="false" outlineLevel="0" collapsed="false">
      <c r="A127" s="2" t="s">
        <v>386</v>
      </c>
      <c r="B127" s="2" t="s">
        <v>337</v>
      </c>
      <c r="C127" s="2" t="s">
        <v>387</v>
      </c>
      <c r="D127" s="2" t="s">
        <v>1132</v>
      </c>
      <c r="E127" s="2" t="n">
        <v>2</v>
      </c>
      <c r="F127" s="2" t="n">
        <f aca="false">SUMPRODUCT(('Anh xa'!$D$2:$D$581=A127)*1)</f>
        <v>2</v>
      </c>
      <c r="G127" s="2" t="str">
        <f aca="false">IF(AND(F127&gt;0,F127=E127),"✓","THIẾU")</f>
        <v>✓</v>
      </c>
    </row>
    <row r="128" customFormat="false" ht="23.85" hidden="false" customHeight="false" outlineLevel="0" collapsed="false">
      <c r="A128" s="2" t="s">
        <v>529</v>
      </c>
      <c r="B128" s="2" t="s">
        <v>337</v>
      </c>
      <c r="C128" s="2" t="s">
        <v>530</v>
      </c>
      <c r="D128" s="2" t="s">
        <v>527</v>
      </c>
      <c r="E128" s="2" t="n">
        <v>1</v>
      </c>
      <c r="F128" s="2" t="n">
        <f aca="false">SUMPRODUCT(('Anh xa'!$D$2:$D$581=A128)*1)</f>
        <v>1</v>
      </c>
      <c r="G128" s="2" t="str">
        <f aca="false">IF(AND(F128&gt;0,F128=E128),"✓","THIẾU")</f>
        <v>✓</v>
      </c>
    </row>
    <row r="129" customFormat="false" ht="15" hidden="false" customHeight="false" outlineLevel="0" collapsed="false">
      <c r="A129" s="2" t="s">
        <v>344</v>
      </c>
      <c r="B129" s="2" t="s">
        <v>337</v>
      </c>
      <c r="C129" s="2" t="s">
        <v>345</v>
      </c>
      <c r="D129" s="2" t="s">
        <v>1133</v>
      </c>
      <c r="E129" s="2" t="n">
        <v>3</v>
      </c>
      <c r="F129" s="2" t="n">
        <f aca="false">SUMPRODUCT(('Anh xa'!$D$2:$D$581=A129)*1)</f>
        <v>3</v>
      </c>
      <c r="G129" s="2" t="str">
        <f aca="false">IF(AND(F129&gt;0,F129=E129),"✓","THIẾU")</f>
        <v>✓</v>
      </c>
    </row>
    <row r="130" customFormat="false" ht="15" hidden="false" customHeight="false" outlineLevel="0" collapsed="false">
      <c r="A130" s="2" t="s">
        <v>625</v>
      </c>
      <c r="B130" s="2" t="s">
        <v>337</v>
      </c>
      <c r="C130" s="2" t="s">
        <v>626</v>
      </c>
      <c r="D130" s="2" t="s">
        <v>619</v>
      </c>
      <c r="E130" s="2" t="n">
        <v>1</v>
      </c>
      <c r="F130" s="2" t="n">
        <f aca="false">SUMPRODUCT(('Anh xa'!$D$2:$D$581=A130)*1)</f>
        <v>1</v>
      </c>
      <c r="G130" s="2" t="str">
        <f aca="false">IF(AND(F130&gt;0,F130=E130),"✓","THIẾU")</f>
        <v>✓</v>
      </c>
    </row>
    <row r="131" customFormat="false" ht="15" hidden="false" customHeight="false" outlineLevel="0" collapsed="false">
      <c r="A131" s="2" t="s">
        <v>811</v>
      </c>
      <c r="B131" s="2" t="s">
        <v>53</v>
      </c>
      <c r="C131" s="2" t="s">
        <v>812</v>
      </c>
      <c r="D131" s="2" t="s">
        <v>1134</v>
      </c>
      <c r="E131" s="2" t="n">
        <v>2</v>
      </c>
      <c r="F131" s="2" t="n">
        <f aca="false">SUMPRODUCT(('Anh xa'!$D$2:$D$581=A131)*1)</f>
        <v>2</v>
      </c>
      <c r="G131" s="2" t="str">
        <f aca="false">IF(AND(F131&gt;0,F131=E131),"✓","THIẾU")</f>
        <v>✓</v>
      </c>
    </row>
    <row r="132" customFormat="false" ht="15" hidden="false" customHeight="false" outlineLevel="0" collapsed="false">
      <c r="A132" s="2" t="s">
        <v>639</v>
      </c>
      <c r="B132" s="2" t="s">
        <v>53</v>
      </c>
      <c r="C132" s="2" t="s">
        <v>640</v>
      </c>
      <c r="D132" s="2" t="s">
        <v>1135</v>
      </c>
      <c r="E132" s="2" t="n">
        <v>2</v>
      </c>
      <c r="F132" s="2" t="n">
        <f aca="false">SUMPRODUCT(('Anh xa'!$D$2:$D$581=A132)*1)</f>
        <v>2</v>
      </c>
      <c r="G132" s="2" t="str">
        <f aca="false">IF(AND(F132&gt;0,F132=E132),"✓","THIẾU")</f>
        <v>✓</v>
      </c>
    </row>
    <row r="133" customFormat="false" ht="15" hidden="false" customHeight="false" outlineLevel="0" collapsed="false">
      <c r="A133" s="2" t="s">
        <v>825</v>
      </c>
      <c r="B133" s="2" t="s">
        <v>53</v>
      </c>
      <c r="C133" s="2" t="s">
        <v>826</v>
      </c>
      <c r="D133" s="2" t="s">
        <v>823</v>
      </c>
      <c r="E133" s="2" t="n">
        <v>1</v>
      </c>
      <c r="F133" s="2" t="n">
        <f aca="false">SUMPRODUCT(('Anh xa'!$D$2:$D$581=A133)*1)</f>
        <v>1</v>
      </c>
      <c r="G133" s="2" t="str">
        <f aca="false">IF(AND(F133&gt;0,F133=E133),"✓","THIẾU")</f>
        <v>✓</v>
      </c>
    </row>
    <row r="134" customFormat="false" ht="15" hidden="false" customHeight="false" outlineLevel="0" collapsed="false">
      <c r="A134" s="2" t="s">
        <v>844</v>
      </c>
      <c r="B134" s="2" t="s">
        <v>53</v>
      </c>
      <c r="C134" s="2" t="s">
        <v>845</v>
      </c>
      <c r="D134" s="2" t="s">
        <v>840</v>
      </c>
      <c r="E134" s="2" t="n">
        <v>1</v>
      </c>
      <c r="F134" s="2" t="n">
        <f aca="false">SUMPRODUCT(('Anh xa'!$D$2:$D$581=A134)*1)</f>
        <v>1</v>
      </c>
      <c r="G134" s="2" t="str">
        <f aca="false">IF(AND(F134&gt;0,F134=E134),"✓","THIẾU")</f>
        <v>✓</v>
      </c>
    </row>
    <row r="135" customFormat="false" ht="15" hidden="false" customHeight="false" outlineLevel="0" collapsed="false">
      <c r="A135" s="2" t="s">
        <v>735</v>
      </c>
      <c r="B135" s="2" t="s">
        <v>53</v>
      </c>
      <c r="C135" s="2" t="s">
        <v>736</v>
      </c>
      <c r="D135" s="2" t="s">
        <v>1136</v>
      </c>
      <c r="E135" s="2" t="n">
        <v>3</v>
      </c>
      <c r="F135" s="2" t="n">
        <f aca="false">SUMPRODUCT(('Anh xa'!$D$2:$D$581=A135)*1)</f>
        <v>3</v>
      </c>
      <c r="G135" s="2" t="str">
        <f aca="false">IF(AND(F135&gt;0,F135=E135),"✓","THIẾU")</f>
        <v>✓</v>
      </c>
    </row>
    <row r="136" customFormat="false" ht="15" hidden="false" customHeight="false" outlineLevel="0" collapsed="false">
      <c r="A136" s="2" t="s">
        <v>114</v>
      </c>
      <c r="B136" s="2" t="s">
        <v>53</v>
      </c>
      <c r="C136" s="2" t="s">
        <v>115</v>
      </c>
      <c r="D136" s="2" t="s">
        <v>1137</v>
      </c>
      <c r="E136" s="2" t="n">
        <v>5</v>
      </c>
      <c r="F136" s="2" t="n">
        <f aca="false">SUMPRODUCT(('Anh xa'!$D$2:$D$581=A136)*1)</f>
        <v>5</v>
      </c>
      <c r="G136" s="2" t="str">
        <f aca="false">IF(AND(F136&gt;0,F136=E136),"✓","THIẾU")</f>
        <v>✓</v>
      </c>
    </row>
    <row r="137" customFormat="false" ht="15" hidden="false" customHeight="false" outlineLevel="0" collapsed="false">
      <c r="A137" s="2" t="s">
        <v>52</v>
      </c>
      <c r="B137" s="2" t="s">
        <v>53</v>
      </c>
      <c r="C137" s="2" t="s">
        <v>54</v>
      </c>
      <c r="D137" s="2" t="s">
        <v>1138</v>
      </c>
      <c r="E137" s="2" t="n">
        <v>5</v>
      </c>
      <c r="F137" s="2" t="n">
        <f aca="false">SUMPRODUCT(('Anh xa'!$D$2:$D$581=A137)*1)</f>
        <v>5</v>
      </c>
      <c r="G137" s="2" t="str">
        <f aca="false">IF(AND(F137&gt;0,F137=E137),"✓","THIẾU")</f>
        <v>✓</v>
      </c>
    </row>
    <row r="138" customFormat="false" ht="15" hidden="false" customHeight="false" outlineLevel="0" collapsed="false">
      <c r="A138" s="2" t="s">
        <v>245</v>
      </c>
      <c r="B138" s="2" t="s">
        <v>53</v>
      </c>
      <c r="C138" s="2" t="s">
        <v>246</v>
      </c>
      <c r="D138" s="2" t="s">
        <v>1139</v>
      </c>
      <c r="E138" s="2" t="n">
        <v>2</v>
      </c>
      <c r="F138" s="2" t="n">
        <f aca="false">SUMPRODUCT(('Anh xa'!$D$2:$D$581=A138)*1)</f>
        <v>2</v>
      </c>
      <c r="G138" s="2" t="str">
        <f aca="false">IF(AND(F138&gt;0,F138=E138),"✓","THIẾU")</f>
        <v>✓</v>
      </c>
    </row>
    <row r="139" customFormat="false" ht="15" hidden="false" customHeight="false" outlineLevel="0" collapsed="false">
      <c r="A139" s="2" t="s">
        <v>273</v>
      </c>
      <c r="B139" s="2" t="s">
        <v>109</v>
      </c>
      <c r="C139" s="2" t="s">
        <v>274</v>
      </c>
      <c r="D139" s="2" t="s">
        <v>1140</v>
      </c>
      <c r="E139" s="2" t="n">
        <v>4</v>
      </c>
      <c r="F139" s="2" t="n">
        <f aca="false">SUMPRODUCT(('Anh xa'!$D$2:$D$581=A139)*1)</f>
        <v>4</v>
      </c>
      <c r="G139" s="2" t="str">
        <f aca="false">IF(AND(F139&gt;0,F139=E139),"✓","THIẾU")</f>
        <v>✓</v>
      </c>
    </row>
    <row r="140" customFormat="false" ht="15" hidden="false" customHeight="false" outlineLevel="0" collapsed="false">
      <c r="A140" s="2" t="s">
        <v>705</v>
      </c>
      <c r="B140" s="2" t="s">
        <v>109</v>
      </c>
      <c r="C140" s="2" t="s">
        <v>706</v>
      </c>
      <c r="D140" s="2" t="s">
        <v>1141</v>
      </c>
      <c r="E140" s="2" t="n">
        <v>3</v>
      </c>
      <c r="F140" s="2" t="n">
        <f aca="false">SUMPRODUCT(('Anh xa'!$D$2:$D$581=A140)*1)</f>
        <v>3</v>
      </c>
      <c r="G140" s="2" t="str">
        <f aca="false">IF(AND(F140&gt;0,F140=E140),"✓","THIẾU")</f>
        <v>✓</v>
      </c>
    </row>
    <row r="141" customFormat="false" ht="15" hidden="false" customHeight="false" outlineLevel="0" collapsed="false">
      <c r="A141" s="2" t="s">
        <v>856</v>
      </c>
      <c r="B141" s="2" t="s">
        <v>109</v>
      </c>
      <c r="C141" s="2" t="s">
        <v>857</v>
      </c>
      <c r="D141" s="2" t="s">
        <v>854</v>
      </c>
      <c r="E141" s="2" t="n">
        <v>1</v>
      </c>
      <c r="F141" s="2" t="n">
        <f aca="false">SUMPRODUCT(('Anh xa'!$D$2:$D$581=A141)*1)</f>
        <v>1</v>
      </c>
      <c r="G141" s="2" t="str">
        <f aca="false">IF(AND(F141&gt;0,F141=E141),"✓","THIẾU")</f>
        <v>✓</v>
      </c>
    </row>
    <row r="142" customFormat="false" ht="15" hidden="false" customHeight="false" outlineLevel="0" collapsed="false">
      <c r="A142" s="2" t="s">
        <v>780</v>
      </c>
      <c r="B142" s="2" t="s">
        <v>109</v>
      </c>
      <c r="C142" s="2" t="s">
        <v>781</v>
      </c>
      <c r="D142" s="2" t="s">
        <v>1142</v>
      </c>
      <c r="E142" s="2" t="n">
        <v>3</v>
      </c>
      <c r="F142" s="2" t="n">
        <f aca="false">SUMPRODUCT(('Anh xa'!$D$2:$D$581=A142)*1)</f>
        <v>3</v>
      </c>
      <c r="G142" s="2" t="str">
        <f aca="false">IF(AND(F142&gt;0,F142=E142),"✓","THIẾU")</f>
        <v>✓</v>
      </c>
    </row>
    <row r="143" customFormat="false" ht="15" hidden="false" customHeight="false" outlineLevel="0" collapsed="false">
      <c r="A143" s="2" t="s">
        <v>842</v>
      </c>
      <c r="B143" s="2" t="s">
        <v>109</v>
      </c>
      <c r="C143" s="2" t="s">
        <v>843</v>
      </c>
      <c r="D143" s="2" t="s">
        <v>840</v>
      </c>
      <c r="E143" s="2" t="n">
        <v>1</v>
      </c>
      <c r="F143" s="2" t="n">
        <f aca="false">SUMPRODUCT(('Anh xa'!$D$2:$D$581=A143)*1)</f>
        <v>1</v>
      </c>
      <c r="G143" s="2" t="str">
        <f aca="false">IF(AND(F143&gt;0,F143=E143),"✓","THIẾU")</f>
        <v>✓</v>
      </c>
    </row>
    <row r="144" customFormat="false" ht="15" hidden="false" customHeight="false" outlineLevel="0" collapsed="false">
      <c r="A144" s="2" t="s">
        <v>848</v>
      </c>
      <c r="B144" s="2" t="s">
        <v>109</v>
      </c>
      <c r="C144" s="2" t="s">
        <v>849</v>
      </c>
      <c r="D144" s="2" t="s">
        <v>846</v>
      </c>
      <c r="E144" s="2" t="n">
        <v>1</v>
      </c>
      <c r="F144" s="2" t="n">
        <f aca="false">SUMPRODUCT(('Anh xa'!$D$2:$D$581=A144)*1)</f>
        <v>1</v>
      </c>
      <c r="G144" s="2" t="str">
        <f aca="false">IF(AND(F144&gt;0,F144=E144),"✓","THIẾU")</f>
        <v>✓</v>
      </c>
    </row>
    <row r="145" customFormat="false" ht="15" hidden="false" customHeight="false" outlineLevel="0" collapsed="false">
      <c r="A145" s="2" t="s">
        <v>108</v>
      </c>
      <c r="B145" s="2" t="s">
        <v>109</v>
      </c>
      <c r="C145" s="2" t="s">
        <v>110</v>
      </c>
      <c r="D145" s="2" t="s">
        <v>1143</v>
      </c>
      <c r="E145" s="2" t="n">
        <v>2</v>
      </c>
      <c r="F145" s="2" t="n">
        <f aca="false">SUMPRODUCT(('Anh xa'!$D$2:$D$581=A145)*1)</f>
        <v>2</v>
      </c>
      <c r="G145" s="2" t="str">
        <f aca="false">IF(AND(F145&gt;0,F145=E145),"✓","THIẾU")</f>
        <v>✓</v>
      </c>
    </row>
    <row r="146" customFormat="false" ht="15" hidden="false" customHeight="false" outlineLevel="0" collapsed="false">
      <c r="A146" s="2" t="s">
        <v>852</v>
      </c>
      <c r="B146" s="2" t="s">
        <v>109</v>
      </c>
      <c r="C146" s="2" t="s">
        <v>853</v>
      </c>
      <c r="D146" s="2" t="s">
        <v>1144</v>
      </c>
      <c r="E146" s="2" t="n">
        <v>2</v>
      </c>
      <c r="F146" s="2" t="n">
        <f aca="false">SUMPRODUCT(('Anh xa'!$D$2:$D$581=A146)*1)</f>
        <v>2</v>
      </c>
      <c r="G146" s="2" t="str">
        <f aca="false">IF(AND(F146&gt;0,F146=E146),"✓","THIẾU")</f>
        <v>✓</v>
      </c>
    </row>
    <row r="147" customFormat="false" ht="15" hidden="false" customHeight="false" outlineLevel="0" collapsed="false">
      <c r="A147" s="2" t="s">
        <v>72</v>
      </c>
      <c r="B147" s="2" t="s">
        <v>73</v>
      </c>
      <c r="C147" s="2" t="s">
        <v>74</v>
      </c>
      <c r="D147" s="2" t="s">
        <v>1145</v>
      </c>
      <c r="E147" s="2" t="n">
        <v>2</v>
      </c>
      <c r="F147" s="2" t="n">
        <f aca="false">SUMPRODUCT(('Anh xa'!$D$2:$D$581=A147)*1)</f>
        <v>2</v>
      </c>
      <c r="G147" s="2" t="str">
        <f aca="false">IF(AND(F147&gt;0,F147=E147),"✓","THIẾU")</f>
        <v>✓</v>
      </c>
    </row>
    <row r="148" customFormat="false" ht="15" hidden="false" customHeight="false" outlineLevel="0" collapsed="false">
      <c r="A148" s="2" t="s">
        <v>76</v>
      </c>
      <c r="B148" s="2" t="s">
        <v>73</v>
      </c>
      <c r="C148" s="2" t="s">
        <v>77</v>
      </c>
      <c r="D148" s="2" t="s">
        <v>1146</v>
      </c>
      <c r="E148" s="2" t="n">
        <v>3</v>
      </c>
      <c r="F148" s="2" t="n">
        <f aca="false">SUMPRODUCT(('Anh xa'!$D$2:$D$581=A148)*1)</f>
        <v>3</v>
      </c>
      <c r="G148" s="2" t="str">
        <f aca="false">IF(AND(F148&gt;0,F148=E148),"✓","THIẾU")</f>
        <v>✓</v>
      </c>
    </row>
    <row r="149" customFormat="false" ht="15" hidden="false" customHeight="false" outlineLevel="0" collapsed="false">
      <c r="A149" s="2" t="s">
        <v>78</v>
      </c>
      <c r="B149" s="2" t="s">
        <v>73</v>
      </c>
      <c r="C149" s="2" t="s">
        <v>79</v>
      </c>
      <c r="D149" s="2" t="s">
        <v>1147</v>
      </c>
      <c r="E149" s="2" t="n">
        <v>5</v>
      </c>
      <c r="F149" s="2" t="n">
        <f aca="false">SUMPRODUCT(('Anh xa'!$D$2:$D$581=A149)*1)</f>
        <v>5</v>
      </c>
      <c r="G149" s="2" t="str">
        <f aca="false">IF(AND(F149&gt;0,F149=E149),"✓","THIẾU")</f>
        <v>✓</v>
      </c>
    </row>
    <row r="150" customFormat="false" ht="15" hidden="false" customHeight="false" outlineLevel="0" collapsed="false">
      <c r="A150" s="2" t="s">
        <v>80</v>
      </c>
      <c r="B150" s="2" t="s">
        <v>73</v>
      </c>
      <c r="C150" s="2" t="s">
        <v>81</v>
      </c>
      <c r="D150" s="2" t="s">
        <v>1148</v>
      </c>
      <c r="E150" s="2" t="n">
        <v>5</v>
      </c>
      <c r="F150" s="2" t="n">
        <f aca="false">SUMPRODUCT(('Anh xa'!$D$2:$D$581=A150)*1)</f>
        <v>5</v>
      </c>
      <c r="G150" s="2" t="str">
        <f aca="false">IF(AND(F150&gt;0,F150=E150),"✓","THIẾU")</f>
        <v>✓</v>
      </c>
    </row>
    <row r="151" customFormat="false" ht="15" hidden="false" customHeight="false" outlineLevel="0" collapsed="false">
      <c r="A151" s="2" t="s">
        <v>191</v>
      </c>
      <c r="B151" s="2" t="s">
        <v>67</v>
      </c>
      <c r="C151" s="2" t="s">
        <v>192</v>
      </c>
      <c r="D151" s="2" t="s">
        <v>1149</v>
      </c>
      <c r="E151" s="2" t="n">
        <v>5</v>
      </c>
      <c r="F151" s="2" t="n">
        <f aca="false">SUMPRODUCT(('Anh xa'!$D$2:$D$581=A151)*1)</f>
        <v>5</v>
      </c>
      <c r="G151" s="2" t="str">
        <f aca="false">IF(AND(F151&gt;0,F151=E151),"✓","THIẾU")</f>
        <v>✓</v>
      </c>
    </row>
    <row r="152" customFormat="false" ht="15" hidden="false" customHeight="false" outlineLevel="0" collapsed="false">
      <c r="A152" s="2" t="s">
        <v>430</v>
      </c>
      <c r="B152" s="2" t="s">
        <v>67</v>
      </c>
      <c r="C152" s="2" t="s">
        <v>431</v>
      </c>
      <c r="D152" s="2" t="s">
        <v>1150</v>
      </c>
      <c r="E152" s="2" t="n">
        <v>3</v>
      </c>
      <c r="F152" s="2" t="n">
        <f aca="false">SUMPRODUCT(('Anh xa'!$D$2:$D$581=A152)*1)</f>
        <v>3</v>
      </c>
      <c r="G152" s="2" t="str">
        <f aca="false">IF(AND(F152&gt;0,F152=E152),"✓","THIẾU")</f>
        <v>✓</v>
      </c>
    </row>
    <row r="153" customFormat="false" ht="15" hidden="false" customHeight="false" outlineLevel="0" collapsed="false">
      <c r="A153" s="2" t="s">
        <v>424</v>
      </c>
      <c r="B153" s="2" t="s">
        <v>67</v>
      </c>
      <c r="C153" s="2" t="s">
        <v>425</v>
      </c>
      <c r="D153" s="2" t="s">
        <v>1151</v>
      </c>
      <c r="E153" s="2" t="n">
        <v>2</v>
      </c>
      <c r="F153" s="2" t="n">
        <f aca="false">SUMPRODUCT(('Anh xa'!$D$2:$D$581=A153)*1)</f>
        <v>2</v>
      </c>
      <c r="G153" s="2" t="str">
        <f aca="false">IF(AND(F153&gt;0,F153=E153),"✓","THIẾU")</f>
        <v>✓</v>
      </c>
    </row>
    <row r="154" customFormat="false" ht="15" hidden="false" customHeight="false" outlineLevel="0" collapsed="false">
      <c r="A154" s="2" t="s">
        <v>446</v>
      </c>
      <c r="B154" s="2" t="s">
        <v>67</v>
      </c>
      <c r="C154" s="2" t="s">
        <v>447</v>
      </c>
      <c r="D154" s="2" t="s">
        <v>1152</v>
      </c>
      <c r="E154" s="2" t="n">
        <v>2</v>
      </c>
      <c r="F154" s="2" t="n">
        <f aca="false">SUMPRODUCT(('Anh xa'!$D$2:$D$581=A154)*1)</f>
        <v>2</v>
      </c>
      <c r="G154" s="2" t="str">
        <f aca="false">IF(AND(F154&gt;0,F154=E154),"✓","THIẾU")</f>
        <v>✓</v>
      </c>
    </row>
    <row r="155" customFormat="false" ht="15" hidden="false" customHeight="false" outlineLevel="0" collapsed="false">
      <c r="A155" s="2" t="s">
        <v>483</v>
      </c>
      <c r="B155" s="2" t="s">
        <v>67</v>
      </c>
      <c r="C155" s="2" t="s">
        <v>484</v>
      </c>
      <c r="D155" s="2" t="s">
        <v>1153</v>
      </c>
      <c r="E155" s="2" t="n">
        <v>2</v>
      </c>
      <c r="F155" s="2" t="n">
        <f aca="false">SUMPRODUCT(('Anh xa'!$D$2:$D$581=A155)*1)</f>
        <v>2</v>
      </c>
      <c r="G155" s="2" t="str">
        <f aca="false">IF(AND(F155&gt;0,F155=E155),"✓","THIẾU")</f>
        <v>✓</v>
      </c>
    </row>
    <row r="156" customFormat="false" ht="15" hidden="false" customHeight="false" outlineLevel="0" collapsed="false">
      <c r="A156" s="2" t="s">
        <v>66</v>
      </c>
      <c r="B156" s="2" t="s">
        <v>67</v>
      </c>
      <c r="C156" s="2" t="s">
        <v>68</v>
      </c>
      <c r="D156" s="2" t="s">
        <v>1154</v>
      </c>
      <c r="E156" s="2" t="n">
        <v>2</v>
      </c>
      <c r="F156" s="2" t="n">
        <f aca="false">SUMPRODUCT(('Anh xa'!$D$2:$D$581=A156)*1)</f>
        <v>2</v>
      </c>
      <c r="G156" s="2" t="str">
        <f aca="false">IF(AND(F156&gt;0,F156=E156),"✓","THIẾU")</f>
        <v>✓</v>
      </c>
    </row>
    <row r="157" customFormat="false" ht="15" hidden="false" customHeight="false" outlineLevel="0" collapsed="false">
      <c r="A157" s="2" t="s">
        <v>442</v>
      </c>
      <c r="B157" s="2" t="s">
        <v>67</v>
      </c>
      <c r="C157" s="2" t="s">
        <v>443</v>
      </c>
      <c r="D157" s="2" t="s">
        <v>1155</v>
      </c>
      <c r="E157" s="2" t="n">
        <v>2</v>
      </c>
      <c r="F157" s="2" t="n">
        <f aca="false">SUMPRODUCT(('Anh xa'!$D$2:$D$581=A157)*1)</f>
        <v>2</v>
      </c>
      <c r="G157" s="2" t="str">
        <f aca="false">IF(AND(F157&gt;0,F157=E157),"✓","THIẾU")</f>
        <v>✓</v>
      </c>
    </row>
    <row r="158" customFormat="false" ht="15" hidden="false" customHeight="false" outlineLevel="0" collapsed="false">
      <c r="A158" s="2" t="s">
        <v>289</v>
      </c>
      <c r="B158" s="2" t="s">
        <v>43</v>
      </c>
      <c r="C158" s="2" t="s">
        <v>290</v>
      </c>
      <c r="D158" s="2" t="s">
        <v>1156</v>
      </c>
      <c r="E158" s="2" t="n">
        <v>2</v>
      </c>
      <c r="F158" s="2" t="n">
        <f aca="false">SUMPRODUCT(('Anh xa'!$D$2:$D$581=A158)*1)</f>
        <v>2</v>
      </c>
      <c r="G158" s="2" t="str">
        <f aca="false">IF(AND(F158&gt;0,F158=E158),"✓","THIẾU")</f>
        <v>✓</v>
      </c>
    </row>
    <row r="159" customFormat="false" ht="15" hidden="false" customHeight="false" outlineLevel="0" collapsed="false">
      <c r="A159" s="2" t="s">
        <v>362</v>
      </c>
      <c r="B159" s="2" t="s">
        <v>43</v>
      </c>
      <c r="C159" s="2" t="s">
        <v>363</v>
      </c>
      <c r="D159" s="2" t="s">
        <v>356</v>
      </c>
      <c r="E159" s="2" t="n">
        <v>1</v>
      </c>
      <c r="F159" s="2" t="n">
        <f aca="false">SUMPRODUCT(('Anh xa'!$D$2:$D$581=A159)*1)</f>
        <v>1</v>
      </c>
      <c r="G159" s="2" t="str">
        <f aca="false">IF(AND(F159&gt;0,F159=E159),"✓","THIẾU")</f>
        <v>✓</v>
      </c>
    </row>
    <row r="160" customFormat="false" ht="15" hidden="false" customHeight="false" outlineLevel="0" collapsed="false">
      <c r="A160" s="2" t="s">
        <v>813</v>
      </c>
      <c r="B160" s="2" t="s">
        <v>43</v>
      </c>
      <c r="C160" s="2" t="s">
        <v>814</v>
      </c>
      <c r="D160" s="2" t="s">
        <v>809</v>
      </c>
      <c r="E160" s="2" t="n">
        <v>1</v>
      </c>
      <c r="F160" s="2" t="n">
        <f aca="false">SUMPRODUCT(('Anh xa'!$D$2:$D$581=A160)*1)</f>
        <v>1</v>
      </c>
      <c r="G160" s="2" t="str">
        <f aca="false">IF(AND(F160&gt;0,F160=E160),"✓","THIẾU")</f>
        <v>✓</v>
      </c>
    </row>
    <row r="161" customFormat="false" ht="23.85" hidden="false" customHeight="false" outlineLevel="0" collapsed="false">
      <c r="A161" s="2" t="s">
        <v>42</v>
      </c>
      <c r="B161" s="2" t="s">
        <v>43</v>
      </c>
      <c r="C161" s="2" t="s">
        <v>44</v>
      </c>
      <c r="D161" s="2" t="s">
        <v>1157</v>
      </c>
      <c r="E161" s="2" t="n">
        <v>3</v>
      </c>
      <c r="F161" s="2" t="n">
        <f aca="false">SUMPRODUCT(('Anh xa'!$D$2:$D$581=A161)*1)</f>
        <v>3</v>
      </c>
      <c r="G161" s="2" t="str">
        <f aca="false">IF(AND(F161&gt;0,F161=E161),"✓","THIẾU")</f>
        <v>✓</v>
      </c>
    </row>
    <row r="162" customFormat="false" ht="15" hidden="false" customHeight="false" outlineLevel="0" collapsed="false">
      <c r="A162" s="2" t="s">
        <v>872</v>
      </c>
      <c r="B162" s="2" t="s">
        <v>43</v>
      </c>
      <c r="C162" s="2" t="s">
        <v>873</v>
      </c>
      <c r="D162" s="2" t="s">
        <v>870</v>
      </c>
      <c r="E162" s="2" t="n">
        <v>1</v>
      </c>
      <c r="F162" s="2" t="n">
        <f aca="false">SUMPRODUCT(('Anh xa'!$D$2:$D$581=A162)*1)</f>
        <v>1</v>
      </c>
      <c r="G162" s="2" t="str">
        <f aca="false">IF(AND(F162&gt;0,F162=E162),"✓","THIẾU")</f>
        <v>✓</v>
      </c>
    </row>
    <row r="163" customFormat="false" ht="15" hidden="false" customHeight="false" outlineLevel="0" collapsed="false">
      <c r="A163" s="2" t="s">
        <v>253</v>
      </c>
      <c r="B163" s="2" t="s">
        <v>43</v>
      </c>
      <c r="C163" s="2" t="s">
        <v>254</v>
      </c>
      <c r="D163" s="2" t="s">
        <v>249</v>
      </c>
      <c r="E163" s="2" t="n">
        <v>1</v>
      </c>
      <c r="F163" s="2" t="n">
        <f aca="false">SUMPRODUCT(('Anh xa'!$D$2:$D$581=A163)*1)</f>
        <v>1</v>
      </c>
      <c r="G163" s="2" t="str">
        <f aca="false">IF(AND(F163&gt;0,F163=E163),"✓","THIẾU")</f>
        <v>✓</v>
      </c>
    </row>
    <row r="164" customFormat="false" ht="15" hidden="false" customHeight="false" outlineLevel="0" collapsed="false">
      <c r="A164" s="2" t="s">
        <v>952</v>
      </c>
      <c r="B164" s="2" t="s">
        <v>103</v>
      </c>
      <c r="C164" s="2" t="s">
        <v>953</v>
      </c>
      <c r="D164" s="2" t="s">
        <v>1158</v>
      </c>
      <c r="E164" s="2" t="n">
        <v>2</v>
      </c>
      <c r="F164" s="2" t="n">
        <f aca="false">SUMPRODUCT(('Anh xa'!$D$2:$D$581=A164)*1)</f>
        <v>2</v>
      </c>
      <c r="G164" s="2" t="str">
        <f aca="false">IF(AND(F164&gt;0,F164=E164),"✓","THIẾU")</f>
        <v>✓</v>
      </c>
    </row>
    <row r="165" customFormat="false" ht="15" hidden="false" customHeight="false" outlineLevel="0" collapsed="false">
      <c r="A165" s="2" t="s">
        <v>102</v>
      </c>
      <c r="B165" s="2" t="s">
        <v>103</v>
      </c>
      <c r="C165" s="2" t="s">
        <v>104</v>
      </c>
      <c r="D165" s="2" t="s">
        <v>1159</v>
      </c>
      <c r="E165" s="2" t="n">
        <v>4</v>
      </c>
      <c r="F165" s="2" t="n">
        <f aca="false">SUMPRODUCT(('Anh xa'!$D$2:$D$581=A165)*1)</f>
        <v>4</v>
      </c>
      <c r="G165" s="2" t="str">
        <f aca="false">IF(AND(F165&gt;0,F165=E165),"✓","THIẾU")</f>
        <v>✓</v>
      </c>
    </row>
    <row r="166" customFormat="false" ht="15" hidden="false" customHeight="false" outlineLevel="0" collapsed="false">
      <c r="A166" s="2" t="s">
        <v>603</v>
      </c>
      <c r="B166" s="2" t="s">
        <v>103</v>
      </c>
      <c r="C166" s="2" t="s">
        <v>604</v>
      </c>
      <c r="D166" s="2" t="s">
        <v>1160</v>
      </c>
      <c r="E166" s="2" t="n">
        <v>2</v>
      </c>
      <c r="F166" s="2" t="n">
        <f aca="false">SUMPRODUCT(('Anh xa'!$D$2:$D$581=A166)*1)</f>
        <v>2</v>
      </c>
      <c r="G166" s="2" t="str">
        <f aca="false">IF(AND(F166&gt;0,F166=E166),"✓","THIẾU")</f>
        <v>✓</v>
      </c>
    </row>
    <row r="167" customFormat="false" ht="15" hidden="false" customHeight="false" outlineLevel="0" collapsed="false">
      <c r="A167" s="2" t="s">
        <v>225</v>
      </c>
      <c r="B167" s="2" t="s">
        <v>103</v>
      </c>
      <c r="C167" s="2" t="s">
        <v>226</v>
      </c>
      <c r="D167" s="2" t="s">
        <v>1161</v>
      </c>
      <c r="E167" s="2" t="n">
        <v>5</v>
      </c>
      <c r="F167" s="2" t="n">
        <f aca="false">SUMPRODUCT(('Anh xa'!$D$2:$D$581=A167)*1)</f>
        <v>5</v>
      </c>
      <c r="G167" s="2" t="str">
        <f aca="false">IF(AND(F167&gt;0,F167=E167),"✓","THIẾU")</f>
        <v>✓</v>
      </c>
    </row>
    <row r="168" customFormat="false" ht="15" hidden="false" customHeight="false" outlineLevel="0" collapsed="false">
      <c r="A168" s="2" t="s">
        <v>261</v>
      </c>
      <c r="B168" s="2" t="s">
        <v>103</v>
      </c>
      <c r="C168" s="2" t="s">
        <v>262</v>
      </c>
      <c r="D168" s="2" t="s">
        <v>1162</v>
      </c>
      <c r="E168" s="2" t="n">
        <v>3</v>
      </c>
      <c r="F168" s="2" t="n">
        <f aca="false">SUMPRODUCT(('Anh xa'!$D$2:$D$581=A168)*1)</f>
        <v>3</v>
      </c>
      <c r="G168" s="2" t="str">
        <f aca="false">IF(AND(F168&gt;0,F168=E168),"✓","THIẾU")</f>
        <v>✓</v>
      </c>
    </row>
    <row r="169" customFormat="false" ht="15" hidden="false" customHeight="false" outlineLevel="0" collapsed="false">
      <c r="A169" s="2" t="s">
        <v>130</v>
      </c>
      <c r="B169" s="2" t="s">
        <v>103</v>
      </c>
      <c r="C169" s="2" t="s">
        <v>131</v>
      </c>
      <c r="D169" s="2" t="s">
        <v>1163</v>
      </c>
      <c r="E169" s="2" t="n">
        <v>5</v>
      </c>
      <c r="F169" s="2" t="n">
        <f aca="false">SUMPRODUCT(('Anh xa'!$D$2:$D$581=A169)*1)</f>
        <v>5</v>
      </c>
      <c r="G169" s="2" t="str">
        <f aca="false">IF(AND(F169&gt;0,F169=E169),"✓","THIẾU")</f>
        <v>✓</v>
      </c>
    </row>
    <row r="170" customFormat="false" ht="15" hidden="false" customHeight="false" outlineLevel="0" collapsed="false">
      <c r="A170" s="2" t="s">
        <v>279</v>
      </c>
      <c r="B170" s="2" t="s">
        <v>103</v>
      </c>
      <c r="C170" s="2" t="s">
        <v>280</v>
      </c>
      <c r="D170" s="2" t="s">
        <v>1164</v>
      </c>
      <c r="E170" s="2" t="n">
        <v>3</v>
      </c>
      <c r="F170" s="2" t="n">
        <f aca="false">SUMPRODUCT(('Anh xa'!$D$2:$D$581=A170)*1)</f>
        <v>3</v>
      </c>
      <c r="G170" s="2" t="str">
        <f aca="false">IF(AND(F170&gt;0,F170=E170),"✓","THIẾU")</f>
        <v>✓</v>
      </c>
    </row>
    <row r="171" customFormat="false" ht="15" hidden="false" customHeight="false" outlineLevel="0" collapsed="false">
      <c r="A171" s="2" t="s">
        <v>122</v>
      </c>
      <c r="B171" s="2" t="s">
        <v>123</v>
      </c>
      <c r="C171" s="2" t="s">
        <v>124</v>
      </c>
      <c r="D171" s="2" t="s">
        <v>1165</v>
      </c>
      <c r="E171" s="2" t="n">
        <v>3</v>
      </c>
      <c r="F171" s="2" t="n">
        <f aca="false">SUMPRODUCT(('Anh xa'!$D$2:$D$581=A171)*1)</f>
        <v>3</v>
      </c>
      <c r="G171" s="2" t="str">
        <f aca="false">IF(AND(F171&gt;0,F171=E171),"✓","THIẾU")</f>
        <v>✓</v>
      </c>
    </row>
    <row r="172" customFormat="false" ht="15" hidden="false" customHeight="false" outlineLevel="0" collapsed="false">
      <c r="A172" s="2" t="s">
        <v>434</v>
      </c>
      <c r="B172" s="2" t="s">
        <v>123</v>
      </c>
      <c r="C172" s="2" t="s">
        <v>435</v>
      </c>
      <c r="D172" s="2" t="s">
        <v>1166</v>
      </c>
      <c r="E172" s="2" t="n">
        <v>2</v>
      </c>
      <c r="F172" s="2" t="n">
        <f aca="false">SUMPRODUCT(('Anh xa'!$D$2:$D$581=A172)*1)</f>
        <v>2</v>
      </c>
      <c r="G172" s="2" t="str">
        <f aca="false">IF(AND(F172&gt;0,F172=E172),"✓","THIẾU")</f>
        <v>✓</v>
      </c>
    </row>
    <row r="173" customFormat="false" ht="15" hidden="false" customHeight="false" outlineLevel="0" collapsed="false">
      <c r="A173" s="2" t="s">
        <v>920</v>
      </c>
      <c r="B173" s="2" t="s">
        <v>123</v>
      </c>
      <c r="C173" s="2" t="s">
        <v>921</v>
      </c>
      <c r="D173" s="2" t="s">
        <v>1122</v>
      </c>
      <c r="E173" s="2" t="n">
        <v>2</v>
      </c>
      <c r="F173" s="2" t="n">
        <f aca="false">SUMPRODUCT(('Anh xa'!$D$2:$D$581=A173)*1)</f>
        <v>2</v>
      </c>
      <c r="G173" s="2" t="str">
        <f aca="false">IF(AND(F173&gt;0,F173=E173),"✓","THIẾU")</f>
        <v>✓</v>
      </c>
    </row>
    <row r="174" customFormat="false" ht="15" hidden="false" customHeight="false" outlineLevel="0" collapsed="false">
      <c r="A174" s="2" t="s">
        <v>126</v>
      </c>
      <c r="B174" s="2" t="s">
        <v>123</v>
      </c>
      <c r="C174" s="2" t="s">
        <v>127</v>
      </c>
      <c r="D174" s="2" t="s">
        <v>1167</v>
      </c>
      <c r="E174" s="2" t="n">
        <v>3</v>
      </c>
      <c r="F174" s="2" t="n">
        <f aca="false">SUMPRODUCT(('Anh xa'!$D$2:$D$581=A174)*1)</f>
        <v>3</v>
      </c>
      <c r="G174" s="2" t="str">
        <f aca="false">IF(AND(F174&gt;0,F174=E174),"✓","THIẾU")</f>
        <v>✓</v>
      </c>
    </row>
    <row r="175" customFormat="false" ht="15" hidden="false" customHeight="false" outlineLevel="0" collapsed="false">
      <c r="A175" s="2" t="s">
        <v>597</v>
      </c>
      <c r="B175" s="2" t="s">
        <v>123</v>
      </c>
      <c r="C175" s="2" t="s">
        <v>598</v>
      </c>
      <c r="D175" s="2" t="s">
        <v>1168</v>
      </c>
      <c r="E175" s="2" t="n">
        <v>3</v>
      </c>
      <c r="F175" s="2" t="n">
        <f aca="false">SUMPRODUCT(('Anh xa'!$D$2:$D$581=A175)*1)</f>
        <v>3</v>
      </c>
      <c r="G175" s="2" t="str">
        <f aca="false">IF(AND(F175&gt;0,F175=E175),"✓","THIẾU")</f>
        <v>✓</v>
      </c>
    </row>
    <row r="176" customFormat="false" ht="15" hidden="false" customHeight="false" outlineLevel="0" collapsed="false">
      <c r="A176" s="2" t="s">
        <v>138</v>
      </c>
      <c r="B176" s="2" t="s">
        <v>133</v>
      </c>
      <c r="C176" s="2" t="s">
        <v>139</v>
      </c>
      <c r="D176" s="2" t="s">
        <v>1169</v>
      </c>
      <c r="E176" s="2" t="n">
        <v>3</v>
      </c>
      <c r="F176" s="2" t="n">
        <f aca="false">SUMPRODUCT(('Anh xa'!$D$2:$D$581=A176)*1)</f>
        <v>3</v>
      </c>
      <c r="G176" s="2" t="str">
        <f aca="false">IF(AND(F176&gt;0,F176=E176),"✓","THIẾU")</f>
        <v>✓</v>
      </c>
    </row>
    <row r="177" customFormat="false" ht="15" hidden="false" customHeight="false" outlineLevel="0" collapsed="false">
      <c r="A177" s="2" t="s">
        <v>132</v>
      </c>
      <c r="B177" s="2" t="s">
        <v>133</v>
      </c>
      <c r="C177" s="2" t="s">
        <v>134</v>
      </c>
      <c r="D177" s="2" t="s">
        <v>1170</v>
      </c>
      <c r="E177" s="2" t="n">
        <v>3</v>
      </c>
      <c r="F177" s="2" t="n">
        <f aca="false">SUMPRODUCT(('Anh xa'!$D$2:$D$581=A177)*1)</f>
        <v>3</v>
      </c>
      <c r="G177" s="2" t="str">
        <f aca="false">IF(AND(F177&gt;0,F177=E177),"✓","THIẾU")</f>
        <v>✓</v>
      </c>
    </row>
    <row r="178" customFormat="false" ht="15" hidden="false" customHeight="false" outlineLevel="0" collapsed="false">
      <c r="A178" s="2" t="s">
        <v>170</v>
      </c>
      <c r="B178" s="2" t="s">
        <v>133</v>
      </c>
      <c r="C178" s="2" t="s">
        <v>171</v>
      </c>
      <c r="D178" s="2" t="s">
        <v>1171</v>
      </c>
      <c r="E178" s="2" t="n">
        <v>2</v>
      </c>
      <c r="F178" s="2" t="n">
        <f aca="false">SUMPRODUCT(('Anh xa'!$D$2:$D$581=A178)*1)</f>
        <v>2</v>
      </c>
      <c r="G178" s="2" t="str">
        <f aca="false">IF(AND(F178&gt;0,F178=E178),"✓","THIẾU")</f>
        <v>✓</v>
      </c>
    </row>
    <row r="179" customFormat="false" ht="15" hidden="false" customHeight="false" outlineLevel="0" collapsed="false">
      <c r="A179" s="2" t="s">
        <v>285</v>
      </c>
      <c r="B179" s="2" t="s">
        <v>133</v>
      </c>
      <c r="C179" s="2" t="s">
        <v>286</v>
      </c>
      <c r="D179" s="2" t="s">
        <v>1172</v>
      </c>
      <c r="E179" s="2" t="n">
        <v>2</v>
      </c>
      <c r="F179" s="2" t="n">
        <f aca="false">SUMPRODUCT(('Anh xa'!$D$2:$D$581=A179)*1)</f>
        <v>2</v>
      </c>
      <c r="G179" s="2" t="str">
        <f aca="false">IF(AND(F179&gt;0,F179=E179),"✓","THIẾU")</f>
        <v>✓</v>
      </c>
    </row>
    <row r="180" customFormat="false" ht="15" hidden="false" customHeight="false" outlineLevel="0" collapsed="false">
      <c r="A180" s="2" t="s">
        <v>471</v>
      </c>
      <c r="B180" s="2" t="s">
        <v>236</v>
      </c>
      <c r="C180" s="2" t="s">
        <v>472</v>
      </c>
      <c r="D180" s="2" t="s">
        <v>1173</v>
      </c>
      <c r="E180" s="2" t="n">
        <v>3</v>
      </c>
      <c r="F180" s="2" t="n">
        <f aca="false">SUMPRODUCT(('Anh xa'!$D$2:$D$581=A180)*1)</f>
        <v>3</v>
      </c>
      <c r="G180" s="2" t="str">
        <f aca="false">IF(AND(F180&gt;0,F180=E180),"✓","THIẾU")</f>
        <v>✓</v>
      </c>
    </row>
    <row r="181" customFormat="false" ht="15" hidden="false" customHeight="false" outlineLevel="0" collapsed="false">
      <c r="A181" s="2" t="s">
        <v>589</v>
      </c>
      <c r="B181" s="2" t="s">
        <v>236</v>
      </c>
      <c r="C181" s="2" t="s">
        <v>590</v>
      </c>
      <c r="D181" s="2" t="s">
        <v>1174</v>
      </c>
      <c r="E181" s="2" t="n">
        <v>2</v>
      </c>
      <c r="F181" s="2" t="n">
        <f aca="false">SUMPRODUCT(('Anh xa'!$D$2:$D$581=A181)*1)</f>
        <v>2</v>
      </c>
      <c r="G181" s="2" t="str">
        <f aca="false">IF(AND(F181&gt;0,F181=E181),"✓","THIẾU")</f>
        <v>✓</v>
      </c>
    </row>
    <row r="182" customFormat="false" ht="15" hidden="false" customHeight="false" outlineLevel="0" collapsed="false">
      <c r="A182" s="2" t="s">
        <v>646</v>
      </c>
      <c r="B182" s="2" t="s">
        <v>236</v>
      </c>
      <c r="C182" s="2" t="s">
        <v>647</v>
      </c>
      <c r="D182" s="2" t="s">
        <v>1111</v>
      </c>
      <c r="E182" s="2" t="n">
        <v>2</v>
      </c>
      <c r="F182" s="2" t="n">
        <f aca="false">SUMPRODUCT(('Anh xa'!$D$2:$D$581=A182)*1)</f>
        <v>2</v>
      </c>
      <c r="G182" s="2" t="str">
        <f aca="false">IF(AND(F182&gt;0,F182=E182),"✓","THIẾU")</f>
        <v>✓</v>
      </c>
    </row>
    <row r="183" customFormat="false" ht="15" hidden="false" customHeight="false" outlineLevel="0" collapsed="false">
      <c r="A183" s="2" t="s">
        <v>235</v>
      </c>
      <c r="B183" s="2" t="s">
        <v>236</v>
      </c>
      <c r="C183" s="2" t="s">
        <v>237</v>
      </c>
      <c r="D183" s="2" t="s">
        <v>1175</v>
      </c>
      <c r="E183" s="2" t="n">
        <v>3</v>
      </c>
      <c r="F183" s="2" t="n">
        <f aca="false">SUMPRODUCT(('Anh xa'!$D$2:$D$581=A183)*1)</f>
        <v>3</v>
      </c>
      <c r="G183" s="2" t="str">
        <f aca="false">IF(AND(F183&gt;0,F183=E183),"✓","THIẾU")</f>
        <v>✓</v>
      </c>
    </row>
    <row r="184" customFormat="false" ht="15" hidden="false" customHeight="false" outlineLevel="0" collapsed="false">
      <c r="A184" s="2" t="s">
        <v>687</v>
      </c>
      <c r="B184" s="2" t="s">
        <v>236</v>
      </c>
      <c r="C184" s="2" t="s">
        <v>688</v>
      </c>
      <c r="D184" s="2" t="s">
        <v>684</v>
      </c>
      <c r="E184" s="2" t="n">
        <v>1</v>
      </c>
      <c r="F184" s="2" t="n">
        <f aca="false">SUMPRODUCT(('Anh xa'!$D$2:$D$581=A184)*1)</f>
        <v>1</v>
      </c>
      <c r="G184" s="2" t="str">
        <f aca="false">IF(AND(F184&gt;0,F184=E184),"✓","THIẾU")</f>
        <v>✓</v>
      </c>
    </row>
    <row r="185" customFormat="false" ht="15" hidden="false" customHeight="false" outlineLevel="0" collapsed="false">
      <c r="A185" s="2" t="s">
        <v>670</v>
      </c>
      <c r="B185" s="2" t="s">
        <v>236</v>
      </c>
      <c r="C185" s="2" t="s">
        <v>671</v>
      </c>
      <c r="D185" s="2" t="s">
        <v>1060</v>
      </c>
      <c r="E185" s="2" t="n">
        <v>2</v>
      </c>
      <c r="F185" s="2" t="n">
        <f aca="false">SUMPRODUCT(('Anh xa'!$D$2:$D$581=A185)*1)</f>
        <v>2</v>
      </c>
      <c r="G185" s="2" t="str">
        <f aca="false">IF(AND(F185&gt;0,F185=E185),"✓","THIẾU")</f>
        <v>✓</v>
      </c>
    </row>
    <row r="186" customFormat="false" ht="15" hidden="false" customHeight="false" outlineLevel="0" collapsed="false">
      <c r="A186" s="2" t="s">
        <v>713</v>
      </c>
      <c r="B186" s="2" t="s">
        <v>236</v>
      </c>
      <c r="C186" s="2" t="s">
        <v>714</v>
      </c>
      <c r="D186" s="2" t="s">
        <v>1176</v>
      </c>
      <c r="E186" s="2" t="n">
        <v>3</v>
      </c>
      <c r="F186" s="2" t="n">
        <f aca="false">SUMPRODUCT(('Anh xa'!$D$2:$D$581=A186)*1)</f>
        <v>3</v>
      </c>
      <c r="G186" s="2" t="str">
        <f aca="false">IF(AND(F186&gt;0,F186=E186),"✓","THIẾU")</f>
        <v>✓</v>
      </c>
    </row>
    <row r="187" customFormat="false" ht="15" hidden="false" customHeight="false" outlineLevel="0" collapsed="false">
      <c r="A187" s="2" t="s">
        <v>723</v>
      </c>
      <c r="B187" s="2" t="s">
        <v>236</v>
      </c>
      <c r="C187" s="2" t="s">
        <v>724</v>
      </c>
      <c r="D187" s="2" t="s">
        <v>1177</v>
      </c>
      <c r="E187" s="2" t="n">
        <v>2</v>
      </c>
      <c r="F187" s="2" t="n">
        <f aca="false">SUMPRODUCT(('Anh xa'!$D$2:$D$581=A187)*1)</f>
        <v>2</v>
      </c>
      <c r="G187" s="2" t="str">
        <f aca="false">IF(AND(F187&gt;0,F187=E187),"✓","THIẾU")</f>
        <v>✓</v>
      </c>
    </row>
    <row r="188" customFormat="false" ht="15" hidden="false" customHeight="false" outlineLevel="0" collapsed="false">
      <c r="A188" s="2" t="s">
        <v>725</v>
      </c>
      <c r="B188" s="2" t="s">
        <v>236</v>
      </c>
      <c r="C188" s="2" t="s">
        <v>726</v>
      </c>
      <c r="D188" s="2" t="s">
        <v>1178</v>
      </c>
      <c r="E188" s="2" t="n">
        <v>2</v>
      </c>
      <c r="F188" s="2" t="n">
        <f aca="false">SUMPRODUCT(('Anh xa'!$D$2:$D$581=A188)*1)</f>
        <v>2</v>
      </c>
      <c r="G188" s="2" t="str">
        <f aca="false">IF(AND(F188&gt;0,F188=E188),"✓","THIẾU")</f>
        <v>✓</v>
      </c>
    </row>
    <row r="189" customFormat="false" ht="15" hidden="false" customHeight="false" outlineLevel="0" collapsed="false">
      <c r="A189" s="2" t="s">
        <v>741</v>
      </c>
      <c r="B189" s="2" t="s">
        <v>236</v>
      </c>
      <c r="C189" s="2" t="s">
        <v>742</v>
      </c>
      <c r="D189" s="2" t="s">
        <v>1179</v>
      </c>
      <c r="E189" s="2" t="n">
        <v>2</v>
      </c>
      <c r="F189" s="2" t="n">
        <f aca="false">SUMPRODUCT(('Anh xa'!$D$2:$D$581=A189)*1)</f>
        <v>2</v>
      </c>
      <c r="G189" s="2" t="str">
        <f aca="false">IF(AND(F189&gt;0,F189=E189),"✓","THIẾU")</f>
        <v>✓</v>
      </c>
    </row>
    <row r="190" customFormat="false" ht="15" hidden="false" customHeight="false" outlineLevel="0" collapsed="false">
      <c r="A190" s="2" t="s">
        <v>743</v>
      </c>
      <c r="B190" s="2" t="s">
        <v>236</v>
      </c>
      <c r="C190" s="2" t="s">
        <v>744</v>
      </c>
      <c r="D190" s="2" t="s">
        <v>1180</v>
      </c>
      <c r="E190" s="2" t="n">
        <v>2</v>
      </c>
      <c r="F190" s="2" t="n">
        <f aca="false">SUMPRODUCT(('Anh xa'!$D$2:$D$581=A190)*1)</f>
        <v>2</v>
      </c>
      <c r="G190" s="2" t="str">
        <f aca="false">IF(AND(F190&gt;0,F190=E190),"✓","THIẾU")</f>
        <v>✓</v>
      </c>
    </row>
    <row r="191" customFormat="false" ht="15" hidden="false" customHeight="false" outlineLevel="0" collapsed="false">
      <c r="A191" s="2" t="s">
        <v>772</v>
      </c>
      <c r="B191" s="2" t="s">
        <v>236</v>
      </c>
      <c r="C191" s="2" t="s">
        <v>773</v>
      </c>
      <c r="D191" s="2" t="s">
        <v>768</v>
      </c>
      <c r="E191" s="2" t="n">
        <v>1</v>
      </c>
      <c r="F191" s="2" t="n">
        <f aca="false">SUMPRODUCT(('Anh xa'!$D$2:$D$581=A191)*1)</f>
        <v>1</v>
      </c>
      <c r="G191" s="2" t="str">
        <f aca="false">IF(AND(F191&gt;0,F191=E191),"✓","THIẾU")</f>
        <v>✓</v>
      </c>
    </row>
    <row r="192" customFormat="false" ht="15" hidden="false" customHeight="false" outlineLevel="0" collapsed="false">
      <c r="A192" s="2" t="s">
        <v>758</v>
      </c>
      <c r="B192" s="2" t="s">
        <v>236</v>
      </c>
      <c r="C192" s="2" t="s">
        <v>759</v>
      </c>
      <c r="D192" s="2" t="s">
        <v>756</v>
      </c>
      <c r="E192" s="2" t="n">
        <v>1</v>
      </c>
      <c r="F192" s="2" t="n">
        <f aca="false">SUMPRODUCT(('Anh xa'!$D$2:$D$581=A192)*1)</f>
        <v>1</v>
      </c>
      <c r="G192" s="2" t="str">
        <f aca="false">IF(AND(F192&gt;0,F192=E192),"✓","THIẾU")</f>
        <v>✓</v>
      </c>
    </row>
    <row r="193" customFormat="false" ht="15" hidden="false" customHeight="false" outlineLevel="0" collapsed="false">
      <c r="A193" s="2" t="s">
        <v>762</v>
      </c>
      <c r="B193" s="2" t="s">
        <v>236</v>
      </c>
      <c r="C193" s="2" t="s">
        <v>763</v>
      </c>
      <c r="D193" s="2" t="s">
        <v>760</v>
      </c>
      <c r="E193" s="2" t="n">
        <v>1</v>
      </c>
      <c r="F193" s="2" t="n">
        <f aca="false">SUMPRODUCT(('Anh xa'!$D$2:$D$581=A193)*1)</f>
        <v>1</v>
      </c>
      <c r="G193" s="2" t="str">
        <f aca="false">IF(AND(F193&gt;0,F193=E193),"✓","THIẾU")</f>
        <v>✓</v>
      </c>
    </row>
    <row r="194" customFormat="false" ht="15" hidden="false" customHeight="false" outlineLevel="0" collapsed="false">
      <c r="A194" s="2" t="s">
        <v>793</v>
      </c>
      <c r="B194" s="2" t="s">
        <v>236</v>
      </c>
      <c r="C194" s="2" t="s">
        <v>794</v>
      </c>
      <c r="D194" s="2" t="s">
        <v>1181</v>
      </c>
      <c r="E194" s="2" t="n">
        <v>2</v>
      </c>
      <c r="F194" s="2" t="n">
        <f aca="false">SUMPRODUCT(('Anh xa'!$D$2:$D$581=A194)*1)</f>
        <v>2</v>
      </c>
      <c r="G194" s="2" t="str">
        <f aca="false">IF(AND(F194&gt;0,F194=E194),"✓","THIẾU")</f>
        <v>✓</v>
      </c>
    </row>
    <row r="195" customFormat="false" ht="15" hidden="false" customHeight="false" outlineLevel="0" collapsed="false">
      <c r="A195" s="2" t="s">
        <v>660</v>
      </c>
      <c r="B195" s="2" t="s">
        <v>236</v>
      </c>
      <c r="C195" s="2" t="s">
        <v>661</v>
      </c>
      <c r="D195" s="2" t="s">
        <v>658</v>
      </c>
      <c r="E195" s="2" t="n">
        <v>1</v>
      </c>
      <c r="F195" s="2" t="n">
        <f aca="false">SUMPRODUCT(('Anh xa'!$D$2:$D$581=A195)*1)</f>
        <v>1</v>
      </c>
      <c r="G195" s="2" t="str">
        <f aca="false">IF(AND(F195&gt;0,F195=E195),"✓","THIẾU")</f>
        <v>✓</v>
      </c>
    </row>
    <row r="196" customFormat="false" ht="15" hidden="false" customHeight="false" outlineLevel="0" collapsed="false">
      <c r="A196" s="2" t="s">
        <v>664</v>
      </c>
      <c r="B196" s="2" t="s">
        <v>236</v>
      </c>
      <c r="C196" s="2" t="s">
        <v>665</v>
      </c>
      <c r="D196" s="2" t="s">
        <v>662</v>
      </c>
      <c r="E196" s="2" t="n">
        <v>1</v>
      </c>
      <c r="F196" s="2" t="n">
        <f aca="false">SUMPRODUCT(('Anh xa'!$D$2:$D$581=A196)*1)</f>
        <v>1</v>
      </c>
      <c r="G196" s="2" t="str">
        <f aca="false">IF(AND(F196&gt;0,F196=E196),"✓","THIẾU")</f>
        <v>✓</v>
      </c>
    </row>
    <row r="197" customFormat="false" ht="15" hidden="false" customHeight="false" outlineLevel="0" collapsed="false">
      <c r="A197" s="2" t="s">
        <v>579</v>
      </c>
      <c r="B197" s="2" t="s">
        <v>236</v>
      </c>
      <c r="C197" s="2" t="s">
        <v>580</v>
      </c>
      <c r="D197" s="2" t="s">
        <v>1062</v>
      </c>
      <c r="E197" s="2" t="n">
        <v>2</v>
      </c>
      <c r="F197" s="2" t="n">
        <f aca="false">SUMPRODUCT(('Anh xa'!$D$2:$D$581=A197)*1)</f>
        <v>2</v>
      </c>
      <c r="G197" s="2" t="str">
        <f aca="false">IF(AND(F197&gt;0,F197=E197),"✓","THIẾU")</f>
        <v>✓</v>
      </c>
    </row>
    <row r="198" customFormat="false" ht="15" hidden="false" customHeight="false" outlineLevel="0" collapsed="false">
      <c r="A198" s="2" t="s">
        <v>518</v>
      </c>
      <c r="B198" s="2" t="s">
        <v>236</v>
      </c>
      <c r="C198" s="2" t="s">
        <v>519</v>
      </c>
      <c r="D198" s="2" t="s">
        <v>1182</v>
      </c>
      <c r="E198" s="2" t="n">
        <v>3</v>
      </c>
      <c r="F198" s="2" t="n">
        <f aca="false">SUMPRODUCT(('Anh xa'!$D$2:$D$581=A198)*1)</f>
        <v>3</v>
      </c>
      <c r="G198" s="2" t="str">
        <f aca="false">IF(AND(F198&gt;0,F198=E198),"✓","THIẾU")</f>
        <v>✓</v>
      </c>
    </row>
    <row r="199" customFormat="false" ht="15" hidden="false" customHeight="false" outlineLevel="0" collapsed="false">
      <c r="A199" s="2" t="s">
        <v>410</v>
      </c>
      <c r="B199" s="2" t="s">
        <v>236</v>
      </c>
      <c r="C199" s="2" t="s">
        <v>411</v>
      </c>
      <c r="D199" s="2" t="s">
        <v>1183</v>
      </c>
      <c r="E199" s="2" t="n">
        <v>3</v>
      </c>
      <c r="F199" s="2" t="n">
        <f aca="false">SUMPRODUCT(('Anh xa'!$D$2:$D$581=A199)*1)</f>
        <v>3</v>
      </c>
      <c r="G199" s="2" t="str">
        <f aca="false">IF(AND(F199&gt;0,F199=E199),"✓","THIẾU")</f>
        <v>✓</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4" min="3" style="0" width="60"/>
    <col collapsed="false" customWidth="true" hidden="false" outlineLevel="0" max="5" min="5" style="0" width="10"/>
    <col collapsed="false" customWidth="true" hidden="false" outlineLevel="0" max="6" min="6" style="0" width="12"/>
    <col collapsed="false" customWidth="true" hidden="false" outlineLevel="0" max="7" min="7" style="0" width="8"/>
  </cols>
  <sheetData>
    <row r="1" customFormat="false" ht="30" hidden="false" customHeight="true" outlineLevel="0" collapsed="false">
      <c r="A1" s="1" t="s">
        <v>32</v>
      </c>
      <c r="B1" s="1" t="s">
        <v>34</v>
      </c>
      <c r="C1" s="1" t="s">
        <v>33</v>
      </c>
      <c r="D1" s="1" t="s">
        <v>1184</v>
      </c>
      <c r="E1" s="1" t="s">
        <v>1185</v>
      </c>
      <c r="F1" s="1" t="s">
        <v>1186</v>
      </c>
      <c r="G1" s="1" t="s">
        <v>1030</v>
      </c>
    </row>
    <row r="2" customFormat="false" ht="15" hidden="false" customHeight="false" outlineLevel="0" collapsed="false">
      <c r="A2" s="2" t="s">
        <v>40</v>
      </c>
      <c r="B2" s="2" t="n">
        <v>2</v>
      </c>
      <c r="C2" s="2" t="s">
        <v>41</v>
      </c>
      <c r="D2" s="2" t="s">
        <v>1187</v>
      </c>
      <c r="E2" s="2" t="n">
        <v>2</v>
      </c>
      <c r="F2" s="2" t="n">
        <f aca="false">SUMPRODUCT(('Anh xa'!$A$2:$A$581=A2)*1)</f>
        <v>2</v>
      </c>
      <c r="G2" s="2" t="str">
        <f aca="false">IF(F2&gt;0,"✓","THIẾU")</f>
        <v>✓</v>
      </c>
    </row>
    <row r="3" customFormat="false" ht="15" hidden="false" customHeight="false" outlineLevel="0" collapsed="false">
      <c r="A3" s="2" t="s">
        <v>50</v>
      </c>
      <c r="B3" s="2" t="n">
        <v>3</v>
      </c>
      <c r="C3" s="2" t="s">
        <v>51</v>
      </c>
      <c r="D3" s="2" t="s">
        <v>1188</v>
      </c>
      <c r="E3" s="2" t="n">
        <v>3</v>
      </c>
      <c r="F3" s="2" t="n">
        <f aca="false">SUMPRODUCT(('Anh xa'!$A$2:$A$581=A3)*1)</f>
        <v>3</v>
      </c>
      <c r="G3" s="2" t="str">
        <f aca="false">IF(F3&gt;0,"✓","THIẾU")</f>
        <v>✓</v>
      </c>
    </row>
    <row r="4" customFormat="false" ht="15" hidden="false" customHeight="false" outlineLevel="0" collapsed="false">
      <c r="A4" s="2" t="s">
        <v>60</v>
      </c>
      <c r="B4" s="2" t="n">
        <v>3</v>
      </c>
      <c r="C4" s="2" t="s">
        <v>61</v>
      </c>
      <c r="D4" s="2" t="s">
        <v>1189</v>
      </c>
      <c r="E4" s="2" t="n">
        <v>2</v>
      </c>
      <c r="F4" s="2" t="n">
        <f aca="false">SUMPRODUCT(('Anh xa'!$A$2:$A$581=A4)*1)</f>
        <v>2</v>
      </c>
      <c r="G4" s="2" t="str">
        <f aca="false">IF(F4&gt;0,"✓","THIẾU")</f>
        <v>✓</v>
      </c>
    </row>
    <row r="5" customFormat="false" ht="15" hidden="false" customHeight="false" outlineLevel="0" collapsed="false">
      <c r="A5" s="2" t="s">
        <v>70</v>
      </c>
      <c r="B5" s="2" t="n">
        <v>3</v>
      </c>
      <c r="C5" s="2" t="s">
        <v>71</v>
      </c>
      <c r="D5" s="2" t="s">
        <v>1190</v>
      </c>
      <c r="E5" s="2" t="n">
        <v>5</v>
      </c>
      <c r="F5" s="2" t="n">
        <f aca="false">SUMPRODUCT(('Anh xa'!$A$2:$A$581=A5)*1)</f>
        <v>5</v>
      </c>
      <c r="G5" s="2" t="str">
        <f aca="false">IF(F5&gt;0,"✓","THIẾU")</f>
        <v>✓</v>
      </c>
    </row>
    <row r="6" customFormat="false" ht="15" hidden="false" customHeight="false" outlineLevel="0" collapsed="false">
      <c r="A6" s="2" t="s">
        <v>84</v>
      </c>
      <c r="B6" s="2" t="n">
        <v>3</v>
      </c>
      <c r="C6" s="2" t="s">
        <v>85</v>
      </c>
      <c r="D6" s="2" t="s">
        <v>1191</v>
      </c>
      <c r="E6" s="2" t="n">
        <v>8</v>
      </c>
      <c r="F6" s="2" t="n">
        <f aca="false">SUMPRODUCT(('Anh xa'!$A$2:$A$581=A6)*1)</f>
        <v>8</v>
      </c>
      <c r="G6" s="2" t="str">
        <f aca="false">IF(F6&gt;0,"✓","THIẾU")</f>
        <v>✓</v>
      </c>
    </row>
    <row r="7" customFormat="false" ht="15" hidden="false" customHeight="false" outlineLevel="0" collapsed="false">
      <c r="A7" s="2" t="s">
        <v>106</v>
      </c>
      <c r="B7" s="2" t="n">
        <v>3</v>
      </c>
      <c r="C7" s="2" t="s">
        <v>107</v>
      </c>
      <c r="D7" s="2" t="s">
        <v>1192</v>
      </c>
      <c r="E7" s="2" t="n">
        <v>2</v>
      </c>
      <c r="F7" s="2" t="n">
        <f aca="false">SUMPRODUCT(('Anh xa'!$A$2:$A$581=A7)*1)</f>
        <v>2</v>
      </c>
      <c r="G7" s="2" t="str">
        <f aca="false">IF(F7&gt;0,"✓","THIẾU")</f>
        <v>✓</v>
      </c>
    </row>
    <row r="8" customFormat="false" ht="15" hidden="false" customHeight="false" outlineLevel="0" collapsed="false">
      <c r="A8" s="2" t="s">
        <v>112</v>
      </c>
      <c r="B8" s="2" t="n">
        <v>3</v>
      </c>
      <c r="C8" s="2" t="s">
        <v>113</v>
      </c>
      <c r="D8" s="2" t="s">
        <v>1193</v>
      </c>
      <c r="E8" s="2" t="n">
        <v>2</v>
      </c>
      <c r="F8" s="2" t="n">
        <f aca="false">SUMPRODUCT(('Anh xa'!$A$2:$A$581=A8)*1)</f>
        <v>2</v>
      </c>
      <c r="G8" s="2" t="str">
        <f aca="false">IF(F8&gt;0,"✓","THIẾU")</f>
        <v>✓</v>
      </c>
    </row>
    <row r="9" customFormat="false" ht="15" hidden="false" customHeight="false" outlineLevel="0" collapsed="false">
      <c r="A9" s="2" t="s">
        <v>120</v>
      </c>
      <c r="B9" s="2" t="n">
        <v>3</v>
      </c>
      <c r="C9" s="2" t="s">
        <v>121</v>
      </c>
      <c r="D9" s="2" t="s">
        <v>1194</v>
      </c>
      <c r="E9" s="2" t="n">
        <v>2</v>
      </c>
      <c r="F9" s="2" t="n">
        <f aca="false">SUMPRODUCT(('Anh xa'!$A$2:$A$581=A9)*1)</f>
        <v>2</v>
      </c>
      <c r="G9" s="2" t="str">
        <f aca="false">IF(F9&gt;0,"✓","THIẾU")</f>
        <v>✓</v>
      </c>
    </row>
    <row r="10" customFormat="false" ht="15" hidden="false" customHeight="false" outlineLevel="0" collapsed="false">
      <c r="A10" s="2" t="s">
        <v>128</v>
      </c>
      <c r="B10" s="2" t="n">
        <v>3</v>
      </c>
      <c r="C10" s="2" t="s">
        <v>129</v>
      </c>
      <c r="D10" s="2" t="s">
        <v>1195</v>
      </c>
      <c r="E10" s="2" t="n">
        <v>2</v>
      </c>
      <c r="F10" s="2" t="n">
        <f aca="false">SUMPRODUCT(('Anh xa'!$A$2:$A$581=A10)*1)</f>
        <v>2</v>
      </c>
      <c r="G10" s="2" t="str">
        <f aca="false">IF(F10&gt;0,"✓","THIẾU")</f>
        <v>✓</v>
      </c>
    </row>
    <row r="11" customFormat="false" ht="15" hidden="false" customHeight="false" outlineLevel="0" collapsed="false">
      <c r="A11" s="2" t="s">
        <v>136</v>
      </c>
      <c r="B11" s="2" t="n">
        <v>3</v>
      </c>
      <c r="C11" s="2" t="s">
        <v>137</v>
      </c>
      <c r="D11" s="2" t="s">
        <v>1196</v>
      </c>
      <c r="E11" s="2" t="n">
        <v>2</v>
      </c>
      <c r="F11" s="2" t="n">
        <f aca="false">SUMPRODUCT(('Anh xa'!$A$2:$A$581=A11)*1)</f>
        <v>2</v>
      </c>
      <c r="G11" s="2" t="str">
        <f aca="false">IF(F11&gt;0,"✓","THIẾU")</f>
        <v>✓</v>
      </c>
    </row>
    <row r="12" customFormat="false" ht="15" hidden="false" customHeight="false" outlineLevel="0" collapsed="false">
      <c r="A12" s="2" t="s">
        <v>144</v>
      </c>
      <c r="B12" s="2" t="n">
        <v>2</v>
      </c>
      <c r="C12" s="2" t="s">
        <v>145</v>
      </c>
      <c r="D12" s="2" t="s">
        <v>1197</v>
      </c>
      <c r="E12" s="2" t="n">
        <v>3</v>
      </c>
      <c r="F12" s="2" t="n">
        <f aca="false">SUMPRODUCT(('Anh xa'!$A$2:$A$581=A12)*1)</f>
        <v>3</v>
      </c>
      <c r="G12" s="2" t="str">
        <f aca="false">IF(F12&gt;0,"✓","THIẾU")</f>
        <v>✓</v>
      </c>
    </row>
    <row r="13" customFormat="false" ht="15" hidden="false" customHeight="false" outlineLevel="0" collapsed="false">
      <c r="A13" s="2" t="s">
        <v>154</v>
      </c>
      <c r="B13" s="2" t="n">
        <v>3</v>
      </c>
      <c r="C13" s="2" t="s">
        <v>155</v>
      </c>
      <c r="D13" s="2" t="s">
        <v>1198</v>
      </c>
      <c r="E13" s="2" t="n">
        <v>3</v>
      </c>
      <c r="F13" s="2" t="n">
        <f aca="false">SUMPRODUCT(('Anh xa'!$A$2:$A$581=A13)*1)</f>
        <v>3</v>
      </c>
      <c r="G13" s="2" t="str">
        <f aca="false">IF(F13&gt;0,"✓","THIẾU")</f>
        <v>✓</v>
      </c>
    </row>
    <row r="14" customFormat="false" ht="15" hidden="false" customHeight="false" outlineLevel="0" collapsed="false">
      <c r="A14" s="2" t="s">
        <v>158</v>
      </c>
      <c r="B14" s="2" t="n">
        <v>3</v>
      </c>
      <c r="C14" s="2" t="s">
        <v>159</v>
      </c>
      <c r="D14" s="2" t="s">
        <v>1199</v>
      </c>
      <c r="E14" s="2" t="n">
        <v>3</v>
      </c>
      <c r="F14" s="2" t="n">
        <f aca="false">SUMPRODUCT(('Anh xa'!$A$2:$A$581=A14)*1)</f>
        <v>3</v>
      </c>
      <c r="G14" s="2" t="str">
        <f aca="false">IF(F14&gt;0,"✓","THIẾU")</f>
        <v>✓</v>
      </c>
    </row>
    <row r="15" customFormat="false" ht="15" hidden="false" customHeight="false" outlineLevel="0" collapsed="false">
      <c r="A15" s="2" t="s">
        <v>166</v>
      </c>
      <c r="B15" s="2" t="n">
        <v>3</v>
      </c>
      <c r="C15" s="2" t="s">
        <v>167</v>
      </c>
      <c r="D15" s="2" t="s">
        <v>1200</v>
      </c>
      <c r="E15" s="2" t="n">
        <v>4</v>
      </c>
      <c r="F15" s="2" t="n">
        <f aca="false">SUMPRODUCT(('Anh xa'!$A$2:$A$581=A15)*1)</f>
        <v>4</v>
      </c>
      <c r="G15" s="2" t="str">
        <f aca="false">IF(F15&gt;0,"✓","THIẾU")</f>
        <v>✓</v>
      </c>
    </row>
    <row r="16" customFormat="false" ht="15" hidden="false" customHeight="false" outlineLevel="0" collapsed="false">
      <c r="A16" s="2" t="s">
        <v>172</v>
      </c>
      <c r="B16" s="2" t="n">
        <v>3</v>
      </c>
      <c r="C16" s="2" t="s">
        <v>173</v>
      </c>
      <c r="D16" s="2" t="s">
        <v>1201</v>
      </c>
      <c r="E16" s="2" t="n">
        <v>3</v>
      </c>
      <c r="F16" s="2" t="n">
        <f aca="false">SUMPRODUCT(('Anh xa'!$A$2:$A$581=A16)*1)</f>
        <v>3</v>
      </c>
      <c r="G16" s="2" t="str">
        <f aca="false">IF(F16&gt;0,"✓","THIẾU")</f>
        <v>✓</v>
      </c>
    </row>
    <row r="17" customFormat="false" ht="15" hidden="false" customHeight="false" outlineLevel="0" collapsed="false">
      <c r="A17" s="2" t="s">
        <v>178</v>
      </c>
      <c r="B17" s="2" t="n">
        <v>3</v>
      </c>
      <c r="C17" s="2" t="s">
        <v>179</v>
      </c>
      <c r="D17" s="2" t="s">
        <v>1202</v>
      </c>
      <c r="E17" s="2" t="n">
        <v>3</v>
      </c>
      <c r="F17" s="2" t="n">
        <f aca="false">SUMPRODUCT(('Anh xa'!$A$2:$A$581=A17)*1)</f>
        <v>3</v>
      </c>
      <c r="G17" s="2" t="str">
        <f aca="false">IF(F17&gt;0,"✓","THIẾU")</f>
        <v>✓</v>
      </c>
    </row>
    <row r="18" customFormat="false" ht="15" hidden="false" customHeight="false" outlineLevel="0" collapsed="false">
      <c r="A18" s="2" t="s">
        <v>180</v>
      </c>
      <c r="B18" s="2" t="n">
        <v>2</v>
      </c>
      <c r="C18" s="2" t="s">
        <v>181</v>
      </c>
      <c r="D18" s="2" t="s">
        <v>182</v>
      </c>
      <c r="E18" s="2" t="n">
        <v>1</v>
      </c>
      <c r="F18" s="2" t="n">
        <f aca="false">SUMPRODUCT(('Anh xa'!$A$2:$A$581=A18)*1)</f>
        <v>1</v>
      </c>
      <c r="G18" s="2" t="str">
        <f aca="false">IF(F18&gt;0,"✓","THIẾU")</f>
        <v>✓</v>
      </c>
    </row>
    <row r="19" customFormat="false" ht="15" hidden="false" customHeight="false" outlineLevel="0" collapsed="false">
      <c r="A19" s="2" t="s">
        <v>185</v>
      </c>
      <c r="B19" s="2" t="n">
        <v>3</v>
      </c>
      <c r="C19" s="2" t="s">
        <v>186</v>
      </c>
      <c r="D19" s="2" t="s">
        <v>1203</v>
      </c>
      <c r="E19" s="2" t="n">
        <v>2</v>
      </c>
      <c r="F19" s="2" t="n">
        <f aca="false">SUMPRODUCT(('Anh xa'!$A$2:$A$581=A19)*1)</f>
        <v>2</v>
      </c>
      <c r="G19" s="2" t="str">
        <f aca="false">IF(F19&gt;0,"✓","THIẾU")</f>
        <v>✓</v>
      </c>
    </row>
    <row r="20" customFormat="false" ht="15" hidden="false" customHeight="false" outlineLevel="0" collapsed="false">
      <c r="A20" s="2" t="s">
        <v>187</v>
      </c>
      <c r="B20" s="2" t="n">
        <v>3</v>
      </c>
      <c r="C20" s="2" t="s">
        <v>188</v>
      </c>
      <c r="D20" s="2" t="s">
        <v>1204</v>
      </c>
      <c r="E20" s="2" t="n">
        <v>2</v>
      </c>
      <c r="F20" s="2" t="n">
        <f aca="false">SUMPRODUCT(('Anh xa'!$A$2:$A$581=A20)*1)</f>
        <v>2</v>
      </c>
      <c r="G20" s="2" t="str">
        <f aca="false">IF(F20&gt;0,"✓","THIẾU")</f>
        <v>✓</v>
      </c>
    </row>
    <row r="21" customFormat="false" ht="15" hidden="false" customHeight="false" outlineLevel="0" collapsed="false">
      <c r="A21" s="2" t="s">
        <v>193</v>
      </c>
      <c r="B21" s="2" t="n">
        <v>3</v>
      </c>
      <c r="C21" s="2" t="s">
        <v>194</v>
      </c>
      <c r="D21" s="2" t="s">
        <v>1205</v>
      </c>
      <c r="E21" s="2" t="n">
        <v>5</v>
      </c>
      <c r="F21" s="2" t="n">
        <f aca="false">SUMPRODUCT(('Anh xa'!$A$2:$A$581=A21)*1)</f>
        <v>5</v>
      </c>
      <c r="G21" s="2" t="str">
        <f aca="false">IF(F21&gt;0,"✓","THIẾU")</f>
        <v>✓</v>
      </c>
    </row>
    <row r="22" customFormat="false" ht="15" hidden="false" customHeight="false" outlineLevel="0" collapsed="false">
      <c r="A22" s="2" t="s">
        <v>205</v>
      </c>
      <c r="B22" s="2" t="n">
        <v>3</v>
      </c>
      <c r="C22" s="2" t="s">
        <v>206</v>
      </c>
      <c r="D22" s="2" t="s">
        <v>1206</v>
      </c>
      <c r="E22" s="2" t="n">
        <v>2</v>
      </c>
      <c r="F22" s="2" t="n">
        <f aca="false">SUMPRODUCT(('Anh xa'!$A$2:$A$581=A22)*1)</f>
        <v>2</v>
      </c>
      <c r="G22" s="2" t="str">
        <f aca="false">IF(F22&gt;0,"✓","THIẾU")</f>
        <v>✓</v>
      </c>
    </row>
    <row r="23" customFormat="false" ht="15" hidden="false" customHeight="false" outlineLevel="0" collapsed="false">
      <c r="A23" s="2" t="s">
        <v>207</v>
      </c>
      <c r="B23" s="2" t="n">
        <v>2</v>
      </c>
      <c r="C23" s="2" t="s">
        <v>208</v>
      </c>
      <c r="D23" s="2" t="s">
        <v>1207</v>
      </c>
      <c r="E23" s="2" t="n">
        <v>3</v>
      </c>
      <c r="F23" s="2" t="n">
        <f aca="false">SUMPRODUCT(('Anh xa'!$A$2:$A$581=A23)*1)</f>
        <v>3</v>
      </c>
      <c r="G23" s="2" t="str">
        <f aca="false">IF(F23&gt;0,"✓","THIẾU")</f>
        <v>✓</v>
      </c>
    </row>
    <row r="24" customFormat="false" ht="15" hidden="false" customHeight="false" outlineLevel="0" collapsed="false">
      <c r="A24" s="2" t="s">
        <v>215</v>
      </c>
      <c r="B24" s="2" t="n">
        <v>3</v>
      </c>
      <c r="C24" s="2" t="s">
        <v>216</v>
      </c>
      <c r="D24" s="2" t="s">
        <v>1208</v>
      </c>
      <c r="E24" s="2" t="n">
        <v>3</v>
      </c>
      <c r="F24" s="2" t="n">
        <f aca="false">SUMPRODUCT(('Anh xa'!$A$2:$A$581=A24)*1)</f>
        <v>3</v>
      </c>
      <c r="G24" s="2" t="str">
        <f aca="false">IF(F24&gt;0,"✓","THIẾU")</f>
        <v>✓</v>
      </c>
    </row>
    <row r="25" customFormat="false" ht="15" hidden="false" customHeight="false" outlineLevel="0" collapsed="false">
      <c r="A25" s="2" t="s">
        <v>219</v>
      </c>
      <c r="B25" s="2" t="n">
        <v>3</v>
      </c>
      <c r="C25" s="2" t="s">
        <v>220</v>
      </c>
      <c r="D25" s="2" t="s">
        <v>1209</v>
      </c>
      <c r="E25" s="2" t="n">
        <v>3</v>
      </c>
      <c r="F25" s="2" t="n">
        <f aca="false">SUMPRODUCT(('Anh xa'!$A$2:$A$581=A25)*1)</f>
        <v>3</v>
      </c>
      <c r="G25" s="2" t="str">
        <f aca="false">IF(F25&gt;0,"✓","THIẾU")</f>
        <v>✓</v>
      </c>
    </row>
    <row r="26" customFormat="false" ht="15" hidden="false" customHeight="false" outlineLevel="0" collapsed="false">
      <c r="A26" s="2" t="s">
        <v>223</v>
      </c>
      <c r="B26" s="2" t="n">
        <v>3</v>
      </c>
      <c r="C26" s="2" t="s">
        <v>224</v>
      </c>
      <c r="D26" s="2" t="s">
        <v>1210</v>
      </c>
      <c r="E26" s="2" t="n">
        <v>3</v>
      </c>
      <c r="F26" s="2" t="n">
        <f aca="false">SUMPRODUCT(('Anh xa'!$A$2:$A$581=A26)*1)</f>
        <v>3</v>
      </c>
      <c r="G26" s="2" t="str">
        <f aca="false">IF(F26&gt;0,"✓","THIẾU")</f>
        <v>✓</v>
      </c>
    </row>
    <row r="27" customFormat="false" ht="15" hidden="false" customHeight="false" outlineLevel="0" collapsed="false">
      <c r="A27" s="2" t="s">
        <v>233</v>
      </c>
      <c r="B27" s="2" t="n">
        <v>3</v>
      </c>
      <c r="C27" s="2" t="s">
        <v>234</v>
      </c>
      <c r="D27" s="2" t="s">
        <v>1211</v>
      </c>
      <c r="E27" s="2" t="n">
        <v>3</v>
      </c>
      <c r="F27" s="2" t="n">
        <f aca="false">SUMPRODUCT(('Anh xa'!$A$2:$A$581=A27)*1)</f>
        <v>3</v>
      </c>
      <c r="G27" s="2" t="str">
        <f aca="false">IF(F27&gt;0,"✓","THIẾU")</f>
        <v>✓</v>
      </c>
    </row>
    <row r="28" customFormat="false" ht="15" hidden="false" customHeight="false" outlineLevel="0" collapsed="false">
      <c r="A28" s="2" t="s">
        <v>243</v>
      </c>
      <c r="B28" s="2" t="n">
        <v>3</v>
      </c>
      <c r="C28" s="2" t="s">
        <v>244</v>
      </c>
      <c r="D28" s="2" t="s">
        <v>1212</v>
      </c>
      <c r="E28" s="2" t="n">
        <v>2</v>
      </c>
      <c r="F28" s="2" t="n">
        <f aca="false">SUMPRODUCT(('Anh xa'!$A$2:$A$581=A28)*1)</f>
        <v>2</v>
      </c>
      <c r="G28" s="2" t="str">
        <f aca="false">IF(F28&gt;0,"✓","THIẾU")</f>
        <v>✓</v>
      </c>
    </row>
    <row r="29" customFormat="false" ht="15" hidden="false" customHeight="false" outlineLevel="0" collapsed="false">
      <c r="A29" s="2" t="s">
        <v>247</v>
      </c>
      <c r="B29" s="2" t="n">
        <v>3</v>
      </c>
      <c r="C29" s="2" t="s">
        <v>248</v>
      </c>
      <c r="D29" s="2" t="s">
        <v>1213</v>
      </c>
      <c r="E29" s="2" t="n">
        <v>2</v>
      </c>
      <c r="F29" s="2" t="n">
        <f aca="false">SUMPRODUCT(('Anh xa'!$A$2:$A$581=A29)*1)</f>
        <v>2</v>
      </c>
      <c r="G29" s="2" t="str">
        <f aca="false">IF(F29&gt;0,"✓","THIẾU")</f>
        <v>✓</v>
      </c>
    </row>
    <row r="30" customFormat="false" ht="15" hidden="false" customHeight="false" outlineLevel="0" collapsed="false">
      <c r="A30" s="2" t="s">
        <v>249</v>
      </c>
      <c r="B30" s="2" t="n">
        <v>2</v>
      </c>
      <c r="C30" s="2" t="s">
        <v>250</v>
      </c>
      <c r="D30" s="2" t="s">
        <v>1214</v>
      </c>
      <c r="E30" s="2" t="n">
        <v>2</v>
      </c>
      <c r="F30" s="2" t="n">
        <f aca="false">SUMPRODUCT(('Anh xa'!$A$2:$A$581=A30)*1)</f>
        <v>2</v>
      </c>
      <c r="G30" s="2" t="str">
        <f aca="false">IF(F30&gt;0,"✓","THIẾU")</f>
        <v>✓</v>
      </c>
    </row>
    <row r="31" customFormat="false" ht="15" hidden="false" customHeight="false" outlineLevel="0" collapsed="false">
      <c r="A31" s="2" t="s">
        <v>255</v>
      </c>
      <c r="B31" s="2" t="n">
        <v>3</v>
      </c>
      <c r="C31" s="2" t="s">
        <v>256</v>
      </c>
      <c r="D31" s="2" t="s">
        <v>1215</v>
      </c>
      <c r="E31" s="2" t="n">
        <v>2</v>
      </c>
      <c r="F31" s="2" t="n">
        <f aca="false">SUMPRODUCT(('Anh xa'!$A$2:$A$581=A31)*1)</f>
        <v>2</v>
      </c>
      <c r="G31" s="2" t="str">
        <f aca="false">IF(F31&gt;0,"✓","THIẾU")</f>
        <v>✓</v>
      </c>
    </row>
    <row r="32" customFormat="false" ht="15" hidden="false" customHeight="false" outlineLevel="0" collapsed="false">
      <c r="A32" s="2" t="s">
        <v>259</v>
      </c>
      <c r="B32" s="2" t="n">
        <v>3</v>
      </c>
      <c r="C32" s="2" t="s">
        <v>260</v>
      </c>
      <c r="D32" s="2" t="s">
        <v>261</v>
      </c>
      <c r="E32" s="2" t="n">
        <v>1</v>
      </c>
      <c r="F32" s="2" t="n">
        <f aca="false">SUMPRODUCT(('Anh xa'!$A$2:$A$581=A32)*1)</f>
        <v>1</v>
      </c>
      <c r="G32" s="2" t="str">
        <f aca="false">IF(F32&gt;0,"✓","THIẾU")</f>
        <v>✓</v>
      </c>
    </row>
    <row r="33" customFormat="false" ht="15" hidden="false" customHeight="false" outlineLevel="0" collapsed="false">
      <c r="A33" s="2" t="s">
        <v>263</v>
      </c>
      <c r="B33" s="2" t="n">
        <v>3</v>
      </c>
      <c r="C33" s="2" t="s">
        <v>264</v>
      </c>
      <c r="D33" s="2" t="s">
        <v>1216</v>
      </c>
      <c r="E33" s="2" t="n">
        <v>3</v>
      </c>
      <c r="F33" s="2" t="n">
        <f aca="false">SUMPRODUCT(('Anh xa'!$A$2:$A$581=A33)*1)</f>
        <v>3</v>
      </c>
      <c r="G33" s="2" t="str">
        <f aca="false">IF(F33&gt;0,"✓","THIẾU")</f>
        <v>✓</v>
      </c>
    </row>
    <row r="34" customFormat="false" ht="15" hidden="false" customHeight="false" outlineLevel="0" collapsed="false">
      <c r="A34" s="2" t="s">
        <v>269</v>
      </c>
      <c r="B34" s="2" t="n">
        <v>3</v>
      </c>
      <c r="C34" s="2" t="s">
        <v>270</v>
      </c>
      <c r="D34" s="2" t="s">
        <v>1217</v>
      </c>
      <c r="E34" s="2" t="n">
        <v>2</v>
      </c>
      <c r="F34" s="2" t="n">
        <f aca="false">SUMPRODUCT(('Anh xa'!$A$2:$A$581=A34)*1)</f>
        <v>2</v>
      </c>
      <c r="G34" s="2" t="str">
        <f aca="false">IF(F34&gt;0,"✓","THIẾU")</f>
        <v>✓</v>
      </c>
    </row>
    <row r="35" customFormat="false" ht="15" hidden="false" customHeight="false" outlineLevel="0" collapsed="false">
      <c r="A35" s="2" t="s">
        <v>271</v>
      </c>
      <c r="B35" s="2" t="n">
        <v>3</v>
      </c>
      <c r="C35" s="2" t="s">
        <v>272</v>
      </c>
      <c r="D35" s="2" t="s">
        <v>1218</v>
      </c>
      <c r="E35" s="2" t="n">
        <v>2</v>
      </c>
      <c r="F35" s="2" t="n">
        <f aca="false">SUMPRODUCT(('Anh xa'!$A$2:$A$581=A35)*1)</f>
        <v>2</v>
      </c>
      <c r="G35" s="2" t="str">
        <f aca="false">IF(F35&gt;0,"✓","THIẾU")</f>
        <v>✓</v>
      </c>
    </row>
    <row r="36" customFormat="false" ht="15" hidden="false" customHeight="false" outlineLevel="0" collapsed="false">
      <c r="A36" s="2" t="s">
        <v>275</v>
      </c>
      <c r="B36" s="2" t="n">
        <v>3</v>
      </c>
      <c r="C36" s="2" t="s">
        <v>276</v>
      </c>
      <c r="D36" s="2" t="s">
        <v>1219</v>
      </c>
      <c r="E36" s="2" t="n">
        <v>3</v>
      </c>
      <c r="F36" s="2" t="n">
        <f aca="false">SUMPRODUCT(('Anh xa'!$A$2:$A$581=A36)*1)</f>
        <v>3</v>
      </c>
      <c r="G36" s="2" t="str">
        <f aca="false">IF(F36&gt;0,"✓","THIẾU")</f>
        <v>✓</v>
      </c>
    </row>
    <row r="37" customFormat="false" ht="15" hidden="false" customHeight="false" outlineLevel="0" collapsed="false">
      <c r="A37" s="2" t="s">
        <v>281</v>
      </c>
      <c r="B37" s="2" t="n">
        <v>3</v>
      </c>
      <c r="C37" s="2" t="s">
        <v>282</v>
      </c>
      <c r="D37" s="2" t="s">
        <v>130</v>
      </c>
      <c r="E37" s="2" t="n">
        <v>1</v>
      </c>
      <c r="F37" s="2" t="n">
        <f aca="false">SUMPRODUCT(('Anh xa'!$A$2:$A$581=A37)*1)</f>
        <v>1</v>
      </c>
      <c r="G37" s="2" t="str">
        <f aca="false">IF(F37&gt;0,"✓","THIẾU")</f>
        <v>✓</v>
      </c>
    </row>
    <row r="38" customFormat="false" ht="15" hidden="false" customHeight="false" outlineLevel="0" collapsed="false">
      <c r="A38" s="2" t="s">
        <v>283</v>
      </c>
      <c r="B38" s="2" t="n">
        <v>3</v>
      </c>
      <c r="C38" s="2" t="s">
        <v>284</v>
      </c>
      <c r="D38" s="2" t="s">
        <v>1220</v>
      </c>
      <c r="E38" s="2" t="n">
        <v>2</v>
      </c>
      <c r="F38" s="2" t="n">
        <f aca="false">SUMPRODUCT(('Anh xa'!$A$2:$A$581=A38)*1)</f>
        <v>2</v>
      </c>
      <c r="G38" s="2" t="str">
        <f aca="false">IF(F38&gt;0,"✓","THIẾU")</f>
        <v>✓</v>
      </c>
    </row>
    <row r="39" customFormat="false" ht="15" hidden="false" customHeight="false" outlineLevel="0" collapsed="false">
      <c r="A39" s="2" t="s">
        <v>287</v>
      </c>
      <c r="B39" s="2" t="n">
        <v>2</v>
      </c>
      <c r="C39" s="2" t="s">
        <v>288</v>
      </c>
      <c r="D39" s="2" t="s">
        <v>289</v>
      </c>
      <c r="E39" s="2" t="n">
        <v>1</v>
      </c>
      <c r="F39" s="2" t="n">
        <f aca="false">SUMPRODUCT(('Anh xa'!$A$2:$A$581=A39)*1)</f>
        <v>1</v>
      </c>
      <c r="G39" s="2" t="str">
        <f aca="false">IF(F39&gt;0,"✓","THIẾU")</f>
        <v>✓</v>
      </c>
    </row>
    <row r="40" customFormat="false" ht="15" hidden="false" customHeight="false" outlineLevel="0" collapsed="false">
      <c r="A40" s="2" t="s">
        <v>291</v>
      </c>
      <c r="B40" s="2" t="n">
        <v>3</v>
      </c>
      <c r="C40" s="2" t="s">
        <v>292</v>
      </c>
      <c r="D40" s="2" t="s">
        <v>1221</v>
      </c>
      <c r="E40" s="2" t="n">
        <v>3</v>
      </c>
      <c r="F40" s="2" t="n">
        <f aca="false">SUMPRODUCT(('Anh xa'!$A$2:$A$581=A40)*1)</f>
        <v>3</v>
      </c>
      <c r="G40" s="2" t="str">
        <f aca="false">IF(F40&gt;0,"✓","THIẾU")</f>
        <v>✓</v>
      </c>
    </row>
    <row r="41" customFormat="false" ht="15" hidden="false" customHeight="false" outlineLevel="0" collapsed="false">
      <c r="A41" s="2" t="s">
        <v>297</v>
      </c>
      <c r="B41" s="2" t="n">
        <v>2</v>
      </c>
      <c r="C41" s="2" t="s">
        <v>298</v>
      </c>
      <c r="D41" s="2" t="s">
        <v>1222</v>
      </c>
      <c r="E41" s="2" t="n">
        <v>4</v>
      </c>
      <c r="F41" s="2" t="n">
        <f aca="false">SUMPRODUCT(('Anh xa'!$A$2:$A$581=A41)*1)</f>
        <v>4</v>
      </c>
      <c r="G41" s="2" t="str">
        <f aca="false">IF(F41&gt;0,"✓","THIẾU")</f>
        <v>✓</v>
      </c>
    </row>
    <row r="42" customFormat="false" ht="23.85" hidden="false" customHeight="false" outlineLevel="0" collapsed="false">
      <c r="A42" s="2" t="s">
        <v>303</v>
      </c>
      <c r="B42" s="2" t="n">
        <v>3</v>
      </c>
      <c r="C42" s="2" t="s">
        <v>304</v>
      </c>
      <c r="D42" s="2" t="s">
        <v>1223</v>
      </c>
      <c r="E42" s="2" t="n">
        <v>6</v>
      </c>
      <c r="F42" s="2" t="n">
        <f aca="false">SUMPRODUCT(('Anh xa'!$A$2:$A$581=A42)*1)</f>
        <v>6</v>
      </c>
      <c r="G42" s="2" t="str">
        <f aca="false">IF(F42&gt;0,"✓","THIẾU")</f>
        <v>✓</v>
      </c>
    </row>
    <row r="43" customFormat="false" ht="15" hidden="false" customHeight="false" outlineLevel="0" collapsed="false">
      <c r="A43" s="2" t="s">
        <v>320</v>
      </c>
      <c r="B43" s="2" t="n">
        <v>3</v>
      </c>
      <c r="C43" s="2" t="s">
        <v>321</v>
      </c>
      <c r="D43" s="2" t="s">
        <v>1224</v>
      </c>
      <c r="E43" s="2" t="n">
        <v>3</v>
      </c>
      <c r="F43" s="2" t="n">
        <f aca="false">SUMPRODUCT(('Anh xa'!$A$2:$A$581=A43)*1)</f>
        <v>3</v>
      </c>
      <c r="G43" s="2" t="str">
        <f aca="false">IF(F43&gt;0,"✓","THIẾU")</f>
        <v>✓</v>
      </c>
    </row>
    <row r="44" customFormat="false" ht="23.85" hidden="false" customHeight="false" outlineLevel="0" collapsed="false">
      <c r="A44" s="2" t="s">
        <v>328</v>
      </c>
      <c r="B44" s="2" t="n">
        <v>3</v>
      </c>
      <c r="C44" s="2" t="s">
        <v>329</v>
      </c>
      <c r="D44" s="2" t="s">
        <v>1225</v>
      </c>
      <c r="E44" s="2" t="n">
        <v>3</v>
      </c>
      <c r="F44" s="2" t="n">
        <f aca="false">SUMPRODUCT(('Anh xa'!$A$2:$A$581=A44)*1)</f>
        <v>3</v>
      </c>
      <c r="G44" s="2" t="str">
        <f aca="false">IF(F44&gt;0,"✓","THIẾU")</f>
        <v>✓</v>
      </c>
    </row>
    <row r="45" customFormat="false" ht="15" hidden="false" customHeight="false" outlineLevel="0" collapsed="false">
      <c r="A45" s="2" t="s">
        <v>330</v>
      </c>
      <c r="B45" s="2" t="n">
        <v>3</v>
      </c>
      <c r="C45" s="2" t="s">
        <v>331</v>
      </c>
      <c r="D45" s="2" t="s">
        <v>1226</v>
      </c>
      <c r="E45" s="2" t="n">
        <v>4</v>
      </c>
      <c r="F45" s="2" t="n">
        <f aca="false">SUMPRODUCT(('Anh xa'!$A$2:$A$581=A45)*1)</f>
        <v>4</v>
      </c>
      <c r="G45" s="2" t="str">
        <f aca="false">IF(F45&gt;0,"✓","THIẾU")</f>
        <v>✓</v>
      </c>
    </row>
    <row r="46" customFormat="false" ht="15" hidden="false" customHeight="false" outlineLevel="0" collapsed="false">
      <c r="A46" s="2" t="s">
        <v>340</v>
      </c>
      <c r="B46" s="2" t="n">
        <v>3</v>
      </c>
      <c r="C46" s="2" t="s">
        <v>341</v>
      </c>
      <c r="D46" s="2" t="s">
        <v>1227</v>
      </c>
      <c r="E46" s="2" t="n">
        <v>2</v>
      </c>
      <c r="F46" s="2" t="n">
        <f aca="false">SUMPRODUCT(('Anh xa'!$A$2:$A$581=A46)*1)</f>
        <v>2</v>
      </c>
      <c r="G46" s="2" t="str">
        <f aca="false">IF(F46&gt;0,"✓","THIẾU")</f>
        <v>✓</v>
      </c>
    </row>
    <row r="47" customFormat="false" ht="15" hidden="false" customHeight="false" outlineLevel="0" collapsed="false">
      <c r="A47" s="2" t="s">
        <v>342</v>
      </c>
      <c r="B47" s="2" t="n">
        <v>3</v>
      </c>
      <c r="C47" s="2" t="s">
        <v>343</v>
      </c>
      <c r="D47" s="2" t="s">
        <v>1228</v>
      </c>
      <c r="E47" s="2" t="n">
        <v>2</v>
      </c>
      <c r="F47" s="2" t="n">
        <f aca="false">SUMPRODUCT(('Anh xa'!$A$2:$A$581=A47)*1)</f>
        <v>2</v>
      </c>
      <c r="G47" s="2" t="str">
        <f aca="false">IF(F47&gt;0,"✓","THIẾU")</f>
        <v>✓</v>
      </c>
    </row>
    <row r="48" customFormat="false" ht="15" hidden="false" customHeight="false" outlineLevel="0" collapsed="false">
      <c r="A48" s="2" t="s">
        <v>348</v>
      </c>
      <c r="B48" s="2" t="n">
        <v>3</v>
      </c>
      <c r="C48" s="2" t="s">
        <v>349</v>
      </c>
      <c r="D48" s="2" t="s">
        <v>1229</v>
      </c>
      <c r="E48" s="2" t="n">
        <v>3</v>
      </c>
      <c r="F48" s="2" t="n">
        <f aca="false">SUMPRODUCT(('Anh xa'!$A$2:$A$581=A48)*1)</f>
        <v>3</v>
      </c>
      <c r="G48" s="2" t="str">
        <f aca="false">IF(F48&gt;0,"✓","THIẾU")</f>
        <v>✓</v>
      </c>
    </row>
    <row r="49" customFormat="false" ht="15" hidden="false" customHeight="false" outlineLevel="0" collapsed="false">
      <c r="A49" s="2" t="s">
        <v>352</v>
      </c>
      <c r="B49" s="2" t="n">
        <v>3</v>
      </c>
      <c r="C49" s="2" t="s">
        <v>353</v>
      </c>
      <c r="D49" s="2" t="s">
        <v>1230</v>
      </c>
      <c r="E49" s="2" t="n">
        <v>3</v>
      </c>
      <c r="F49" s="2" t="n">
        <f aca="false">SUMPRODUCT(('Anh xa'!$A$2:$A$581=A49)*1)</f>
        <v>3</v>
      </c>
      <c r="G49" s="2" t="str">
        <f aca="false">IF(F49&gt;0,"✓","THIẾU")</f>
        <v>✓</v>
      </c>
    </row>
    <row r="50" customFormat="false" ht="15" hidden="false" customHeight="false" outlineLevel="0" collapsed="false">
      <c r="A50" s="2" t="s">
        <v>356</v>
      </c>
      <c r="B50" s="2" t="n">
        <v>3</v>
      </c>
      <c r="C50" s="2" t="s">
        <v>357</v>
      </c>
      <c r="D50" s="2" t="s">
        <v>1231</v>
      </c>
      <c r="E50" s="2" t="n">
        <v>3</v>
      </c>
      <c r="F50" s="2" t="n">
        <f aca="false">SUMPRODUCT(('Anh xa'!$A$2:$A$581=A50)*1)</f>
        <v>3</v>
      </c>
      <c r="G50" s="2" t="str">
        <f aca="false">IF(F50&gt;0,"✓","THIẾU")</f>
        <v>✓</v>
      </c>
    </row>
    <row r="51" customFormat="false" ht="15" hidden="false" customHeight="false" outlineLevel="0" collapsed="false">
      <c r="A51" s="2" t="s">
        <v>364</v>
      </c>
      <c r="B51" s="2" t="n">
        <v>2</v>
      </c>
      <c r="C51" s="2" t="s">
        <v>365</v>
      </c>
      <c r="D51" s="2" t="s">
        <v>1232</v>
      </c>
      <c r="E51" s="2" t="n">
        <v>2</v>
      </c>
      <c r="F51" s="2" t="n">
        <f aca="false">SUMPRODUCT(('Anh xa'!$A$2:$A$581=A51)*1)</f>
        <v>2</v>
      </c>
      <c r="G51" s="2" t="str">
        <f aca="false">IF(F51&gt;0,"✓","THIẾU")</f>
        <v>✓</v>
      </c>
    </row>
    <row r="52" customFormat="false" ht="15" hidden="false" customHeight="false" outlineLevel="0" collapsed="false">
      <c r="A52" s="2" t="s">
        <v>366</v>
      </c>
      <c r="B52" s="2" t="n">
        <v>3</v>
      </c>
      <c r="C52" s="2" t="s">
        <v>367</v>
      </c>
      <c r="D52" s="2" t="s">
        <v>1233</v>
      </c>
      <c r="E52" s="2" t="n">
        <v>3</v>
      </c>
      <c r="F52" s="2" t="n">
        <f aca="false">SUMPRODUCT(('Anh xa'!$A$2:$A$581=A52)*1)</f>
        <v>3</v>
      </c>
      <c r="G52" s="2" t="str">
        <f aca="false">IF(F52&gt;0,"✓","THIẾU")</f>
        <v>✓</v>
      </c>
    </row>
    <row r="53" customFormat="false" ht="15" hidden="false" customHeight="false" outlineLevel="0" collapsed="false">
      <c r="A53" s="2" t="s">
        <v>370</v>
      </c>
      <c r="B53" s="2" t="n">
        <v>3</v>
      </c>
      <c r="C53" s="2" t="s">
        <v>371</v>
      </c>
      <c r="D53" s="2" t="s">
        <v>1228</v>
      </c>
      <c r="E53" s="2" t="n">
        <v>2</v>
      </c>
      <c r="F53" s="2" t="n">
        <f aca="false">SUMPRODUCT(('Anh xa'!$A$2:$A$581=A53)*1)</f>
        <v>2</v>
      </c>
      <c r="G53" s="2" t="str">
        <f aca="false">IF(F53&gt;0,"✓","THIẾU")</f>
        <v>✓</v>
      </c>
    </row>
    <row r="54" customFormat="false" ht="15" hidden="false" customHeight="false" outlineLevel="0" collapsed="false">
      <c r="A54" s="2" t="s">
        <v>372</v>
      </c>
      <c r="B54" s="2" t="n">
        <v>2</v>
      </c>
      <c r="C54" s="2" t="s">
        <v>373</v>
      </c>
      <c r="D54" s="2" t="s">
        <v>1234</v>
      </c>
      <c r="E54" s="2" t="n">
        <v>3</v>
      </c>
      <c r="F54" s="2" t="n">
        <f aca="false">SUMPRODUCT(('Anh xa'!$A$2:$A$581=A54)*1)</f>
        <v>3</v>
      </c>
      <c r="G54" s="2" t="str">
        <f aca="false">IF(F54&gt;0,"✓","THIẾU")</f>
        <v>✓</v>
      </c>
    </row>
    <row r="55" customFormat="false" ht="23.85" hidden="false" customHeight="false" outlineLevel="0" collapsed="false">
      <c r="A55" s="2" t="s">
        <v>378</v>
      </c>
      <c r="B55" s="2" t="n">
        <v>3</v>
      </c>
      <c r="C55" s="2" t="s">
        <v>379</v>
      </c>
      <c r="D55" s="2" t="s">
        <v>1235</v>
      </c>
      <c r="E55" s="2" t="n">
        <v>3</v>
      </c>
      <c r="F55" s="2" t="n">
        <f aca="false">SUMPRODUCT(('Anh xa'!$A$2:$A$581=A55)*1)</f>
        <v>3</v>
      </c>
      <c r="G55" s="2" t="str">
        <f aca="false">IF(F55&gt;0,"✓","THIẾU")</f>
        <v>✓</v>
      </c>
    </row>
    <row r="56" customFormat="false" ht="15" hidden="false" customHeight="false" outlineLevel="0" collapsed="false">
      <c r="A56" s="2" t="s">
        <v>382</v>
      </c>
      <c r="B56" s="2" t="n">
        <v>3</v>
      </c>
      <c r="C56" s="2" t="s">
        <v>383</v>
      </c>
      <c r="D56" s="2" t="s">
        <v>1236</v>
      </c>
      <c r="E56" s="2" t="n">
        <v>2</v>
      </c>
      <c r="F56" s="2" t="n">
        <f aca="false">SUMPRODUCT(('Anh xa'!$A$2:$A$581=A56)*1)</f>
        <v>2</v>
      </c>
      <c r="G56" s="2" t="str">
        <f aca="false">IF(F56&gt;0,"✓","THIẾU")</f>
        <v>✓</v>
      </c>
    </row>
    <row r="57" customFormat="false" ht="15" hidden="false" customHeight="false" outlineLevel="0" collapsed="false">
      <c r="A57" s="2" t="s">
        <v>384</v>
      </c>
      <c r="B57" s="2" t="n">
        <v>3</v>
      </c>
      <c r="C57" s="2" t="s">
        <v>385</v>
      </c>
      <c r="D57" s="2" t="s">
        <v>1237</v>
      </c>
      <c r="E57" s="2" t="n">
        <v>3</v>
      </c>
      <c r="F57" s="2" t="n">
        <f aca="false">SUMPRODUCT(('Anh xa'!$A$2:$A$581=A57)*1)</f>
        <v>3</v>
      </c>
      <c r="G57" s="2" t="str">
        <f aca="false">IF(F57&gt;0,"✓","THIẾU")</f>
        <v>✓</v>
      </c>
    </row>
    <row r="58" customFormat="false" ht="15" hidden="false" customHeight="false" outlineLevel="0" collapsed="false">
      <c r="A58" s="2" t="s">
        <v>388</v>
      </c>
      <c r="B58" s="2" t="n">
        <v>3</v>
      </c>
      <c r="C58" s="2" t="s">
        <v>389</v>
      </c>
      <c r="D58" s="2" t="s">
        <v>1227</v>
      </c>
      <c r="E58" s="2" t="n">
        <v>2</v>
      </c>
      <c r="F58" s="2" t="n">
        <f aca="false">SUMPRODUCT(('Anh xa'!$A$2:$A$581=A58)*1)</f>
        <v>2</v>
      </c>
      <c r="G58" s="2" t="str">
        <f aca="false">IF(F58&gt;0,"✓","THIẾU")</f>
        <v>✓</v>
      </c>
    </row>
    <row r="59" customFormat="false" ht="15" hidden="false" customHeight="false" outlineLevel="0" collapsed="false">
      <c r="A59" s="2" t="s">
        <v>390</v>
      </c>
      <c r="B59" s="2" t="n">
        <v>3</v>
      </c>
      <c r="C59" s="2" t="s">
        <v>391</v>
      </c>
      <c r="D59" s="2" t="s">
        <v>1238</v>
      </c>
      <c r="E59" s="2" t="n">
        <v>2</v>
      </c>
      <c r="F59" s="2" t="n">
        <f aca="false">SUMPRODUCT(('Anh xa'!$A$2:$A$581=A59)*1)</f>
        <v>2</v>
      </c>
      <c r="G59" s="2" t="str">
        <f aca="false">IF(F59&gt;0,"✓","THIẾU")</f>
        <v>✓</v>
      </c>
    </row>
    <row r="60" customFormat="false" ht="15" hidden="false" customHeight="false" outlineLevel="0" collapsed="false">
      <c r="A60" s="2" t="s">
        <v>392</v>
      </c>
      <c r="B60" s="2" t="n">
        <v>2</v>
      </c>
      <c r="C60" s="2" t="s">
        <v>393</v>
      </c>
      <c r="D60" s="2" t="s">
        <v>394</v>
      </c>
      <c r="E60" s="2" t="n">
        <v>1</v>
      </c>
      <c r="F60" s="2" t="n">
        <f aca="false">SUMPRODUCT(('Anh xa'!$A$2:$A$581=A60)*1)</f>
        <v>1</v>
      </c>
      <c r="G60" s="2" t="str">
        <f aca="false">IF(F60&gt;0,"✓","THIẾU")</f>
        <v>✓</v>
      </c>
    </row>
    <row r="61" customFormat="false" ht="15" hidden="false" customHeight="false" outlineLevel="0" collapsed="false">
      <c r="A61" s="2" t="s">
        <v>396</v>
      </c>
      <c r="B61" s="2" t="n">
        <v>3</v>
      </c>
      <c r="C61" s="2" t="s">
        <v>397</v>
      </c>
      <c r="D61" s="2" t="s">
        <v>1239</v>
      </c>
      <c r="E61" s="2" t="n">
        <v>2</v>
      </c>
      <c r="F61" s="2" t="n">
        <f aca="false">SUMPRODUCT(('Anh xa'!$A$2:$A$581=A61)*1)</f>
        <v>2</v>
      </c>
      <c r="G61" s="2" t="str">
        <f aca="false">IF(F61&gt;0,"✓","THIẾU")</f>
        <v>✓</v>
      </c>
    </row>
    <row r="62" customFormat="false" ht="15" hidden="false" customHeight="false" outlineLevel="0" collapsed="false">
      <c r="A62" s="2" t="s">
        <v>398</v>
      </c>
      <c r="B62" s="2" t="n">
        <v>3</v>
      </c>
      <c r="C62" s="2" t="s">
        <v>399</v>
      </c>
      <c r="D62" s="2" t="s">
        <v>1240</v>
      </c>
      <c r="E62" s="2" t="n">
        <v>2</v>
      </c>
      <c r="F62" s="2" t="n">
        <f aca="false">SUMPRODUCT(('Anh xa'!$A$2:$A$581=A62)*1)</f>
        <v>2</v>
      </c>
      <c r="G62" s="2" t="str">
        <f aca="false">IF(F62&gt;0,"✓","THIẾU")</f>
        <v>✓</v>
      </c>
    </row>
    <row r="63" customFormat="false" ht="15" hidden="false" customHeight="false" outlineLevel="0" collapsed="false">
      <c r="A63" s="2" t="s">
        <v>400</v>
      </c>
      <c r="B63" s="2" t="n">
        <v>2</v>
      </c>
      <c r="C63" s="2" t="s">
        <v>401</v>
      </c>
      <c r="D63" s="2" t="s">
        <v>1241</v>
      </c>
      <c r="E63" s="2" t="n">
        <v>2</v>
      </c>
      <c r="F63" s="2" t="n">
        <f aca="false">SUMPRODUCT(('Anh xa'!$A$2:$A$581=A63)*1)</f>
        <v>2</v>
      </c>
      <c r="G63" s="2" t="str">
        <f aca="false">IF(F63&gt;0,"✓","THIẾU")</f>
        <v>✓</v>
      </c>
    </row>
    <row r="64" customFormat="false" ht="15" hidden="false" customHeight="false" outlineLevel="0" collapsed="false">
      <c r="A64" s="2" t="s">
        <v>404</v>
      </c>
      <c r="B64" s="2" t="n">
        <v>3</v>
      </c>
      <c r="C64" s="2" t="s">
        <v>405</v>
      </c>
      <c r="D64" s="2" t="s">
        <v>1242</v>
      </c>
      <c r="E64" s="2" t="n">
        <v>3</v>
      </c>
      <c r="F64" s="2" t="n">
        <f aca="false">SUMPRODUCT(('Anh xa'!$A$2:$A$581=A64)*1)</f>
        <v>3</v>
      </c>
      <c r="G64" s="2" t="str">
        <f aca="false">IF(F64&gt;0,"✓","THIẾU")</f>
        <v>✓</v>
      </c>
    </row>
    <row r="65" customFormat="false" ht="15" hidden="false" customHeight="false" outlineLevel="0" collapsed="false">
      <c r="A65" s="2" t="s">
        <v>406</v>
      </c>
      <c r="B65" s="2" t="n">
        <v>3</v>
      </c>
      <c r="C65" s="2" t="s">
        <v>407</v>
      </c>
      <c r="D65" s="2" t="s">
        <v>1243</v>
      </c>
      <c r="E65" s="2" t="n">
        <v>2</v>
      </c>
      <c r="F65" s="2" t="n">
        <f aca="false">SUMPRODUCT(('Anh xa'!$A$2:$A$581=A65)*1)</f>
        <v>2</v>
      </c>
      <c r="G65" s="2" t="str">
        <f aca="false">IF(F65&gt;0,"✓","THIẾU")</f>
        <v>✓</v>
      </c>
    </row>
    <row r="66" customFormat="false" ht="15" hidden="false" customHeight="false" outlineLevel="0" collapsed="false">
      <c r="A66" s="2" t="s">
        <v>408</v>
      </c>
      <c r="B66" s="2" t="n">
        <v>2</v>
      </c>
      <c r="C66" s="2" t="s">
        <v>409</v>
      </c>
      <c r="D66" s="2" t="s">
        <v>1244</v>
      </c>
      <c r="E66" s="2" t="n">
        <v>2</v>
      </c>
      <c r="F66" s="2" t="n">
        <f aca="false">SUMPRODUCT(('Anh xa'!$A$2:$A$581=A66)*1)</f>
        <v>2</v>
      </c>
      <c r="G66" s="2" t="str">
        <f aca="false">IF(F66&gt;0,"✓","THIẾU")</f>
        <v>✓</v>
      </c>
    </row>
    <row r="67" customFormat="false" ht="15" hidden="false" customHeight="false" outlineLevel="0" collapsed="false">
      <c r="A67" s="2" t="s">
        <v>414</v>
      </c>
      <c r="B67" s="2" t="n">
        <v>3</v>
      </c>
      <c r="C67" s="2" t="s">
        <v>415</v>
      </c>
      <c r="D67" s="2" t="s">
        <v>1245</v>
      </c>
      <c r="E67" s="2" t="n">
        <v>3</v>
      </c>
      <c r="F67" s="2" t="n">
        <f aca="false">SUMPRODUCT(('Anh xa'!$A$2:$A$581=A67)*1)</f>
        <v>3</v>
      </c>
      <c r="G67" s="2" t="str">
        <f aca="false">IF(F67&gt;0,"✓","THIẾU")</f>
        <v>✓</v>
      </c>
    </row>
    <row r="68" customFormat="false" ht="15" hidden="false" customHeight="false" outlineLevel="0" collapsed="false">
      <c r="A68" s="2" t="s">
        <v>416</v>
      </c>
      <c r="B68" s="2" t="n">
        <v>2</v>
      </c>
      <c r="C68" s="2" t="s">
        <v>417</v>
      </c>
      <c r="D68" s="2" t="s">
        <v>1204</v>
      </c>
      <c r="E68" s="2" t="n">
        <v>2</v>
      </c>
      <c r="F68" s="2" t="n">
        <f aca="false">SUMPRODUCT(('Anh xa'!$A$2:$A$581=A68)*1)</f>
        <v>2</v>
      </c>
      <c r="G68" s="2" t="str">
        <f aca="false">IF(F68&gt;0,"✓","THIẾU")</f>
        <v>✓</v>
      </c>
    </row>
    <row r="69" customFormat="false" ht="15" hidden="false" customHeight="false" outlineLevel="0" collapsed="false">
      <c r="A69" s="2" t="s">
        <v>418</v>
      </c>
      <c r="B69" s="2" t="n">
        <v>3</v>
      </c>
      <c r="C69" s="2" t="s">
        <v>419</v>
      </c>
      <c r="D69" s="2" t="s">
        <v>1246</v>
      </c>
      <c r="E69" s="2" t="n">
        <v>3</v>
      </c>
      <c r="F69" s="2" t="n">
        <f aca="false">SUMPRODUCT(('Anh xa'!$A$2:$A$581=A69)*1)</f>
        <v>3</v>
      </c>
      <c r="G69" s="2" t="str">
        <f aca="false">IF(F69&gt;0,"✓","THIẾU")</f>
        <v>✓</v>
      </c>
    </row>
    <row r="70" customFormat="false" ht="15" hidden="false" customHeight="false" outlineLevel="0" collapsed="false">
      <c r="A70" s="2" t="s">
        <v>422</v>
      </c>
      <c r="B70" s="2" t="n">
        <v>3</v>
      </c>
      <c r="C70" s="2" t="s">
        <v>423</v>
      </c>
      <c r="D70" s="2" t="s">
        <v>1247</v>
      </c>
      <c r="E70" s="2" t="n">
        <v>2</v>
      </c>
      <c r="F70" s="2" t="n">
        <f aca="false">SUMPRODUCT(('Anh xa'!$A$2:$A$581=A70)*1)</f>
        <v>2</v>
      </c>
      <c r="G70" s="2" t="str">
        <f aca="false">IF(F70&gt;0,"✓","THIẾU")</f>
        <v>✓</v>
      </c>
    </row>
    <row r="71" customFormat="false" ht="23.85" hidden="false" customHeight="false" outlineLevel="0" collapsed="false">
      <c r="A71" s="2" t="s">
        <v>426</v>
      </c>
      <c r="B71" s="2" t="n">
        <v>3</v>
      </c>
      <c r="C71" s="2" t="s">
        <v>427</v>
      </c>
      <c r="D71" s="2" t="s">
        <v>1248</v>
      </c>
      <c r="E71" s="2" t="n">
        <v>2</v>
      </c>
      <c r="F71" s="2" t="n">
        <f aca="false">SUMPRODUCT(('Anh xa'!$A$2:$A$581=A71)*1)</f>
        <v>2</v>
      </c>
      <c r="G71" s="2" t="str">
        <f aca="false">IF(F71&gt;0,"✓","THIẾU")</f>
        <v>✓</v>
      </c>
    </row>
    <row r="72" customFormat="false" ht="15" hidden="false" customHeight="false" outlineLevel="0" collapsed="false">
      <c r="A72" s="2" t="s">
        <v>428</v>
      </c>
      <c r="B72" s="2" t="n">
        <v>2</v>
      </c>
      <c r="C72" s="2" t="s">
        <v>429</v>
      </c>
      <c r="D72" s="2" t="s">
        <v>1249</v>
      </c>
      <c r="E72" s="2" t="n">
        <v>2</v>
      </c>
      <c r="F72" s="2" t="n">
        <f aca="false">SUMPRODUCT(('Anh xa'!$A$2:$A$581=A72)*1)</f>
        <v>2</v>
      </c>
      <c r="G72" s="2" t="str">
        <f aca="false">IF(F72&gt;0,"✓","THIẾU")</f>
        <v>✓</v>
      </c>
    </row>
    <row r="73" customFormat="false" ht="23.85" hidden="false" customHeight="false" outlineLevel="0" collapsed="false">
      <c r="A73" s="2" t="s">
        <v>432</v>
      </c>
      <c r="B73" s="2" t="n">
        <v>3</v>
      </c>
      <c r="C73" s="2" t="s">
        <v>433</v>
      </c>
      <c r="D73" s="2" t="s">
        <v>1250</v>
      </c>
      <c r="E73" s="2" t="n">
        <v>2</v>
      </c>
      <c r="F73" s="2" t="n">
        <f aca="false">SUMPRODUCT(('Anh xa'!$A$2:$A$581=A73)*1)</f>
        <v>2</v>
      </c>
      <c r="G73" s="2" t="str">
        <f aca="false">IF(F73&gt;0,"✓","THIẾU")</f>
        <v>✓</v>
      </c>
    </row>
    <row r="74" customFormat="false" ht="15" hidden="false" customHeight="false" outlineLevel="0" collapsed="false">
      <c r="A74" s="2" t="s">
        <v>436</v>
      </c>
      <c r="B74" s="2" t="n">
        <v>3</v>
      </c>
      <c r="C74" s="2" t="s">
        <v>437</v>
      </c>
      <c r="D74" s="2" t="s">
        <v>1251</v>
      </c>
      <c r="E74" s="2" t="n">
        <v>3</v>
      </c>
      <c r="F74" s="2" t="n">
        <f aca="false">SUMPRODUCT(('Anh xa'!$A$2:$A$581=A74)*1)</f>
        <v>3</v>
      </c>
      <c r="G74" s="2" t="str">
        <f aca="false">IF(F74&gt;0,"✓","THIẾU")</f>
        <v>✓</v>
      </c>
    </row>
    <row r="75" customFormat="false" ht="15" hidden="false" customHeight="false" outlineLevel="0" collapsed="false">
      <c r="A75" s="2" t="s">
        <v>440</v>
      </c>
      <c r="B75" s="2" t="n">
        <v>3</v>
      </c>
      <c r="C75" s="2" t="s">
        <v>441</v>
      </c>
      <c r="D75" s="2" t="s">
        <v>1252</v>
      </c>
      <c r="E75" s="2" t="n">
        <v>3</v>
      </c>
      <c r="F75" s="2" t="n">
        <f aca="false">SUMPRODUCT(('Anh xa'!$A$2:$A$581=A75)*1)</f>
        <v>3</v>
      </c>
      <c r="G75" s="2" t="str">
        <f aca="false">IF(F75&gt;0,"✓","THIẾU")</f>
        <v>✓</v>
      </c>
    </row>
    <row r="76" customFormat="false" ht="15" hidden="false" customHeight="false" outlineLevel="0" collapsed="false">
      <c r="A76" s="2" t="s">
        <v>444</v>
      </c>
      <c r="B76" s="2" t="n">
        <v>2</v>
      </c>
      <c r="C76" s="2" t="s">
        <v>445</v>
      </c>
      <c r="D76" s="2" t="s">
        <v>446</v>
      </c>
      <c r="E76" s="2" t="n">
        <v>1</v>
      </c>
      <c r="F76" s="2" t="n">
        <f aca="false">SUMPRODUCT(('Anh xa'!$A$2:$A$581=A76)*1)</f>
        <v>1</v>
      </c>
      <c r="G76" s="2" t="str">
        <f aca="false">IF(F76&gt;0,"✓","THIẾU")</f>
        <v>✓</v>
      </c>
    </row>
    <row r="77" customFormat="false" ht="15" hidden="false" customHeight="false" outlineLevel="0" collapsed="false">
      <c r="A77" s="2" t="s">
        <v>448</v>
      </c>
      <c r="B77" s="2" t="n">
        <v>3</v>
      </c>
      <c r="C77" s="2" t="s">
        <v>449</v>
      </c>
      <c r="D77" s="2" t="s">
        <v>1253</v>
      </c>
      <c r="E77" s="2" t="n">
        <v>2</v>
      </c>
      <c r="F77" s="2" t="n">
        <f aca="false">SUMPRODUCT(('Anh xa'!$A$2:$A$581=A77)*1)</f>
        <v>2</v>
      </c>
      <c r="G77" s="2" t="str">
        <f aca="false">IF(F77&gt;0,"✓","THIẾU")</f>
        <v>✓</v>
      </c>
    </row>
    <row r="78" customFormat="false" ht="15" hidden="false" customHeight="false" outlineLevel="0" collapsed="false">
      <c r="A78" s="2" t="s">
        <v>452</v>
      </c>
      <c r="B78" s="2" t="n">
        <v>3</v>
      </c>
      <c r="C78" s="2" t="s">
        <v>453</v>
      </c>
      <c r="D78" s="2" t="s">
        <v>1254</v>
      </c>
      <c r="E78" s="2" t="n">
        <v>2</v>
      </c>
      <c r="F78" s="2" t="n">
        <f aca="false">SUMPRODUCT(('Anh xa'!$A$2:$A$581=A78)*1)</f>
        <v>2</v>
      </c>
      <c r="G78" s="2" t="str">
        <f aca="false">IF(F78&gt;0,"✓","THIẾU")</f>
        <v>✓</v>
      </c>
    </row>
    <row r="79" customFormat="false" ht="15" hidden="false" customHeight="false" outlineLevel="0" collapsed="false">
      <c r="A79" s="2" t="s">
        <v>454</v>
      </c>
      <c r="B79" s="2" t="n">
        <v>2</v>
      </c>
      <c r="C79" s="2" t="s">
        <v>455</v>
      </c>
      <c r="D79" s="2" t="s">
        <v>221</v>
      </c>
      <c r="E79" s="2" t="n">
        <v>1</v>
      </c>
      <c r="F79" s="2" t="n">
        <f aca="false">SUMPRODUCT(('Anh xa'!$A$2:$A$581=A79)*1)</f>
        <v>1</v>
      </c>
      <c r="G79" s="2" t="str">
        <f aca="false">IF(F79&gt;0,"✓","THIẾU")</f>
        <v>✓</v>
      </c>
    </row>
    <row r="80" customFormat="false" ht="15" hidden="false" customHeight="false" outlineLevel="0" collapsed="false">
      <c r="A80" s="2" t="s">
        <v>456</v>
      </c>
      <c r="B80" s="2" t="n">
        <v>3</v>
      </c>
      <c r="C80" s="2" t="s">
        <v>457</v>
      </c>
      <c r="D80" s="2" t="s">
        <v>1255</v>
      </c>
      <c r="E80" s="2" t="n">
        <v>3</v>
      </c>
      <c r="F80" s="2" t="n">
        <f aca="false">SUMPRODUCT(('Anh xa'!$A$2:$A$581=A80)*1)</f>
        <v>3</v>
      </c>
      <c r="G80" s="2" t="str">
        <f aca="false">IF(F80&gt;0,"✓","THIẾU")</f>
        <v>✓</v>
      </c>
    </row>
    <row r="81" customFormat="false" ht="15" hidden="false" customHeight="false" outlineLevel="0" collapsed="false">
      <c r="A81" s="2" t="s">
        <v>458</v>
      </c>
      <c r="B81" s="2" t="n">
        <v>3</v>
      </c>
      <c r="C81" s="2" t="s">
        <v>459</v>
      </c>
      <c r="D81" s="2" t="s">
        <v>1256</v>
      </c>
      <c r="E81" s="2" t="n">
        <v>2</v>
      </c>
      <c r="F81" s="2" t="n">
        <f aca="false">SUMPRODUCT(('Anh xa'!$A$2:$A$581=A81)*1)</f>
        <v>2</v>
      </c>
      <c r="G81" s="2" t="str">
        <f aca="false">IF(F81&gt;0,"✓","THIẾU")</f>
        <v>✓</v>
      </c>
    </row>
    <row r="82" customFormat="false" ht="15" hidden="false" customHeight="false" outlineLevel="0" collapsed="false">
      <c r="A82" s="2" t="s">
        <v>462</v>
      </c>
      <c r="B82" s="2" t="n">
        <v>2</v>
      </c>
      <c r="C82" s="2" t="s">
        <v>463</v>
      </c>
      <c r="D82" s="2" t="s">
        <v>464</v>
      </c>
      <c r="E82" s="2" t="n">
        <v>1</v>
      </c>
      <c r="F82" s="2" t="n">
        <f aca="false">SUMPRODUCT(('Anh xa'!$A$2:$A$581=A82)*1)</f>
        <v>1</v>
      </c>
      <c r="G82" s="2" t="str">
        <f aca="false">IF(F82&gt;0,"✓","THIẾU")</f>
        <v>✓</v>
      </c>
    </row>
    <row r="83" customFormat="false" ht="23.85" hidden="false" customHeight="false" outlineLevel="0" collapsed="false">
      <c r="A83" s="2" t="s">
        <v>466</v>
      </c>
      <c r="B83" s="2" t="n">
        <v>3</v>
      </c>
      <c r="C83" s="2" t="s">
        <v>467</v>
      </c>
      <c r="D83" s="2" t="s">
        <v>1257</v>
      </c>
      <c r="E83" s="2" t="n">
        <v>4</v>
      </c>
      <c r="F83" s="2" t="n">
        <f aca="false">SUMPRODUCT(('Anh xa'!$A$2:$A$581=A83)*1)</f>
        <v>4</v>
      </c>
      <c r="G83" s="2" t="str">
        <f aca="false">IF(F83&gt;0,"✓","THIẾU")</f>
        <v>✓</v>
      </c>
    </row>
    <row r="84" customFormat="false" ht="15" hidden="false" customHeight="false" outlineLevel="0" collapsed="false">
      <c r="A84" s="2" t="s">
        <v>468</v>
      </c>
      <c r="B84" s="2" t="n">
        <v>2</v>
      </c>
      <c r="C84" s="2" t="s">
        <v>64</v>
      </c>
      <c r="D84" s="2" t="s">
        <v>1189</v>
      </c>
      <c r="E84" s="2" t="n">
        <v>2</v>
      </c>
      <c r="F84" s="2" t="n">
        <f aca="false">SUMPRODUCT(('Anh xa'!$A$2:$A$581=A84)*1)</f>
        <v>2</v>
      </c>
      <c r="G84" s="2" t="str">
        <f aca="false">IF(F84&gt;0,"✓","THIẾU")</f>
        <v>✓</v>
      </c>
    </row>
    <row r="85" customFormat="false" ht="23.85" hidden="false" customHeight="false" outlineLevel="0" collapsed="false">
      <c r="A85" s="2" t="s">
        <v>469</v>
      </c>
      <c r="B85" s="2" t="n">
        <v>3</v>
      </c>
      <c r="C85" s="2" t="s">
        <v>470</v>
      </c>
      <c r="D85" s="2" t="s">
        <v>1258</v>
      </c>
      <c r="E85" s="2" t="n">
        <v>3</v>
      </c>
      <c r="F85" s="2" t="n">
        <f aca="false">SUMPRODUCT(('Anh xa'!$A$2:$A$581=A85)*1)</f>
        <v>3</v>
      </c>
      <c r="G85" s="2" t="str">
        <f aca="false">IF(F85&gt;0,"✓","THIẾU")</f>
        <v>✓</v>
      </c>
    </row>
    <row r="86" customFormat="false" ht="15" hidden="false" customHeight="false" outlineLevel="0" collapsed="false">
      <c r="A86" s="2" t="s">
        <v>473</v>
      </c>
      <c r="B86" s="2" t="n">
        <v>3</v>
      </c>
      <c r="C86" s="2" t="s">
        <v>474</v>
      </c>
      <c r="D86" s="2" t="s">
        <v>1259</v>
      </c>
      <c r="E86" s="2" t="n">
        <v>2</v>
      </c>
      <c r="F86" s="2" t="n">
        <f aca="false">SUMPRODUCT(('Anh xa'!$A$2:$A$581=A86)*1)</f>
        <v>2</v>
      </c>
      <c r="G86" s="2" t="str">
        <f aca="false">IF(F86&gt;0,"✓","THIẾU")</f>
        <v>✓</v>
      </c>
    </row>
    <row r="87" customFormat="false" ht="15" hidden="false" customHeight="false" outlineLevel="0" collapsed="false">
      <c r="A87" s="2" t="s">
        <v>475</v>
      </c>
      <c r="B87" s="2" t="n">
        <v>3</v>
      </c>
      <c r="C87" s="2" t="s">
        <v>476</v>
      </c>
      <c r="D87" s="2" t="s">
        <v>1260</v>
      </c>
      <c r="E87" s="2" t="n">
        <v>2</v>
      </c>
      <c r="F87" s="2" t="n">
        <f aca="false">SUMPRODUCT(('Anh xa'!$A$2:$A$581=A87)*1)</f>
        <v>2</v>
      </c>
      <c r="G87" s="2" t="str">
        <f aca="false">IF(F87&gt;0,"✓","THIẾU")</f>
        <v>✓</v>
      </c>
    </row>
    <row r="88" customFormat="false" ht="15" hidden="false" customHeight="false" outlineLevel="0" collapsed="false">
      <c r="A88" s="2" t="s">
        <v>477</v>
      </c>
      <c r="B88" s="2" t="n">
        <v>2</v>
      </c>
      <c r="C88" s="2" t="s">
        <v>478</v>
      </c>
      <c r="D88" s="2" t="s">
        <v>1261</v>
      </c>
      <c r="E88" s="2" t="n">
        <v>3</v>
      </c>
      <c r="F88" s="2" t="n">
        <f aca="false">SUMPRODUCT(('Anh xa'!$A$2:$A$581=A88)*1)</f>
        <v>3</v>
      </c>
      <c r="G88" s="2" t="str">
        <f aca="false">IF(F88&gt;0,"✓","THIẾU")</f>
        <v>✓</v>
      </c>
    </row>
    <row r="89" customFormat="false" ht="23.85" hidden="false" customHeight="false" outlineLevel="0" collapsed="false">
      <c r="A89" s="2" t="s">
        <v>479</v>
      </c>
      <c r="B89" s="2" t="n">
        <v>3</v>
      </c>
      <c r="C89" s="2" t="s">
        <v>480</v>
      </c>
      <c r="D89" s="2" t="s">
        <v>1262</v>
      </c>
      <c r="E89" s="2" t="n">
        <v>6</v>
      </c>
      <c r="F89" s="2" t="n">
        <f aca="false">SUMPRODUCT(('Anh xa'!$A$2:$A$581=A89)*1)</f>
        <v>6</v>
      </c>
      <c r="G89" s="2" t="str">
        <f aca="false">IF(F89&gt;0,"✓","THIẾU")</f>
        <v>✓</v>
      </c>
    </row>
    <row r="90" customFormat="false" ht="15" hidden="false" customHeight="false" outlineLevel="0" collapsed="false">
      <c r="A90" s="2" t="s">
        <v>481</v>
      </c>
      <c r="B90" s="2" t="n">
        <v>3</v>
      </c>
      <c r="C90" s="2" t="s">
        <v>482</v>
      </c>
      <c r="D90" s="2" t="s">
        <v>1263</v>
      </c>
      <c r="E90" s="2" t="n">
        <v>3</v>
      </c>
      <c r="F90" s="2" t="n">
        <f aca="false">SUMPRODUCT(('Anh xa'!$A$2:$A$581=A90)*1)</f>
        <v>3</v>
      </c>
      <c r="G90" s="2" t="str">
        <f aca="false">IF(F90&gt;0,"✓","THIẾU")</f>
        <v>✓</v>
      </c>
    </row>
    <row r="91" customFormat="false" ht="15" hidden="false" customHeight="false" outlineLevel="0" collapsed="false">
      <c r="A91" s="2" t="s">
        <v>485</v>
      </c>
      <c r="B91" s="2" t="n">
        <v>3</v>
      </c>
      <c r="C91" s="2" t="s">
        <v>486</v>
      </c>
      <c r="D91" s="2" t="s">
        <v>1264</v>
      </c>
      <c r="E91" s="2" t="n">
        <v>3</v>
      </c>
      <c r="F91" s="2" t="n">
        <f aca="false">SUMPRODUCT(('Anh xa'!$A$2:$A$581=A91)*1)</f>
        <v>3</v>
      </c>
      <c r="G91" s="2" t="str">
        <f aca="false">IF(F91&gt;0,"✓","THIẾU")</f>
        <v>✓</v>
      </c>
    </row>
    <row r="92" customFormat="false" ht="15" hidden="false" customHeight="false" outlineLevel="0" collapsed="false">
      <c r="A92" s="2" t="s">
        <v>489</v>
      </c>
      <c r="B92" s="2" t="n">
        <v>3</v>
      </c>
      <c r="C92" s="2" t="s">
        <v>490</v>
      </c>
      <c r="D92" s="2" t="s">
        <v>1265</v>
      </c>
      <c r="E92" s="2" t="n">
        <v>2</v>
      </c>
      <c r="F92" s="2" t="n">
        <f aca="false">SUMPRODUCT(('Anh xa'!$A$2:$A$581=A92)*1)</f>
        <v>2</v>
      </c>
      <c r="G92" s="2" t="str">
        <f aca="false">IF(F92&gt;0,"✓","THIẾU")</f>
        <v>✓</v>
      </c>
    </row>
    <row r="93" customFormat="false" ht="15" hidden="false" customHeight="false" outlineLevel="0" collapsed="false">
      <c r="A93" s="2" t="s">
        <v>491</v>
      </c>
      <c r="B93" s="2" t="n">
        <v>3</v>
      </c>
      <c r="C93" s="2" t="s">
        <v>492</v>
      </c>
      <c r="D93" s="2" t="s">
        <v>1266</v>
      </c>
      <c r="E93" s="2" t="n">
        <v>2</v>
      </c>
      <c r="F93" s="2" t="n">
        <f aca="false">SUMPRODUCT(('Anh xa'!$A$2:$A$581=A93)*1)</f>
        <v>2</v>
      </c>
      <c r="G93" s="2" t="str">
        <f aca="false">IF(F93&gt;0,"✓","THIẾU")</f>
        <v>✓</v>
      </c>
    </row>
    <row r="94" customFormat="false" ht="15" hidden="false" customHeight="false" outlineLevel="0" collapsed="false">
      <c r="A94" s="2" t="s">
        <v>493</v>
      </c>
      <c r="B94" s="2" t="n">
        <v>2</v>
      </c>
      <c r="C94" s="2" t="s">
        <v>494</v>
      </c>
      <c r="D94" s="2" t="s">
        <v>1267</v>
      </c>
      <c r="E94" s="2" t="n">
        <v>2</v>
      </c>
      <c r="F94" s="2" t="n">
        <f aca="false">SUMPRODUCT(('Anh xa'!$A$2:$A$581=A94)*1)</f>
        <v>2</v>
      </c>
      <c r="G94" s="2" t="str">
        <f aca="false">IF(F94&gt;0,"✓","THIẾU")</f>
        <v>✓</v>
      </c>
    </row>
    <row r="95" customFormat="false" ht="23.85" hidden="false" customHeight="false" outlineLevel="0" collapsed="false">
      <c r="A95" s="2" t="s">
        <v>497</v>
      </c>
      <c r="B95" s="2" t="n">
        <v>3</v>
      </c>
      <c r="C95" s="2" t="s">
        <v>498</v>
      </c>
      <c r="D95" s="2" t="s">
        <v>1268</v>
      </c>
      <c r="E95" s="2" t="n">
        <v>3</v>
      </c>
      <c r="F95" s="2" t="n">
        <f aca="false">SUMPRODUCT(('Anh xa'!$A$2:$A$581=A95)*1)</f>
        <v>3</v>
      </c>
      <c r="G95" s="2" t="str">
        <f aca="false">IF(F95&gt;0,"✓","THIẾU")</f>
        <v>✓</v>
      </c>
    </row>
    <row r="96" customFormat="false" ht="15" hidden="false" customHeight="false" outlineLevel="0" collapsed="false">
      <c r="A96" s="2" t="s">
        <v>503</v>
      </c>
      <c r="B96" s="2" t="n">
        <v>3</v>
      </c>
      <c r="C96" s="2" t="s">
        <v>504</v>
      </c>
      <c r="D96" s="2" t="s">
        <v>1269</v>
      </c>
      <c r="E96" s="2" t="n">
        <v>2</v>
      </c>
      <c r="F96" s="2" t="n">
        <f aca="false">SUMPRODUCT(('Anh xa'!$A$2:$A$581=A96)*1)</f>
        <v>2</v>
      </c>
      <c r="G96" s="2" t="str">
        <f aca="false">IF(F96&gt;0,"✓","THIẾU")</f>
        <v>✓</v>
      </c>
    </row>
    <row r="97" customFormat="false" ht="15" hidden="false" customHeight="false" outlineLevel="0" collapsed="false">
      <c r="A97" s="2" t="s">
        <v>505</v>
      </c>
      <c r="B97" s="2" t="n">
        <v>3</v>
      </c>
      <c r="C97" s="2" t="s">
        <v>506</v>
      </c>
      <c r="D97" s="2" t="s">
        <v>1270</v>
      </c>
      <c r="E97" s="2" t="n">
        <v>2</v>
      </c>
      <c r="F97" s="2" t="n">
        <f aca="false">SUMPRODUCT(('Anh xa'!$A$2:$A$581=A97)*1)</f>
        <v>2</v>
      </c>
      <c r="G97" s="2" t="str">
        <f aca="false">IF(F97&gt;0,"✓","THIẾU")</f>
        <v>✓</v>
      </c>
    </row>
    <row r="98" customFormat="false" ht="15" hidden="false" customHeight="false" outlineLevel="0" collapsed="false">
      <c r="A98" s="2" t="s">
        <v>509</v>
      </c>
      <c r="B98" s="2" t="n">
        <v>2</v>
      </c>
      <c r="C98" s="2" t="s">
        <v>510</v>
      </c>
      <c r="D98" s="2" t="s">
        <v>1271</v>
      </c>
      <c r="E98" s="2" t="n">
        <v>2</v>
      </c>
      <c r="F98" s="2" t="n">
        <f aca="false">SUMPRODUCT(('Anh xa'!$A$2:$A$581=A98)*1)</f>
        <v>2</v>
      </c>
      <c r="G98" s="2" t="str">
        <f aca="false">IF(F98&gt;0,"✓","THIẾU")</f>
        <v>✓</v>
      </c>
    </row>
    <row r="99" customFormat="false" ht="23.85" hidden="false" customHeight="false" outlineLevel="0" collapsed="false">
      <c r="A99" s="2" t="s">
        <v>513</v>
      </c>
      <c r="B99" s="2" t="n">
        <v>3</v>
      </c>
      <c r="C99" s="2" t="s">
        <v>514</v>
      </c>
      <c r="D99" s="2" t="s">
        <v>1272</v>
      </c>
      <c r="E99" s="2" t="n">
        <v>3</v>
      </c>
      <c r="F99" s="2" t="n">
        <f aca="false">SUMPRODUCT(('Anh xa'!$A$2:$A$581=A99)*1)</f>
        <v>3</v>
      </c>
      <c r="G99" s="2" t="str">
        <f aca="false">IF(F99&gt;0,"✓","THIẾU")</f>
        <v>✓</v>
      </c>
    </row>
    <row r="100" customFormat="false" ht="15" hidden="false" customHeight="false" outlineLevel="0" collapsed="false">
      <c r="A100" s="2" t="s">
        <v>515</v>
      </c>
      <c r="B100" s="2" t="n">
        <v>2</v>
      </c>
      <c r="C100" s="2" t="s">
        <v>516</v>
      </c>
      <c r="D100" s="2" t="s">
        <v>1273</v>
      </c>
      <c r="E100" s="2" t="n">
        <v>2</v>
      </c>
      <c r="F100" s="2" t="n">
        <f aca="false">SUMPRODUCT(('Anh xa'!$A$2:$A$581=A100)*1)</f>
        <v>2</v>
      </c>
      <c r="G100" s="2" t="str">
        <f aca="false">IF(F100&gt;0,"✓","THIẾU")</f>
        <v>✓</v>
      </c>
    </row>
    <row r="101" customFormat="false" ht="23.85" hidden="false" customHeight="false" outlineLevel="0" collapsed="false">
      <c r="A101" s="2" t="s">
        <v>520</v>
      </c>
      <c r="B101" s="2" t="n">
        <v>3</v>
      </c>
      <c r="C101" s="2" t="s">
        <v>521</v>
      </c>
      <c r="D101" s="2" t="s">
        <v>1274</v>
      </c>
      <c r="E101" s="2" t="n">
        <v>3</v>
      </c>
      <c r="F101" s="2" t="n">
        <f aca="false">SUMPRODUCT(('Anh xa'!$A$2:$A$581=A101)*1)</f>
        <v>3</v>
      </c>
      <c r="G101" s="2" t="str">
        <f aca="false">IF(F101&gt;0,"✓","THIẾU")</f>
        <v>✓</v>
      </c>
    </row>
    <row r="102" customFormat="false" ht="15" hidden="false" customHeight="false" outlineLevel="0" collapsed="false">
      <c r="A102" s="2" t="s">
        <v>522</v>
      </c>
      <c r="B102" s="2" t="n">
        <v>2</v>
      </c>
      <c r="C102" s="2" t="s">
        <v>523</v>
      </c>
      <c r="D102" s="2" t="s">
        <v>1275</v>
      </c>
      <c r="E102" s="2" t="n">
        <v>2</v>
      </c>
      <c r="F102" s="2" t="n">
        <f aca="false">SUMPRODUCT(('Anh xa'!$A$2:$A$581=A102)*1)</f>
        <v>2</v>
      </c>
      <c r="G102" s="2" t="str">
        <f aca="false">IF(F102&gt;0,"✓","THIẾU")</f>
        <v>✓</v>
      </c>
    </row>
    <row r="103" customFormat="false" ht="15" hidden="false" customHeight="false" outlineLevel="0" collapsed="false">
      <c r="A103" s="2" t="s">
        <v>525</v>
      </c>
      <c r="B103" s="2" t="n">
        <v>3</v>
      </c>
      <c r="C103" s="2" t="s">
        <v>526</v>
      </c>
      <c r="D103" s="2" t="s">
        <v>1276</v>
      </c>
      <c r="E103" s="2" t="n">
        <v>2</v>
      </c>
      <c r="F103" s="2" t="n">
        <f aca="false">SUMPRODUCT(('Anh xa'!$A$2:$A$581=A103)*1)</f>
        <v>2</v>
      </c>
      <c r="G103" s="2" t="str">
        <f aca="false">IF(F103&gt;0,"✓","THIẾU")</f>
        <v>✓</v>
      </c>
    </row>
    <row r="104" customFormat="false" ht="23.85" hidden="false" customHeight="false" outlineLevel="0" collapsed="false">
      <c r="A104" s="2" t="s">
        <v>527</v>
      </c>
      <c r="B104" s="2" t="n">
        <v>3</v>
      </c>
      <c r="C104" s="2" t="s">
        <v>528</v>
      </c>
      <c r="D104" s="2" t="s">
        <v>1277</v>
      </c>
      <c r="E104" s="2" t="n">
        <v>3</v>
      </c>
      <c r="F104" s="2" t="n">
        <f aca="false">SUMPRODUCT(('Anh xa'!$A$2:$A$581=A104)*1)</f>
        <v>3</v>
      </c>
      <c r="G104" s="2" t="str">
        <f aca="false">IF(F104&gt;0,"✓","THIẾU")</f>
        <v>✓</v>
      </c>
    </row>
    <row r="105" customFormat="false" ht="15" hidden="false" customHeight="false" outlineLevel="0" collapsed="false">
      <c r="A105" s="2" t="s">
        <v>531</v>
      </c>
      <c r="B105" s="2" t="n">
        <v>2</v>
      </c>
      <c r="C105" s="2" t="s">
        <v>532</v>
      </c>
      <c r="D105" s="2" t="s">
        <v>533</v>
      </c>
      <c r="E105" s="2" t="n">
        <v>1</v>
      </c>
      <c r="F105" s="2" t="n">
        <f aca="false">SUMPRODUCT(('Anh xa'!$A$2:$A$581=A105)*1)</f>
        <v>1</v>
      </c>
      <c r="G105" s="2" t="str">
        <f aca="false">IF(F105&gt;0,"✓","THIẾU")</f>
        <v>✓</v>
      </c>
    </row>
    <row r="106" customFormat="false" ht="15" hidden="false" customHeight="false" outlineLevel="0" collapsed="false">
      <c r="A106" s="2" t="s">
        <v>534</v>
      </c>
      <c r="B106" s="2" t="n">
        <v>3</v>
      </c>
      <c r="C106" s="2" t="s">
        <v>535</v>
      </c>
      <c r="D106" s="2" t="s">
        <v>1278</v>
      </c>
      <c r="E106" s="2" t="n">
        <v>2</v>
      </c>
      <c r="F106" s="2" t="n">
        <f aca="false">SUMPRODUCT(('Anh xa'!$A$2:$A$581=A106)*1)</f>
        <v>2</v>
      </c>
      <c r="G106" s="2" t="str">
        <f aca="false">IF(F106&gt;0,"✓","THIẾU")</f>
        <v>✓</v>
      </c>
    </row>
    <row r="107" customFormat="false" ht="15" hidden="false" customHeight="false" outlineLevel="0" collapsed="false">
      <c r="A107" s="2" t="s">
        <v>536</v>
      </c>
      <c r="B107" s="2" t="n">
        <v>3</v>
      </c>
      <c r="C107" s="2" t="s">
        <v>537</v>
      </c>
      <c r="D107" s="2" t="s">
        <v>1279</v>
      </c>
      <c r="E107" s="2" t="n">
        <v>3</v>
      </c>
      <c r="F107" s="2" t="n">
        <f aca="false">SUMPRODUCT(('Anh xa'!$A$2:$A$581=A107)*1)</f>
        <v>3</v>
      </c>
      <c r="G107" s="2" t="str">
        <f aca="false">IF(F107&gt;0,"✓","THIẾU")</f>
        <v>✓</v>
      </c>
    </row>
    <row r="108" customFormat="false" ht="15" hidden="false" customHeight="false" outlineLevel="0" collapsed="false">
      <c r="A108" s="2" t="s">
        <v>538</v>
      </c>
      <c r="B108" s="2" t="n">
        <v>2</v>
      </c>
      <c r="C108" s="2" t="s">
        <v>539</v>
      </c>
      <c r="D108" s="2" t="s">
        <v>1280</v>
      </c>
      <c r="E108" s="2" t="n">
        <v>2</v>
      </c>
      <c r="F108" s="2" t="n">
        <f aca="false">SUMPRODUCT(('Anh xa'!$A$2:$A$581=A108)*1)</f>
        <v>2</v>
      </c>
      <c r="G108" s="2" t="str">
        <f aca="false">IF(F108&gt;0,"✓","THIẾU")</f>
        <v>✓</v>
      </c>
    </row>
    <row r="109" customFormat="false" ht="15" hidden="false" customHeight="false" outlineLevel="0" collapsed="false">
      <c r="A109" s="2" t="s">
        <v>540</v>
      </c>
      <c r="B109" s="2" t="n">
        <v>3</v>
      </c>
      <c r="C109" s="2" t="s">
        <v>541</v>
      </c>
      <c r="D109" s="2" t="s">
        <v>507</v>
      </c>
      <c r="E109" s="2" t="n">
        <v>1</v>
      </c>
      <c r="F109" s="2" t="n">
        <f aca="false">SUMPRODUCT(('Anh xa'!$A$2:$A$581=A109)*1)</f>
        <v>1</v>
      </c>
      <c r="G109" s="2" t="str">
        <f aca="false">IF(F109&gt;0,"✓","THIẾU")</f>
        <v>✓</v>
      </c>
    </row>
    <row r="110" customFormat="false" ht="15" hidden="false" customHeight="false" outlineLevel="0" collapsed="false">
      <c r="A110" s="2" t="s">
        <v>542</v>
      </c>
      <c r="B110" s="2" t="n">
        <v>3</v>
      </c>
      <c r="C110" s="2" t="s">
        <v>543</v>
      </c>
      <c r="D110" s="2" t="s">
        <v>1281</v>
      </c>
      <c r="E110" s="2" t="n">
        <v>2</v>
      </c>
      <c r="F110" s="2" t="n">
        <f aca="false">SUMPRODUCT(('Anh xa'!$A$2:$A$581=A110)*1)</f>
        <v>2</v>
      </c>
      <c r="G110" s="2" t="str">
        <f aca="false">IF(F110&gt;0,"✓","THIẾU")</f>
        <v>✓</v>
      </c>
    </row>
    <row r="111" customFormat="false" ht="15" hidden="false" customHeight="false" outlineLevel="0" collapsed="false">
      <c r="A111" s="2" t="s">
        <v>544</v>
      </c>
      <c r="B111" s="2" t="n">
        <v>3</v>
      </c>
      <c r="C111" s="2" t="s">
        <v>545</v>
      </c>
      <c r="D111" s="2" t="s">
        <v>1282</v>
      </c>
      <c r="E111" s="2" t="n">
        <v>3</v>
      </c>
      <c r="F111" s="2" t="n">
        <f aca="false">SUMPRODUCT(('Anh xa'!$A$2:$A$581=A111)*1)</f>
        <v>3</v>
      </c>
      <c r="G111" s="2" t="str">
        <f aca="false">IF(F111&gt;0,"✓","THIẾU")</f>
        <v>✓</v>
      </c>
    </row>
    <row r="112" customFormat="false" ht="15" hidden="false" customHeight="false" outlineLevel="0" collapsed="false">
      <c r="A112" s="2" t="s">
        <v>546</v>
      </c>
      <c r="B112" s="2" t="n">
        <v>2</v>
      </c>
      <c r="C112" s="2" t="s">
        <v>547</v>
      </c>
      <c r="D112" s="2" t="s">
        <v>548</v>
      </c>
      <c r="E112" s="2" t="n">
        <v>1</v>
      </c>
      <c r="F112" s="2" t="n">
        <f aca="false">SUMPRODUCT(('Anh xa'!$A$2:$A$581=A112)*1)</f>
        <v>1</v>
      </c>
      <c r="G112" s="2" t="str">
        <f aca="false">IF(F112&gt;0,"✓","THIẾU")</f>
        <v>✓</v>
      </c>
    </row>
    <row r="113" customFormat="false" ht="15" hidden="false" customHeight="false" outlineLevel="0" collapsed="false">
      <c r="A113" s="2" t="s">
        <v>549</v>
      </c>
      <c r="B113" s="2" t="n">
        <v>3</v>
      </c>
      <c r="C113" s="2" t="s">
        <v>550</v>
      </c>
      <c r="D113" s="2" t="s">
        <v>1283</v>
      </c>
      <c r="E113" s="2" t="n">
        <v>2</v>
      </c>
      <c r="F113" s="2" t="n">
        <f aca="false">SUMPRODUCT(('Anh xa'!$A$2:$A$581=A113)*1)</f>
        <v>2</v>
      </c>
      <c r="G113" s="2" t="str">
        <f aca="false">IF(F113&gt;0,"✓","THIẾU")</f>
        <v>✓</v>
      </c>
    </row>
    <row r="114" customFormat="false" ht="15" hidden="false" customHeight="false" outlineLevel="0" collapsed="false">
      <c r="A114" s="2" t="s">
        <v>551</v>
      </c>
      <c r="B114" s="2" t="n">
        <v>3</v>
      </c>
      <c r="C114" s="2" t="s">
        <v>552</v>
      </c>
      <c r="D114" s="2" t="s">
        <v>1284</v>
      </c>
      <c r="E114" s="2" t="n">
        <v>2</v>
      </c>
      <c r="F114" s="2" t="n">
        <f aca="false">SUMPRODUCT(('Anh xa'!$A$2:$A$581=A114)*1)</f>
        <v>2</v>
      </c>
      <c r="G114" s="2" t="str">
        <f aca="false">IF(F114&gt;0,"✓","THIẾU")</f>
        <v>✓</v>
      </c>
    </row>
    <row r="115" customFormat="false" ht="15" hidden="false" customHeight="false" outlineLevel="0" collapsed="false">
      <c r="A115" s="2" t="s">
        <v>553</v>
      </c>
      <c r="B115" s="2" t="n">
        <v>2</v>
      </c>
      <c r="C115" s="2" t="s">
        <v>554</v>
      </c>
      <c r="D115" s="2" t="s">
        <v>1285</v>
      </c>
      <c r="E115" s="2" t="n">
        <v>2</v>
      </c>
      <c r="F115" s="2" t="n">
        <f aca="false">SUMPRODUCT(('Anh xa'!$A$2:$A$581=A115)*1)</f>
        <v>2</v>
      </c>
      <c r="G115" s="2" t="str">
        <f aca="false">IF(F115&gt;0,"✓","THIẾU")</f>
        <v>✓</v>
      </c>
    </row>
    <row r="116" customFormat="false" ht="23.85" hidden="false" customHeight="false" outlineLevel="0" collapsed="false">
      <c r="A116" s="2" t="s">
        <v>557</v>
      </c>
      <c r="B116" s="2" t="n">
        <v>3</v>
      </c>
      <c r="C116" s="2" t="s">
        <v>558</v>
      </c>
      <c r="D116" s="2" t="s">
        <v>1286</v>
      </c>
      <c r="E116" s="2" t="n">
        <v>3</v>
      </c>
      <c r="F116" s="2" t="n">
        <f aca="false">SUMPRODUCT(('Anh xa'!$A$2:$A$581=A116)*1)</f>
        <v>3</v>
      </c>
      <c r="G116" s="2" t="str">
        <f aca="false">IF(F116&gt;0,"✓","THIẾU")</f>
        <v>✓</v>
      </c>
    </row>
    <row r="117" customFormat="false" ht="15" hidden="false" customHeight="false" outlineLevel="0" collapsed="false">
      <c r="A117" s="2" t="s">
        <v>561</v>
      </c>
      <c r="B117" s="2" t="n">
        <v>3</v>
      </c>
      <c r="C117" s="2" t="s">
        <v>562</v>
      </c>
      <c r="D117" s="2" t="s">
        <v>1287</v>
      </c>
      <c r="E117" s="2" t="n">
        <v>2</v>
      </c>
      <c r="F117" s="2" t="n">
        <f aca="false">SUMPRODUCT(('Anh xa'!$A$2:$A$581=A117)*1)</f>
        <v>2</v>
      </c>
      <c r="G117" s="2" t="str">
        <f aca="false">IF(F117&gt;0,"✓","THIẾU")</f>
        <v>✓</v>
      </c>
    </row>
    <row r="118" customFormat="false" ht="15" hidden="false" customHeight="false" outlineLevel="0" collapsed="false">
      <c r="A118" s="2" t="s">
        <v>563</v>
      </c>
      <c r="B118" s="2" t="n">
        <v>3</v>
      </c>
      <c r="C118" s="2" t="s">
        <v>564</v>
      </c>
      <c r="D118" s="2" t="s">
        <v>1228</v>
      </c>
      <c r="E118" s="2" t="n">
        <v>2</v>
      </c>
      <c r="F118" s="2" t="n">
        <f aca="false">SUMPRODUCT(('Anh xa'!$A$2:$A$581=A118)*1)</f>
        <v>2</v>
      </c>
      <c r="G118" s="2" t="str">
        <f aca="false">IF(F118&gt;0,"✓","THIẾU")</f>
        <v>✓</v>
      </c>
    </row>
    <row r="119" customFormat="false" ht="15" hidden="false" customHeight="false" outlineLevel="0" collapsed="false">
      <c r="A119" s="2" t="s">
        <v>565</v>
      </c>
      <c r="B119" s="2" t="n">
        <v>3</v>
      </c>
      <c r="C119" s="2" t="s">
        <v>566</v>
      </c>
      <c r="D119" s="2" t="s">
        <v>1288</v>
      </c>
      <c r="E119" s="2" t="n">
        <v>2</v>
      </c>
      <c r="F119" s="2" t="n">
        <f aca="false">SUMPRODUCT(('Anh xa'!$A$2:$A$581=A119)*1)</f>
        <v>2</v>
      </c>
      <c r="G119" s="2" t="str">
        <f aca="false">IF(F119&gt;0,"✓","THIẾU")</f>
        <v>✓</v>
      </c>
    </row>
    <row r="120" customFormat="false" ht="15" hidden="false" customHeight="false" outlineLevel="0" collapsed="false">
      <c r="A120" s="2" t="s">
        <v>569</v>
      </c>
      <c r="B120" s="2" t="n">
        <v>2</v>
      </c>
      <c r="C120" s="2" t="s">
        <v>570</v>
      </c>
      <c r="D120" s="2" t="s">
        <v>571</v>
      </c>
      <c r="E120" s="2" t="n">
        <v>1</v>
      </c>
      <c r="F120" s="2" t="n">
        <f aca="false">SUMPRODUCT(('Anh xa'!$A$2:$A$581=A120)*1)</f>
        <v>1</v>
      </c>
      <c r="G120" s="2" t="str">
        <f aca="false">IF(F120&gt;0,"✓","THIẾU")</f>
        <v>✓</v>
      </c>
    </row>
    <row r="121" customFormat="false" ht="15" hidden="false" customHeight="false" outlineLevel="0" collapsed="false">
      <c r="A121" s="2" t="s">
        <v>573</v>
      </c>
      <c r="B121" s="2" t="n">
        <v>3</v>
      </c>
      <c r="C121" s="2" t="s">
        <v>574</v>
      </c>
      <c r="D121" s="2" t="s">
        <v>1289</v>
      </c>
      <c r="E121" s="2" t="n">
        <v>2</v>
      </c>
      <c r="F121" s="2" t="n">
        <f aca="false">SUMPRODUCT(('Anh xa'!$A$2:$A$581=A121)*1)</f>
        <v>2</v>
      </c>
      <c r="G121" s="2" t="str">
        <f aca="false">IF(F121&gt;0,"✓","THIẾU")</f>
        <v>✓</v>
      </c>
    </row>
    <row r="122" customFormat="false" ht="15" hidden="false" customHeight="false" outlineLevel="0" collapsed="false">
      <c r="A122" s="2" t="s">
        <v>575</v>
      </c>
      <c r="B122" s="2" t="n">
        <v>2</v>
      </c>
      <c r="C122" s="2" t="s">
        <v>576</v>
      </c>
      <c r="D122" s="2" t="s">
        <v>1290</v>
      </c>
      <c r="E122" s="2" t="n">
        <v>2</v>
      </c>
      <c r="F122" s="2" t="n">
        <f aca="false">SUMPRODUCT(('Anh xa'!$A$2:$A$581=A122)*1)</f>
        <v>2</v>
      </c>
      <c r="G122" s="2" t="str">
        <f aca="false">IF(F122&gt;0,"✓","THIẾU")</f>
        <v>✓</v>
      </c>
    </row>
    <row r="123" customFormat="false" ht="15" hidden="false" customHeight="false" outlineLevel="0" collapsed="false">
      <c r="A123" s="2" t="s">
        <v>581</v>
      </c>
      <c r="B123" s="2" t="n">
        <v>3</v>
      </c>
      <c r="C123" s="2" t="s">
        <v>582</v>
      </c>
      <c r="D123" s="2" t="s">
        <v>1290</v>
      </c>
      <c r="E123" s="2" t="n">
        <v>2</v>
      </c>
      <c r="F123" s="2" t="n">
        <f aca="false">SUMPRODUCT(('Anh xa'!$A$2:$A$581=A123)*1)</f>
        <v>2</v>
      </c>
      <c r="G123" s="2" t="str">
        <f aca="false">IF(F123&gt;0,"✓","THIẾU")</f>
        <v>✓</v>
      </c>
    </row>
    <row r="124" customFormat="false" ht="15" hidden="false" customHeight="false" outlineLevel="0" collapsed="false">
      <c r="A124" s="2" t="s">
        <v>583</v>
      </c>
      <c r="B124" s="2" t="n">
        <v>2</v>
      </c>
      <c r="C124" s="2" t="s">
        <v>584</v>
      </c>
      <c r="D124" s="2" t="s">
        <v>1291</v>
      </c>
      <c r="E124" s="2" t="n">
        <v>2</v>
      </c>
      <c r="F124" s="2" t="n">
        <f aca="false">SUMPRODUCT(('Anh xa'!$A$2:$A$581=A124)*1)</f>
        <v>2</v>
      </c>
      <c r="G124" s="2" t="str">
        <f aca="false">IF(F124&gt;0,"✓","THIẾU")</f>
        <v>✓</v>
      </c>
    </row>
    <row r="125" customFormat="false" ht="23.85" hidden="false" customHeight="false" outlineLevel="0" collapsed="false">
      <c r="A125" s="2" t="s">
        <v>585</v>
      </c>
      <c r="B125" s="2" t="n">
        <v>3</v>
      </c>
      <c r="C125" s="2" t="s">
        <v>586</v>
      </c>
      <c r="D125" s="2" t="s">
        <v>1292</v>
      </c>
      <c r="E125" s="2" t="n">
        <v>3</v>
      </c>
      <c r="F125" s="2" t="n">
        <f aca="false">SUMPRODUCT(('Anh xa'!$A$2:$A$581=A125)*1)</f>
        <v>3</v>
      </c>
      <c r="G125" s="2" t="str">
        <f aca="false">IF(F125&gt;0,"✓","THIẾU")</f>
        <v>✓</v>
      </c>
    </row>
    <row r="126" customFormat="false" ht="15" hidden="false" customHeight="false" outlineLevel="0" collapsed="false">
      <c r="A126" s="2" t="s">
        <v>587</v>
      </c>
      <c r="B126" s="2" t="n">
        <v>2</v>
      </c>
      <c r="C126" s="2" t="s">
        <v>588</v>
      </c>
      <c r="D126" s="2" t="s">
        <v>1293</v>
      </c>
      <c r="E126" s="2" t="n">
        <v>2</v>
      </c>
      <c r="F126" s="2" t="n">
        <f aca="false">SUMPRODUCT(('Anh xa'!$A$2:$A$581=A126)*1)</f>
        <v>2</v>
      </c>
      <c r="G126" s="2" t="str">
        <f aca="false">IF(F126&gt;0,"✓","THIẾU")</f>
        <v>✓</v>
      </c>
    </row>
    <row r="127" customFormat="false" ht="15" hidden="false" customHeight="false" outlineLevel="0" collapsed="false">
      <c r="A127" s="2" t="s">
        <v>593</v>
      </c>
      <c r="B127" s="2" t="n">
        <v>3</v>
      </c>
      <c r="C127" s="2" t="s">
        <v>594</v>
      </c>
      <c r="D127" s="2" t="s">
        <v>1294</v>
      </c>
      <c r="E127" s="2" t="n">
        <v>3</v>
      </c>
      <c r="F127" s="2" t="n">
        <f aca="false">SUMPRODUCT(('Anh xa'!$A$2:$A$581=A127)*1)</f>
        <v>3</v>
      </c>
      <c r="G127" s="2" t="str">
        <f aca="false">IF(F127&gt;0,"✓","THIẾU")</f>
        <v>✓</v>
      </c>
    </row>
    <row r="128" customFormat="false" ht="15" hidden="false" customHeight="false" outlineLevel="0" collapsed="false">
      <c r="A128" s="2" t="s">
        <v>595</v>
      </c>
      <c r="B128" s="2" t="n">
        <v>3</v>
      </c>
      <c r="C128" s="2" t="s">
        <v>596</v>
      </c>
      <c r="D128" s="2" t="s">
        <v>1295</v>
      </c>
      <c r="E128" s="2" t="n">
        <v>2</v>
      </c>
      <c r="F128" s="2" t="n">
        <f aca="false">SUMPRODUCT(('Anh xa'!$A$2:$A$581=A128)*1)</f>
        <v>2</v>
      </c>
      <c r="G128" s="2" t="str">
        <f aca="false">IF(F128&gt;0,"✓","THIẾU")</f>
        <v>✓</v>
      </c>
    </row>
    <row r="129" customFormat="false" ht="15" hidden="false" customHeight="false" outlineLevel="0" collapsed="false">
      <c r="A129" s="2" t="s">
        <v>599</v>
      </c>
      <c r="B129" s="2" t="n">
        <v>3</v>
      </c>
      <c r="C129" s="2" t="s">
        <v>600</v>
      </c>
      <c r="D129" s="2" t="s">
        <v>450</v>
      </c>
      <c r="E129" s="2" t="n">
        <v>1</v>
      </c>
      <c r="F129" s="2" t="n">
        <f aca="false">SUMPRODUCT(('Anh xa'!$A$2:$A$581=A129)*1)</f>
        <v>1</v>
      </c>
      <c r="G129" s="2" t="str">
        <f aca="false">IF(F129&gt;0,"✓","THIẾU")</f>
        <v>✓</v>
      </c>
    </row>
    <row r="130" customFormat="false" ht="15" hidden="false" customHeight="false" outlineLevel="0" collapsed="false">
      <c r="A130" s="2" t="s">
        <v>601</v>
      </c>
      <c r="B130" s="2" t="n">
        <v>2</v>
      </c>
      <c r="C130" s="2" t="s">
        <v>602</v>
      </c>
      <c r="D130" s="2" t="s">
        <v>1296</v>
      </c>
      <c r="E130" s="2" t="n">
        <v>2</v>
      </c>
      <c r="F130" s="2" t="n">
        <f aca="false">SUMPRODUCT(('Anh xa'!$A$2:$A$581=A130)*1)</f>
        <v>2</v>
      </c>
      <c r="G130" s="2" t="str">
        <f aca="false">IF(F130&gt;0,"✓","THIẾU")</f>
        <v>✓</v>
      </c>
    </row>
    <row r="131" customFormat="false" ht="15" hidden="false" customHeight="false" outlineLevel="0" collapsed="false">
      <c r="A131" s="2" t="s">
        <v>605</v>
      </c>
      <c r="B131" s="2" t="n">
        <v>3</v>
      </c>
      <c r="C131" s="2" t="s">
        <v>606</v>
      </c>
      <c r="D131" s="2" t="s">
        <v>603</v>
      </c>
      <c r="E131" s="2" t="n">
        <v>1</v>
      </c>
      <c r="F131" s="2" t="n">
        <f aca="false">SUMPRODUCT(('Anh xa'!$A$2:$A$581=A131)*1)</f>
        <v>1</v>
      </c>
      <c r="G131" s="2" t="str">
        <f aca="false">IF(F131&gt;0,"✓","THIẾU")</f>
        <v>✓</v>
      </c>
    </row>
    <row r="132" customFormat="false" ht="15" hidden="false" customHeight="false" outlineLevel="0" collapsed="false">
      <c r="A132" s="2" t="s">
        <v>607</v>
      </c>
      <c r="B132" s="2" t="n">
        <v>3</v>
      </c>
      <c r="C132" s="2" t="s">
        <v>608</v>
      </c>
      <c r="D132" s="2" t="s">
        <v>261</v>
      </c>
      <c r="E132" s="2" t="n">
        <v>1</v>
      </c>
      <c r="F132" s="2" t="n">
        <f aca="false">SUMPRODUCT(('Anh xa'!$A$2:$A$581=A132)*1)</f>
        <v>1</v>
      </c>
      <c r="G132" s="2" t="str">
        <f aca="false">IF(F132&gt;0,"✓","THIẾU")</f>
        <v>✓</v>
      </c>
    </row>
    <row r="133" customFormat="false" ht="15" hidden="false" customHeight="false" outlineLevel="0" collapsed="false">
      <c r="A133" s="2" t="s">
        <v>609</v>
      </c>
      <c r="B133" s="2" t="n">
        <v>2</v>
      </c>
      <c r="C133" s="2" t="s">
        <v>610</v>
      </c>
      <c r="D133" s="2" t="s">
        <v>1297</v>
      </c>
      <c r="E133" s="2" t="n">
        <v>3</v>
      </c>
      <c r="F133" s="2" t="n">
        <f aca="false">SUMPRODUCT(('Anh xa'!$A$2:$A$581=A133)*1)</f>
        <v>3</v>
      </c>
      <c r="G133" s="2" t="str">
        <f aca="false">IF(F133&gt;0,"✓","THIẾU")</f>
        <v>✓</v>
      </c>
    </row>
    <row r="134" customFormat="false" ht="15" hidden="false" customHeight="false" outlineLevel="0" collapsed="false">
      <c r="A134" s="2" t="s">
        <v>615</v>
      </c>
      <c r="B134" s="2" t="n">
        <v>3</v>
      </c>
      <c r="C134" s="2" t="s">
        <v>616</v>
      </c>
      <c r="D134" s="2" t="s">
        <v>1298</v>
      </c>
      <c r="E134" s="2" t="n">
        <v>3</v>
      </c>
      <c r="F134" s="2" t="n">
        <f aca="false">SUMPRODUCT(('Anh xa'!$A$2:$A$581=A134)*1)</f>
        <v>3</v>
      </c>
      <c r="G134" s="2" t="str">
        <f aca="false">IF(F134&gt;0,"✓","THIẾU")</f>
        <v>✓</v>
      </c>
    </row>
    <row r="135" customFormat="false" ht="15" hidden="false" customHeight="false" outlineLevel="0" collapsed="false">
      <c r="A135" s="2" t="s">
        <v>617</v>
      </c>
      <c r="B135" s="2" t="n">
        <v>3</v>
      </c>
      <c r="C135" s="2" t="s">
        <v>618</v>
      </c>
      <c r="D135" s="2" t="s">
        <v>1299</v>
      </c>
      <c r="E135" s="2" t="n">
        <v>3</v>
      </c>
      <c r="F135" s="2" t="n">
        <f aca="false">SUMPRODUCT(('Anh xa'!$A$2:$A$581=A135)*1)</f>
        <v>3</v>
      </c>
      <c r="G135" s="2" t="str">
        <f aca="false">IF(F135&gt;0,"✓","THIẾU")</f>
        <v>✓</v>
      </c>
    </row>
    <row r="136" customFormat="false" ht="15" hidden="false" customHeight="false" outlineLevel="0" collapsed="false">
      <c r="A136" s="2" t="s">
        <v>619</v>
      </c>
      <c r="B136" s="2" t="n">
        <v>3</v>
      </c>
      <c r="C136" s="2" t="s">
        <v>620</v>
      </c>
      <c r="D136" s="2" t="s">
        <v>1300</v>
      </c>
      <c r="E136" s="2" t="n">
        <v>4</v>
      </c>
      <c r="F136" s="2" t="n">
        <f aca="false">SUMPRODUCT(('Anh xa'!$A$2:$A$581=A136)*1)</f>
        <v>4</v>
      </c>
      <c r="G136" s="2" t="str">
        <f aca="false">IF(F136&gt;0,"✓","THIẾU")</f>
        <v>✓</v>
      </c>
    </row>
    <row r="137" customFormat="false" ht="15" hidden="false" customHeight="false" outlineLevel="0" collapsed="false">
      <c r="A137" s="2" t="s">
        <v>627</v>
      </c>
      <c r="B137" s="2" t="n">
        <v>3</v>
      </c>
      <c r="C137" s="2" t="s">
        <v>628</v>
      </c>
      <c r="D137" s="2" t="s">
        <v>1301</v>
      </c>
      <c r="E137" s="2" t="n">
        <v>2</v>
      </c>
      <c r="F137" s="2" t="n">
        <f aca="false">SUMPRODUCT(('Anh xa'!$A$2:$A$581=A137)*1)</f>
        <v>2</v>
      </c>
      <c r="G137" s="2" t="str">
        <f aca="false">IF(F137&gt;0,"✓","THIẾU")</f>
        <v>✓</v>
      </c>
    </row>
    <row r="138" customFormat="false" ht="15" hidden="false" customHeight="false" outlineLevel="0" collapsed="false">
      <c r="A138" s="2" t="s">
        <v>631</v>
      </c>
      <c r="B138" s="2" t="n">
        <v>2</v>
      </c>
      <c r="C138" s="2" t="s">
        <v>632</v>
      </c>
      <c r="D138" s="2" t="s">
        <v>633</v>
      </c>
      <c r="E138" s="2" t="n">
        <v>1</v>
      </c>
      <c r="F138" s="2" t="n">
        <f aca="false">SUMPRODUCT(('Anh xa'!$A$2:$A$581=A138)*1)</f>
        <v>1</v>
      </c>
      <c r="G138" s="2" t="str">
        <f aca="false">IF(F138&gt;0,"✓","THIẾU")</f>
        <v>✓</v>
      </c>
    </row>
    <row r="139" customFormat="false" ht="23.85" hidden="false" customHeight="false" outlineLevel="0" collapsed="false">
      <c r="A139" s="2" t="s">
        <v>635</v>
      </c>
      <c r="B139" s="2" t="n">
        <v>3</v>
      </c>
      <c r="C139" s="2" t="s">
        <v>636</v>
      </c>
      <c r="D139" s="2" t="s">
        <v>1302</v>
      </c>
      <c r="E139" s="2" t="n">
        <v>3</v>
      </c>
      <c r="F139" s="2" t="n">
        <f aca="false">SUMPRODUCT(('Anh xa'!$A$2:$A$581=A139)*1)</f>
        <v>3</v>
      </c>
      <c r="G139" s="2" t="str">
        <f aca="false">IF(F139&gt;0,"✓","THIẾU")</f>
        <v>✓</v>
      </c>
    </row>
    <row r="140" customFormat="false" ht="15" hidden="false" customHeight="false" outlineLevel="0" collapsed="false">
      <c r="A140" s="2" t="s">
        <v>637</v>
      </c>
      <c r="B140" s="2" t="n">
        <v>3</v>
      </c>
      <c r="C140" s="2" t="s">
        <v>638</v>
      </c>
      <c r="D140" s="2" t="s">
        <v>1303</v>
      </c>
      <c r="E140" s="2" t="n">
        <v>2</v>
      </c>
      <c r="F140" s="2" t="n">
        <f aca="false">SUMPRODUCT(('Anh xa'!$A$2:$A$581=A140)*1)</f>
        <v>2</v>
      </c>
      <c r="G140" s="2" t="str">
        <f aca="false">IF(F140&gt;0,"✓","THIẾU")</f>
        <v>✓</v>
      </c>
    </row>
    <row r="141" customFormat="false" ht="15" hidden="false" customHeight="false" outlineLevel="0" collapsed="false">
      <c r="A141" s="2" t="s">
        <v>641</v>
      </c>
      <c r="B141" s="2" t="n">
        <v>3</v>
      </c>
      <c r="C141" s="2" t="s">
        <v>642</v>
      </c>
      <c r="D141" s="2" t="s">
        <v>1304</v>
      </c>
      <c r="E141" s="2" t="n">
        <v>2</v>
      </c>
      <c r="F141" s="2" t="n">
        <f aca="false">SUMPRODUCT(('Anh xa'!$A$2:$A$581=A141)*1)</f>
        <v>2</v>
      </c>
      <c r="G141" s="2" t="str">
        <f aca="false">IF(F141&gt;0,"✓","THIẾU")</f>
        <v>✓</v>
      </c>
    </row>
    <row r="142" customFormat="false" ht="15" hidden="false" customHeight="false" outlineLevel="0" collapsed="false">
      <c r="A142" s="2" t="s">
        <v>643</v>
      </c>
      <c r="B142" s="2" t="n">
        <v>2</v>
      </c>
      <c r="C142" s="2" t="s">
        <v>644</v>
      </c>
      <c r="D142" s="2" t="s">
        <v>1305</v>
      </c>
      <c r="E142" s="2" t="n">
        <v>2</v>
      </c>
      <c r="F142" s="2" t="n">
        <f aca="false">SUMPRODUCT(('Anh xa'!$A$2:$A$581=A142)*1)</f>
        <v>2</v>
      </c>
      <c r="G142" s="2" t="str">
        <f aca="false">IF(F142&gt;0,"✓","THIẾU")</f>
        <v>✓</v>
      </c>
    </row>
    <row r="143" customFormat="false" ht="15" hidden="false" customHeight="false" outlineLevel="0" collapsed="false">
      <c r="A143" s="2" t="s">
        <v>648</v>
      </c>
      <c r="B143" s="2" t="n">
        <v>3</v>
      </c>
      <c r="C143" s="2" t="s">
        <v>649</v>
      </c>
      <c r="D143" s="2" t="s">
        <v>1306</v>
      </c>
      <c r="E143" s="2" t="n">
        <v>3</v>
      </c>
      <c r="F143" s="2" t="n">
        <f aca="false">SUMPRODUCT(('Anh xa'!$A$2:$A$581=A143)*1)</f>
        <v>3</v>
      </c>
      <c r="G143" s="2" t="str">
        <f aca="false">IF(F143&gt;0,"✓","THIẾU")</f>
        <v>✓</v>
      </c>
    </row>
    <row r="144" customFormat="false" ht="15" hidden="false" customHeight="false" outlineLevel="0" collapsed="false">
      <c r="A144" s="2" t="s">
        <v>650</v>
      </c>
      <c r="B144" s="2" t="n">
        <v>3</v>
      </c>
      <c r="C144" s="2" t="s">
        <v>651</v>
      </c>
      <c r="D144" s="2" t="s">
        <v>1307</v>
      </c>
      <c r="E144" s="2" t="n">
        <v>2</v>
      </c>
      <c r="F144" s="2" t="n">
        <f aca="false">SUMPRODUCT(('Anh xa'!$A$2:$A$581=A144)*1)</f>
        <v>2</v>
      </c>
      <c r="G144" s="2" t="str">
        <f aca="false">IF(F144&gt;0,"✓","THIẾU")</f>
        <v>✓</v>
      </c>
    </row>
    <row r="145" customFormat="false" ht="15" hidden="false" customHeight="false" outlineLevel="0" collapsed="false">
      <c r="A145" s="2" t="s">
        <v>652</v>
      </c>
      <c r="B145" s="2" t="n">
        <v>2</v>
      </c>
      <c r="C145" s="2" t="s">
        <v>653</v>
      </c>
      <c r="D145" s="2" t="s">
        <v>1308</v>
      </c>
      <c r="E145" s="2" t="n">
        <v>2</v>
      </c>
      <c r="F145" s="2" t="n">
        <f aca="false">SUMPRODUCT(('Anh xa'!$A$2:$A$581=A145)*1)</f>
        <v>2</v>
      </c>
      <c r="G145" s="2" t="str">
        <f aca="false">IF(F145&gt;0,"✓","THIẾU")</f>
        <v>✓</v>
      </c>
    </row>
    <row r="146" customFormat="false" ht="15" hidden="false" customHeight="false" outlineLevel="0" collapsed="false">
      <c r="A146" s="2" t="s">
        <v>658</v>
      </c>
      <c r="B146" s="2" t="n">
        <v>3</v>
      </c>
      <c r="C146" s="2" t="s">
        <v>659</v>
      </c>
      <c r="D146" s="2" t="s">
        <v>1309</v>
      </c>
      <c r="E146" s="2" t="n">
        <v>2</v>
      </c>
      <c r="F146" s="2" t="n">
        <f aca="false">SUMPRODUCT(('Anh xa'!$A$2:$A$581=A146)*1)</f>
        <v>2</v>
      </c>
      <c r="G146" s="2" t="str">
        <f aca="false">IF(F146&gt;0,"✓","THIẾU")</f>
        <v>✓</v>
      </c>
    </row>
    <row r="147" customFormat="false" ht="15" hidden="false" customHeight="false" outlineLevel="0" collapsed="false">
      <c r="A147" s="2" t="s">
        <v>662</v>
      </c>
      <c r="B147" s="2" t="n">
        <v>3</v>
      </c>
      <c r="C147" s="2" t="s">
        <v>663</v>
      </c>
      <c r="D147" s="2" t="s">
        <v>1310</v>
      </c>
      <c r="E147" s="2" t="n">
        <v>2</v>
      </c>
      <c r="F147" s="2" t="n">
        <f aca="false">SUMPRODUCT(('Anh xa'!$A$2:$A$581=A147)*1)</f>
        <v>2</v>
      </c>
      <c r="G147" s="2" t="str">
        <f aca="false">IF(F147&gt;0,"✓","THIẾU")</f>
        <v>✓</v>
      </c>
    </row>
    <row r="148" customFormat="false" ht="15" hidden="false" customHeight="false" outlineLevel="0" collapsed="false">
      <c r="A148" s="2" t="s">
        <v>666</v>
      </c>
      <c r="B148" s="2" t="n">
        <v>2</v>
      </c>
      <c r="C148" s="2" t="s">
        <v>667</v>
      </c>
      <c r="D148" s="2" t="s">
        <v>1311</v>
      </c>
      <c r="E148" s="2" t="n">
        <v>2</v>
      </c>
      <c r="F148" s="2" t="n">
        <f aca="false">SUMPRODUCT(('Anh xa'!$A$2:$A$581=A148)*1)</f>
        <v>2</v>
      </c>
      <c r="G148" s="2" t="str">
        <f aca="false">IF(F148&gt;0,"✓","THIẾU")</f>
        <v>✓</v>
      </c>
    </row>
    <row r="149" customFormat="false" ht="15" hidden="false" customHeight="false" outlineLevel="0" collapsed="false">
      <c r="A149" s="2" t="s">
        <v>672</v>
      </c>
      <c r="B149" s="2" t="n">
        <v>3</v>
      </c>
      <c r="C149" s="2" t="s">
        <v>673</v>
      </c>
      <c r="D149" s="2" t="s">
        <v>1311</v>
      </c>
      <c r="E149" s="2" t="n">
        <v>2</v>
      </c>
      <c r="F149" s="2" t="n">
        <f aca="false">SUMPRODUCT(('Anh xa'!$A$2:$A$581=A149)*1)</f>
        <v>2</v>
      </c>
      <c r="G149" s="2" t="str">
        <f aca="false">IF(F149&gt;0,"✓","THIẾU")</f>
        <v>✓</v>
      </c>
    </row>
    <row r="150" customFormat="false" ht="15" hidden="false" customHeight="false" outlineLevel="0" collapsed="false">
      <c r="A150" s="2" t="s">
        <v>674</v>
      </c>
      <c r="B150" s="2" t="n">
        <v>2</v>
      </c>
      <c r="C150" s="2" t="s">
        <v>675</v>
      </c>
      <c r="D150" s="2" t="s">
        <v>1211</v>
      </c>
      <c r="E150" s="2" t="n">
        <v>3</v>
      </c>
      <c r="F150" s="2" t="n">
        <f aca="false">SUMPRODUCT(('Anh xa'!$A$2:$A$581=A150)*1)</f>
        <v>3</v>
      </c>
      <c r="G150" s="2" t="str">
        <f aca="false">IF(F150&gt;0,"✓","THIẾU")</f>
        <v>✓</v>
      </c>
    </row>
    <row r="151" customFormat="false" ht="23.85" hidden="false" customHeight="false" outlineLevel="0" collapsed="false">
      <c r="A151" s="2" t="s">
        <v>676</v>
      </c>
      <c r="B151" s="2" t="n">
        <v>3</v>
      </c>
      <c r="C151" s="2" t="s">
        <v>677</v>
      </c>
      <c r="D151" s="2" t="s">
        <v>1312</v>
      </c>
      <c r="E151" s="2" t="n">
        <v>2</v>
      </c>
      <c r="F151" s="2" t="n">
        <f aca="false">SUMPRODUCT(('Anh xa'!$A$2:$A$581=A151)*1)</f>
        <v>2</v>
      </c>
      <c r="G151" s="2" t="str">
        <f aca="false">IF(F151&gt;0,"✓","THIẾU")</f>
        <v>✓</v>
      </c>
    </row>
    <row r="152" customFormat="false" ht="15" hidden="false" customHeight="false" outlineLevel="0" collapsed="false">
      <c r="A152" s="2" t="s">
        <v>678</v>
      </c>
      <c r="B152" s="2" t="n">
        <v>3</v>
      </c>
      <c r="C152" s="2" t="s">
        <v>679</v>
      </c>
      <c r="D152" s="2" t="s">
        <v>1313</v>
      </c>
      <c r="E152" s="2" t="n">
        <v>2</v>
      </c>
      <c r="F152" s="2" t="n">
        <f aca="false">SUMPRODUCT(('Anh xa'!$A$2:$A$581=A152)*1)</f>
        <v>2</v>
      </c>
      <c r="G152" s="2" t="str">
        <f aca="false">IF(F152&gt;0,"✓","THIẾU")</f>
        <v>✓</v>
      </c>
    </row>
    <row r="153" customFormat="false" ht="15" hidden="false" customHeight="false" outlineLevel="0" collapsed="false">
      <c r="A153" s="2" t="s">
        <v>680</v>
      </c>
      <c r="B153" s="2" t="n">
        <v>3</v>
      </c>
      <c r="C153" s="2" t="s">
        <v>681</v>
      </c>
      <c r="D153" s="2" t="s">
        <v>1314</v>
      </c>
      <c r="E153" s="2" t="n">
        <v>3</v>
      </c>
      <c r="F153" s="2" t="n">
        <f aca="false">SUMPRODUCT(('Anh xa'!$A$2:$A$581=A153)*1)</f>
        <v>3</v>
      </c>
      <c r="G153" s="2" t="str">
        <f aca="false">IF(F153&gt;0,"✓","THIẾU")</f>
        <v>✓</v>
      </c>
    </row>
    <row r="154" customFormat="false" ht="15" hidden="false" customHeight="false" outlineLevel="0" collapsed="false">
      <c r="A154" s="2" t="s">
        <v>684</v>
      </c>
      <c r="B154" s="2" t="n">
        <v>2</v>
      </c>
      <c r="C154" s="2" t="s">
        <v>685</v>
      </c>
      <c r="D154" s="2" t="s">
        <v>1315</v>
      </c>
      <c r="E154" s="2" t="n">
        <v>3</v>
      </c>
      <c r="F154" s="2" t="n">
        <f aca="false">SUMPRODUCT(('Anh xa'!$A$2:$A$581=A154)*1)</f>
        <v>3</v>
      </c>
      <c r="G154" s="2" t="str">
        <f aca="false">IF(F154&gt;0,"✓","THIẾU")</f>
        <v>✓</v>
      </c>
    </row>
    <row r="155" customFormat="false" ht="15" hidden="false" customHeight="false" outlineLevel="0" collapsed="false">
      <c r="A155" s="2" t="s">
        <v>689</v>
      </c>
      <c r="B155" s="2" t="n">
        <v>3</v>
      </c>
      <c r="C155" s="2" t="s">
        <v>690</v>
      </c>
      <c r="D155" s="2" t="s">
        <v>1316</v>
      </c>
      <c r="E155" s="2" t="n">
        <v>3</v>
      </c>
      <c r="F155" s="2" t="n">
        <f aca="false">SUMPRODUCT(('Anh xa'!$A$2:$A$581=A155)*1)</f>
        <v>3</v>
      </c>
      <c r="G155" s="2" t="str">
        <f aca="false">IF(F155&gt;0,"✓","THIẾU")</f>
        <v>✓</v>
      </c>
    </row>
    <row r="156" customFormat="false" ht="15" hidden="false" customHeight="false" outlineLevel="0" collapsed="false">
      <c r="A156" s="2" t="s">
        <v>691</v>
      </c>
      <c r="B156" s="2" t="n">
        <v>3</v>
      </c>
      <c r="C156" s="2" t="s">
        <v>692</v>
      </c>
      <c r="D156" s="2" t="s">
        <v>450</v>
      </c>
      <c r="E156" s="2" t="n">
        <v>1</v>
      </c>
      <c r="F156" s="2" t="n">
        <f aca="false">SUMPRODUCT(('Anh xa'!$A$2:$A$581=A156)*1)</f>
        <v>1</v>
      </c>
      <c r="G156" s="2" t="str">
        <f aca="false">IF(F156&gt;0,"✓","THIẾU")</f>
        <v>✓</v>
      </c>
    </row>
    <row r="157" customFormat="false" ht="15" hidden="false" customHeight="false" outlineLevel="0" collapsed="false">
      <c r="A157" s="2" t="s">
        <v>693</v>
      </c>
      <c r="B157" s="2" t="n">
        <v>3</v>
      </c>
      <c r="C157" s="2" t="s">
        <v>694</v>
      </c>
      <c r="D157" s="2" t="s">
        <v>686</v>
      </c>
      <c r="E157" s="2" t="n">
        <v>1</v>
      </c>
      <c r="F157" s="2" t="n">
        <f aca="false">SUMPRODUCT(('Anh xa'!$A$2:$A$581=A157)*1)</f>
        <v>1</v>
      </c>
      <c r="G157" s="2" t="str">
        <f aca="false">IF(F157&gt;0,"✓","THIẾU")</f>
        <v>✓</v>
      </c>
    </row>
    <row r="158" customFormat="false" ht="15" hidden="false" customHeight="false" outlineLevel="0" collapsed="false">
      <c r="A158" s="2" t="s">
        <v>695</v>
      </c>
      <c r="B158" s="2" t="n">
        <v>3</v>
      </c>
      <c r="C158" s="2" t="s">
        <v>696</v>
      </c>
      <c r="D158" s="2" t="s">
        <v>1317</v>
      </c>
      <c r="E158" s="2" t="n">
        <v>3</v>
      </c>
      <c r="F158" s="2" t="n">
        <f aca="false">SUMPRODUCT(('Anh xa'!$A$2:$A$581=A158)*1)</f>
        <v>3</v>
      </c>
      <c r="G158" s="2" t="str">
        <f aca="false">IF(F158&gt;0,"✓","THIẾU")</f>
        <v>✓</v>
      </c>
    </row>
    <row r="159" customFormat="false" ht="15" hidden="false" customHeight="false" outlineLevel="0" collapsed="false">
      <c r="A159" s="2" t="s">
        <v>697</v>
      </c>
      <c r="B159" s="2" t="n">
        <v>3</v>
      </c>
      <c r="C159" s="2" t="s">
        <v>698</v>
      </c>
      <c r="D159" s="2" t="s">
        <v>1307</v>
      </c>
      <c r="E159" s="2" t="n">
        <v>2</v>
      </c>
      <c r="F159" s="2" t="n">
        <f aca="false">SUMPRODUCT(('Anh xa'!$A$2:$A$581=A159)*1)</f>
        <v>2</v>
      </c>
      <c r="G159" s="2" t="str">
        <f aca="false">IF(F159&gt;0,"✓","THIẾU")</f>
        <v>✓</v>
      </c>
    </row>
    <row r="160" customFormat="false" ht="15" hidden="false" customHeight="false" outlineLevel="0" collapsed="false">
      <c r="A160" s="2" t="s">
        <v>699</v>
      </c>
      <c r="B160" s="2" t="n">
        <v>3</v>
      </c>
      <c r="C160" s="2" t="s">
        <v>700</v>
      </c>
      <c r="D160" s="2" t="s">
        <v>1318</v>
      </c>
      <c r="E160" s="2" t="n">
        <v>2</v>
      </c>
      <c r="F160" s="2" t="n">
        <f aca="false">SUMPRODUCT(('Anh xa'!$A$2:$A$581=A160)*1)</f>
        <v>2</v>
      </c>
      <c r="G160" s="2" t="str">
        <f aca="false">IF(F160&gt;0,"✓","THIẾU")</f>
        <v>✓</v>
      </c>
    </row>
    <row r="161" customFormat="false" ht="15" hidden="false" customHeight="false" outlineLevel="0" collapsed="false">
      <c r="A161" s="2" t="s">
        <v>701</v>
      </c>
      <c r="B161" s="2" t="n">
        <v>3</v>
      </c>
      <c r="C161" s="2" t="s">
        <v>702</v>
      </c>
      <c r="D161" s="2" t="s">
        <v>1319</v>
      </c>
      <c r="E161" s="2" t="n">
        <v>2</v>
      </c>
      <c r="F161" s="2" t="n">
        <f aca="false">SUMPRODUCT(('Anh xa'!$A$2:$A$581=A161)*1)</f>
        <v>2</v>
      </c>
      <c r="G161" s="2" t="str">
        <f aca="false">IF(F161&gt;0,"✓","THIẾU")</f>
        <v>✓</v>
      </c>
    </row>
    <row r="162" customFormat="false" ht="15" hidden="false" customHeight="false" outlineLevel="0" collapsed="false">
      <c r="A162" s="2" t="s">
        <v>703</v>
      </c>
      <c r="B162" s="2" t="n">
        <v>3</v>
      </c>
      <c r="C162" s="2" t="s">
        <v>704</v>
      </c>
      <c r="D162" s="2" t="s">
        <v>1320</v>
      </c>
      <c r="E162" s="2" t="n">
        <v>2</v>
      </c>
      <c r="F162" s="2" t="n">
        <f aca="false">SUMPRODUCT(('Anh xa'!$A$2:$A$581=A162)*1)</f>
        <v>2</v>
      </c>
      <c r="G162" s="2" t="str">
        <f aca="false">IF(F162&gt;0,"✓","THIẾU")</f>
        <v>✓</v>
      </c>
    </row>
    <row r="163" customFormat="false" ht="15" hidden="false" customHeight="false" outlineLevel="0" collapsed="false">
      <c r="A163" s="2" t="s">
        <v>709</v>
      </c>
      <c r="B163" s="2" t="n">
        <v>2</v>
      </c>
      <c r="C163" s="2" t="s">
        <v>710</v>
      </c>
      <c r="D163" s="2" t="s">
        <v>1321</v>
      </c>
      <c r="E163" s="2" t="n">
        <v>3</v>
      </c>
      <c r="F163" s="2" t="n">
        <f aca="false">SUMPRODUCT(('Anh xa'!$A$2:$A$581=A163)*1)</f>
        <v>3</v>
      </c>
      <c r="G163" s="2" t="str">
        <f aca="false">IF(F163&gt;0,"✓","THIẾU")</f>
        <v>✓</v>
      </c>
    </row>
    <row r="164" customFormat="false" ht="15" hidden="false" customHeight="false" outlineLevel="0" collapsed="false">
      <c r="A164" s="2" t="s">
        <v>717</v>
      </c>
      <c r="B164" s="2" t="n">
        <v>3</v>
      </c>
      <c r="C164" s="2" t="s">
        <v>718</v>
      </c>
      <c r="D164" s="2" t="s">
        <v>1322</v>
      </c>
      <c r="E164" s="2" t="n">
        <v>3</v>
      </c>
      <c r="F164" s="2" t="n">
        <f aca="false">SUMPRODUCT(('Anh xa'!$A$2:$A$581=A164)*1)</f>
        <v>3</v>
      </c>
      <c r="G164" s="2" t="str">
        <f aca="false">IF(F164&gt;0,"✓","THIẾU")</f>
        <v>✓</v>
      </c>
    </row>
    <row r="165" customFormat="false" ht="15" hidden="false" customHeight="false" outlineLevel="0" collapsed="false">
      <c r="A165" s="2" t="s">
        <v>719</v>
      </c>
      <c r="B165" s="2" t="n">
        <v>3</v>
      </c>
      <c r="C165" s="2" t="s">
        <v>720</v>
      </c>
      <c r="D165" s="2" t="s">
        <v>1323</v>
      </c>
      <c r="E165" s="2" t="n">
        <v>3</v>
      </c>
      <c r="F165" s="2" t="n">
        <f aca="false">SUMPRODUCT(('Anh xa'!$A$2:$A$581=A165)*1)</f>
        <v>3</v>
      </c>
      <c r="G165" s="2" t="str">
        <f aca="false">IF(F165&gt;0,"✓","THIẾU")</f>
        <v>✓</v>
      </c>
    </row>
    <row r="166" customFormat="false" ht="15" hidden="false" customHeight="false" outlineLevel="0" collapsed="false">
      <c r="A166" s="2" t="s">
        <v>721</v>
      </c>
      <c r="B166" s="2" t="n">
        <v>2</v>
      </c>
      <c r="C166" s="2" t="s">
        <v>722</v>
      </c>
      <c r="D166" s="2" t="s">
        <v>1324</v>
      </c>
      <c r="E166" s="2" t="n">
        <v>3</v>
      </c>
      <c r="F166" s="2" t="n">
        <f aca="false">SUMPRODUCT(('Anh xa'!$A$2:$A$581=A166)*1)</f>
        <v>3</v>
      </c>
      <c r="G166" s="2" t="str">
        <f aca="false">IF(F166&gt;0,"✓","THIẾU")</f>
        <v>✓</v>
      </c>
    </row>
    <row r="167" customFormat="false" ht="15" hidden="false" customHeight="false" outlineLevel="0" collapsed="false">
      <c r="A167" s="2" t="s">
        <v>729</v>
      </c>
      <c r="B167" s="2" t="n">
        <v>3</v>
      </c>
      <c r="C167" s="2" t="s">
        <v>730</v>
      </c>
      <c r="D167" s="2" t="s">
        <v>1325</v>
      </c>
      <c r="E167" s="2" t="n">
        <v>3</v>
      </c>
      <c r="F167" s="2" t="n">
        <f aca="false">SUMPRODUCT(('Anh xa'!$A$2:$A$581=A167)*1)</f>
        <v>3</v>
      </c>
      <c r="G167" s="2" t="str">
        <f aca="false">IF(F167&gt;0,"✓","THIẾU")</f>
        <v>✓</v>
      </c>
    </row>
    <row r="168" customFormat="false" ht="15" hidden="false" customHeight="false" outlineLevel="0" collapsed="false">
      <c r="A168" s="2" t="s">
        <v>731</v>
      </c>
      <c r="B168" s="2" t="n">
        <v>3</v>
      </c>
      <c r="C168" s="2" t="s">
        <v>732</v>
      </c>
      <c r="D168" s="2" t="s">
        <v>1326</v>
      </c>
      <c r="E168" s="2" t="n">
        <v>2</v>
      </c>
      <c r="F168" s="2" t="n">
        <f aca="false">SUMPRODUCT(('Anh xa'!$A$2:$A$581=A168)*1)</f>
        <v>2</v>
      </c>
      <c r="G168" s="2" t="str">
        <f aca="false">IF(F168&gt;0,"✓","THIẾU")</f>
        <v>✓</v>
      </c>
    </row>
    <row r="169" customFormat="false" ht="15" hidden="false" customHeight="false" outlineLevel="0" collapsed="false">
      <c r="A169" s="2" t="s">
        <v>733</v>
      </c>
      <c r="B169" s="2" t="n">
        <v>3</v>
      </c>
      <c r="C169" s="2" t="s">
        <v>734</v>
      </c>
      <c r="D169" s="2" t="s">
        <v>1327</v>
      </c>
      <c r="E169" s="2" t="n">
        <v>2</v>
      </c>
      <c r="F169" s="2" t="n">
        <f aca="false">SUMPRODUCT(('Anh xa'!$A$2:$A$581=A169)*1)</f>
        <v>2</v>
      </c>
      <c r="G169" s="2" t="str">
        <f aca="false">IF(F169&gt;0,"✓","THIẾU")</f>
        <v>✓</v>
      </c>
    </row>
    <row r="170" customFormat="false" ht="15" hidden="false" customHeight="false" outlineLevel="0" collapsed="false">
      <c r="A170" s="2" t="s">
        <v>737</v>
      </c>
      <c r="B170" s="2" t="n">
        <v>3</v>
      </c>
      <c r="C170" s="2" t="s">
        <v>738</v>
      </c>
      <c r="D170" s="2" t="s">
        <v>1328</v>
      </c>
      <c r="E170" s="2" t="n">
        <v>2</v>
      </c>
      <c r="F170" s="2" t="n">
        <f aca="false">SUMPRODUCT(('Anh xa'!$A$2:$A$581=A170)*1)</f>
        <v>2</v>
      </c>
      <c r="G170" s="2" t="str">
        <f aca="false">IF(F170&gt;0,"✓","THIẾU")</f>
        <v>✓</v>
      </c>
    </row>
    <row r="171" customFormat="false" ht="15" hidden="false" customHeight="false" outlineLevel="0" collapsed="false">
      <c r="A171" s="2" t="s">
        <v>739</v>
      </c>
      <c r="B171" s="2" t="n">
        <v>2</v>
      </c>
      <c r="C171" s="2" t="s">
        <v>740</v>
      </c>
      <c r="D171" s="2" t="s">
        <v>1329</v>
      </c>
      <c r="E171" s="2" t="n">
        <v>3</v>
      </c>
      <c r="F171" s="2" t="n">
        <f aca="false">SUMPRODUCT(('Anh xa'!$A$2:$A$581=A171)*1)</f>
        <v>3</v>
      </c>
      <c r="G171" s="2" t="str">
        <f aca="false">IF(F171&gt;0,"✓","THIẾU")</f>
        <v>✓</v>
      </c>
    </row>
    <row r="172" customFormat="false" ht="15" hidden="false" customHeight="false" outlineLevel="0" collapsed="false">
      <c r="A172" s="2" t="s">
        <v>745</v>
      </c>
      <c r="B172" s="2" t="n">
        <v>3</v>
      </c>
      <c r="C172" s="2" t="s">
        <v>742</v>
      </c>
      <c r="D172" s="2" t="s">
        <v>1330</v>
      </c>
      <c r="E172" s="2" t="n">
        <v>2</v>
      </c>
      <c r="F172" s="2" t="n">
        <f aca="false">SUMPRODUCT(('Anh xa'!$A$2:$A$581=A172)*1)</f>
        <v>2</v>
      </c>
      <c r="G172" s="2" t="str">
        <f aca="false">IF(F172&gt;0,"✓","THIẾU")</f>
        <v>✓</v>
      </c>
    </row>
    <row r="173" customFormat="false" ht="15" hidden="false" customHeight="false" outlineLevel="0" collapsed="false">
      <c r="A173" s="2" t="s">
        <v>746</v>
      </c>
      <c r="B173" s="2" t="n">
        <v>3</v>
      </c>
      <c r="C173" s="2" t="s">
        <v>747</v>
      </c>
      <c r="D173" s="2" t="s">
        <v>743</v>
      </c>
      <c r="E173" s="2" t="n">
        <v>1</v>
      </c>
      <c r="F173" s="2" t="n">
        <f aca="false">SUMPRODUCT(('Anh xa'!$A$2:$A$581=A173)*1)</f>
        <v>1</v>
      </c>
      <c r="G173" s="2" t="str">
        <f aca="false">IF(F173&gt;0,"✓","THIẾU")</f>
        <v>✓</v>
      </c>
    </row>
    <row r="174" customFormat="false" ht="15" hidden="false" customHeight="false" outlineLevel="0" collapsed="false">
      <c r="A174" s="2" t="s">
        <v>748</v>
      </c>
      <c r="B174" s="2" t="n">
        <v>3</v>
      </c>
      <c r="C174" s="2" t="s">
        <v>749</v>
      </c>
      <c r="D174" s="2" t="s">
        <v>1331</v>
      </c>
      <c r="E174" s="2" t="n">
        <v>2</v>
      </c>
      <c r="F174" s="2" t="n">
        <f aca="false">SUMPRODUCT(('Anh xa'!$A$2:$A$581=A174)*1)</f>
        <v>2</v>
      </c>
      <c r="G174" s="2" t="str">
        <f aca="false">IF(F174&gt;0,"✓","THIẾU")</f>
        <v>✓</v>
      </c>
    </row>
    <row r="175" customFormat="false" ht="15" hidden="false" customHeight="false" outlineLevel="0" collapsed="false">
      <c r="A175" s="2" t="s">
        <v>750</v>
      </c>
      <c r="B175" s="2" t="n">
        <v>2</v>
      </c>
      <c r="C175" s="2" t="s">
        <v>751</v>
      </c>
      <c r="D175" s="2" t="s">
        <v>1332</v>
      </c>
      <c r="E175" s="2" t="n">
        <v>2</v>
      </c>
      <c r="F175" s="2" t="n">
        <f aca="false">SUMPRODUCT(('Anh xa'!$A$2:$A$581=A175)*1)</f>
        <v>2</v>
      </c>
      <c r="G175" s="2" t="str">
        <f aca="false">IF(F175&gt;0,"✓","THIẾU")</f>
        <v>✓</v>
      </c>
    </row>
    <row r="176" customFormat="false" ht="15" hidden="false" customHeight="false" outlineLevel="0" collapsed="false">
      <c r="A176" s="2" t="s">
        <v>756</v>
      </c>
      <c r="B176" s="2" t="n">
        <v>3</v>
      </c>
      <c r="C176" s="2" t="s">
        <v>757</v>
      </c>
      <c r="D176" s="2" t="s">
        <v>1333</v>
      </c>
      <c r="E176" s="2" t="n">
        <v>2</v>
      </c>
      <c r="F176" s="2" t="n">
        <f aca="false">SUMPRODUCT(('Anh xa'!$A$2:$A$581=A176)*1)</f>
        <v>2</v>
      </c>
      <c r="G176" s="2" t="str">
        <f aca="false">IF(F176&gt;0,"✓","THIẾU")</f>
        <v>✓</v>
      </c>
    </row>
    <row r="177" customFormat="false" ht="15" hidden="false" customHeight="false" outlineLevel="0" collapsed="false">
      <c r="A177" s="2" t="s">
        <v>760</v>
      </c>
      <c r="B177" s="2" t="n">
        <v>3</v>
      </c>
      <c r="C177" s="2" t="s">
        <v>761</v>
      </c>
      <c r="D177" s="2" t="s">
        <v>762</v>
      </c>
      <c r="E177" s="2" t="n">
        <v>1</v>
      </c>
      <c r="F177" s="2" t="n">
        <f aca="false">SUMPRODUCT(('Anh xa'!$A$2:$A$581=A177)*1)</f>
        <v>1</v>
      </c>
      <c r="G177" s="2" t="str">
        <f aca="false">IF(F177&gt;0,"✓","THIẾU")</f>
        <v>✓</v>
      </c>
    </row>
    <row r="178" customFormat="false" ht="15" hidden="false" customHeight="false" outlineLevel="0" collapsed="false">
      <c r="A178" s="2" t="s">
        <v>764</v>
      </c>
      <c r="B178" s="2" t="n">
        <v>3</v>
      </c>
      <c r="C178" s="2" t="s">
        <v>765</v>
      </c>
      <c r="D178" s="2" t="s">
        <v>1334</v>
      </c>
      <c r="E178" s="2" t="n">
        <v>2</v>
      </c>
      <c r="F178" s="2" t="n">
        <f aca="false">SUMPRODUCT(('Anh xa'!$A$2:$A$581=A178)*1)</f>
        <v>2</v>
      </c>
      <c r="G178" s="2" t="str">
        <f aca="false">IF(F178&gt;0,"✓","THIẾU")</f>
        <v>✓</v>
      </c>
    </row>
    <row r="179" customFormat="false" ht="15" hidden="false" customHeight="false" outlineLevel="0" collapsed="false">
      <c r="A179" s="2" t="s">
        <v>766</v>
      </c>
      <c r="B179" s="2" t="n">
        <v>3</v>
      </c>
      <c r="C179" s="2" t="s">
        <v>767</v>
      </c>
      <c r="D179" s="2" t="s">
        <v>1335</v>
      </c>
      <c r="E179" s="2" t="n">
        <v>2</v>
      </c>
      <c r="F179" s="2" t="n">
        <f aca="false">SUMPRODUCT(('Anh xa'!$A$2:$A$581=A179)*1)</f>
        <v>2</v>
      </c>
      <c r="G179" s="2" t="str">
        <f aca="false">IF(F179&gt;0,"✓","THIẾU")</f>
        <v>✓</v>
      </c>
    </row>
    <row r="180" customFormat="false" ht="15" hidden="false" customHeight="false" outlineLevel="0" collapsed="false">
      <c r="A180" s="2" t="s">
        <v>768</v>
      </c>
      <c r="B180" s="2" t="n">
        <v>2</v>
      </c>
      <c r="C180" s="2" t="s">
        <v>769</v>
      </c>
      <c r="D180" s="2" t="s">
        <v>1336</v>
      </c>
      <c r="E180" s="2" t="n">
        <v>3</v>
      </c>
      <c r="F180" s="2" t="n">
        <f aca="false">SUMPRODUCT(('Anh xa'!$A$2:$A$581=A180)*1)</f>
        <v>3</v>
      </c>
      <c r="G180" s="2" t="str">
        <f aca="false">IF(F180&gt;0,"✓","THIẾU")</f>
        <v>✓</v>
      </c>
    </row>
    <row r="181" customFormat="false" ht="15" hidden="false" customHeight="false" outlineLevel="0" collapsed="false">
      <c r="A181" s="2" t="s">
        <v>774</v>
      </c>
      <c r="B181" s="2" t="n">
        <v>3</v>
      </c>
      <c r="C181" s="2" t="s">
        <v>775</v>
      </c>
      <c r="D181" s="2" t="s">
        <v>1337</v>
      </c>
      <c r="E181" s="2" t="n">
        <v>4</v>
      </c>
      <c r="F181" s="2" t="n">
        <f aca="false">SUMPRODUCT(('Anh xa'!$A$2:$A$581=A181)*1)</f>
        <v>4</v>
      </c>
      <c r="G181" s="2" t="str">
        <f aca="false">IF(F181&gt;0,"✓","THIẾU")</f>
        <v>✓</v>
      </c>
    </row>
    <row r="182" customFormat="false" ht="15" hidden="false" customHeight="false" outlineLevel="0" collapsed="false">
      <c r="A182" s="2" t="s">
        <v>778</v>
      </c>
      <c r="B182" s="2" t="n">
        <v>3</v>
      </c>
      <c r="C182" s="2" t="s">
        <v>779</v>
      </c>
      <c r="D182" s="2" t="s">
        <v>1338</v>
      </c>
      <c r="E182" s="2" t="n">
        <v>2</v>
      </c>
      <c r="F182" s="2" t="n">
        <f aca="false">SUMPRODUCT(('Anh xa'!$A$2:$A$581=A182)*1)</f>
        <v>2</v>
      </c>
      <c r="G182" s="2" t="str">
        <f aca="false">IF(F182&gt;0,"✓","THIẾU")</f>
        <v>✓</v>
      </c>
    </row>
    <row r="183" customFormat="false" ht="15" hidden="false" customHeight="false" outlineLevel="0" collapsed="false">
      <c r="A183" s="2" t="s">
        <v>782</v>
      </c>
      <c r="B183" s="2" t="n">
        <v>2</v>
      </c>
      <c r="C183" s="2" t="s">
        <v>783</v>
      </c>
      <c r="D183" s="2" t="s">
        <v>1339</v>
      </c>
      <c r="E183" s="2" t="n">
        <v>2</v>
      </c>
      <c r="F183" s="2" t="n">
        <f aca="false">SUMPRODUCT(('Anh xa'!$A$2:$A$581=A183)*1)</f>
        <v>2</v>
      </c>
      <c r="G183" s="2" t="str">
        <f aca="false">IF(F183&gt;0,"✓","THIẾU")</f>
        <v>✓</v>
      </c>
    </row>
    <row r="184" customFormat="false" ht="23.85" hidden="false" customHeight="false" outlineLevel="0" collapsed="false">
      <c r="A184" s="2" t="s">
        <v>788</v>
      </c>
      <c r="B184" s="2" t="n">
        <v>3</v>
      </c>
      <c r="C184" s="2" t="s">
        <v>789</v>
      </c>
      <c r="D184" s="2" t="s">
        <v>1340</v>
      </c>
      <c r="E184" s="2" t="n">
        <v>2</v>
      </c>
      <c r="F184" s="2" t="n">
        <f aca="false">SUMPRODUCT(('Anh xa'!$A$2:$A$581=A184)*1)</f>
        <v>2</v>
      </c>
      <c r="G184" s="2" t="str">
        <f aca="false">IF(F184&gt;0,"✓","THIẾU")</f>
        <v>✓</v>
      </c>
    </row>
    <row r="185" customFormat="false" ht="15" hidden="false" customHeight="false" outlineLevel="0" collapsed="false">
      <c r="A185" s="2" t="s">
        <v>790</v>
      </c>
      <c r="B185" s="2" t="n">
        <v>2</v>
      </c>
      <c r="C185" s="2" t="s">
        <v>791</v>
      </c>
      <c r="D185" s="2" t="s">
        <v>1341</v>
      </c>
      <c r="E185" s="2" t="n">
        <v>2</v>
      </c>
      <c r="F185" s="2" t="n">
        <f aca="false">SUMPRODUCT(('Anh xa'!$A$2:$A$581=A185)*1)</f>
        <v>2</v>
      </c>
      <c r="G185" s="2" t="str">
        <f aca="false">IF(F185&gt;0,"✓","THIẾU")</f>
        <v>✓</v>
      </c>
    </row>
    <row r="186" customFormat="false" ht="23.85" hidden="false" customHeight="false" outlineLevel="0" collapsed="false">
      <c r="A186" s="2" t="s">
        <v>795</v>
      </c>
      <c r="B186" s="2" t="n">
        <v>3</v>
      </c>
      <c r="C186" s="2" t="s">
        <v>796</v>
      </c>
      <c r="D186" s="2" t="s">
        <v>1342</v>
      </c>
      <c r="E186" s="2" t="n">
        <v>3</v>
      </c>
      <c r="F186" s="2" t="n">
        <f aca="false">SUMPRODUCT(('Anh xa'!$A$2:$A$581=A186)*1)</f>
        <v>3</v>
      </c>
      <c r="G186" s="2" t="str">
        <f aca="false">IF(F186&gt;0,"✓","THIẾU")</f>
        <v>✓</v>
      </c>
    </row>
    <row r="187" customFormat="false" ht="15" hidden="false" customHeight="false" outlineLevel="0" collapsed="false">
      <c r="A187" s="2" t="s">
        <v>797</v>
      </c>
      <c r="B187" s="2" t="n">
        <v>2</v>
      </c>
      <c r="C187" s="2" t="s">
        <v>798</v>
      </c>
      <c r="D187" s="2" t="s">
        <v>1202</v>
      </c>
      <c r="E187" s="2" t="n">
        <v>3</v>
      </c>
      <c r="F187" s="2" t="n">
        <f aca="false">SUMPRODUCT(('Anh xa'!$A$2:$A$581=A187)*1)</f>
        <v>3</v>
      </c>
      <c r="G187" s="2" t="str">
        <f aca="false">IF(F187&gt;0,"✓","THIẾU")</f>
        <v>✓</v>
      </c>
    </row>
    <row r="188" customFormat="false" ht="15" hidden="false" customHeight="false" outlineLevel="0" collapsed="false">
      <c r="A188" s="2" t="s">
        <v>799</v>
      </c>
      <c r="B188" s="2" t="n">
        <v>3</v>
      </c>
      <c r="C188" s="2" t="s">
        <v>800</v>
      </c>
      <c r="D188" s="2" t="s">
        <v>1343</v>
      </c>
      <c r="E188" s="2" t="n">
        <v>2</v>
      </c>
      <c r="F188" s="2" t="n">
        <f aca="false">SUMPRODUCT(('Anh xa'!$A$2:$A$581=A188)*1)</f>
        <v>2</v>
      </c>
      <c r="G188" s="2" t="str">
        <f aca="false">IF(F188&gt;0,"✓","THIẾU")</f>
        <v>✓</v>
      </c>
    </row>
    <row r="189" customFormat="false" ht="15" hidden="false" customHeight="false" outlineLevel="0" collapsed="false">
      <c r="A189" s="2" t="s">
        <v>801</v>
      </c>
      <c r="B189" s="2" t="n">
        <v>3</v>
      </c>
      <c r="C189" s="2" t="s">
        <v>802</v>
      </c>
      <c r="D189" s="2" t="s">
        <v>499</v>
      </c>
      <c r="E189" s="2" t="n">
        <v>1</v>
      </c>
      <c r="F189" s="2" t="n">
        <f aca="false">SUMPRODUCT(('Anh xa'!$A$2:$A$581=A189)*1)</f>
        <v>1</v>
      </c>
      <c r="G189" s="2" t="str">
        <f aca="false">IF(F189&gt;0,"✓","THIẾU")</f>
        <v>✓</v>
      </c>
    </row>
    <row r="190" customFormat="false" ht="15" hidden="false" customHeight="false" outlineLevel="0" collapsed="false">
      <c r="A190" s="2" t="s">
        <v>803</v>
      </c>
      <c r="B190" s="2" t="n">
        <v>3</v>
      </c>
      <c r="C190" s="2" t="s">
        <v>804</v>
      </c>
      <c r="D190" s="2" t="s">
        <v>1344</v>
      </c>
      <c r="E190" s="2" t="n">
        <v>2</v>
      </c>
      <c r="F190" s="2" t="n">
        <f aca="false">SUMPRODUCT(('Anh xa'!$A$2:$A$581=A190)*1)</f>
        <v>2</v>
      </c>
      <c r="G190" s="2" t="str">
        <f aca="false">IF(F190&gt;0,"✓","THIẾU")</f>
        <v>✓</v>
      </c>
    </row>
    <row r="191" customFormat="false" ht="15" hidden="false" customHeight="false" outlineLevel="0" collapsed="false">
      <c r="A191" s="2" t="s">
        <v>805</v>
      </c>
      <c r="B191" s="2" t="n">
        <v>2</v>
      </c>
      <c r="C191" s="2" t="s">
        <v>806</v>
      </c>
      <c r="D191" s="2" t="s">
        <v>267</v>
      </c>
      <c r="E191" s="2" t="n">
        <v>1</v>
      </c>
      <c r="F191" s="2" t="n">
        <f aca="false">SUMPRODUCT(('Anh xa'!$A$2:$A$581=A191)*1)</f>
        <v>1</v>
      </c>
      <c r="G191" s="2" t="str">
        <f aca="false">IF(F191&gt;0,"✓","THIẾU")</f>
        <v>✓</v>
      </c>
    </row>
    <row r="192" customFormat="false" ht="23.85" hidden="false" customHeight="false" outlineLevel="0" collapsed="false">
      <c r="A192" s="2" t="s">
        <v>807</v>
      </c>
      <c r="B192" s="2" t="n">
        <v>3</v>
      </c>
      <c r="C192" s="2" t="s">
        <v>808</v>
      </c>
      <c r="D192" s="2" t="s">
        <v>1345</v>
      </c>
      <c r="E192" s="2" t="n">
        <v>5</v>
      </c>
      <c r="F192" s="2" t="n">
        <f aca="false">SUMPRODUCT(('Anh xa'!$A$2:$A$581=A192)*1)</f>
        <v>5</v>
      </c>
      <c r="G192" s="2" t="str">
        <f aca="false">IF(F192&gt;0,"✓","THIẾU")</f>
        <v>✓</v>
      </c>
    </row>
    <row r="193" customFormat="false" ht="15" hidden="false" customHeight="false" outlineLevel="0" collapsed="false">
      <c r="A193" s="2" t="s">
        <v>809</v>
      </c>
      <c r="B193" s="2" t="n">
        <v>2</v>
      </c>
      <c r="C193" s="2" t="s">
        <v>810</v>
      </c>
      <c r="D193" s="2" t="s">
        <v>1346</v>
      </c>
      <c r="E193" s="2" t="n">
        <v>4</v>
      </c>
      <c r="F193" s="2" t="n">
        <f aca="false">SUMPRODUCT(('Anh xa'!$A$2:$A$581=A193)*1)</f>
        <v>4</v>
      </c>
      <c r="G193" s="2" t="str">
        <f aca="false">IF(F193&gt;0,"✓","THIẾU")</f>
        <v>✓</v>
      </c>
    </row>
    <row r="194" customFormat="false" ht="23.85" hidden="false" customHeight="false" outlineLevel="0" collapsed="false">
      <c r="A194" s="2" t="s">
        <v>817</v>
      </c>
      <c r="B194" s="2" t="n">
        <v>3</v>
      </c>
      <c r="C194" s="2" t="s">
        <v>818</v>
      </c>
      <c r="D194" s="2" t="s">
        <v>1347</v>
      </c>
      <c r="E194" s="2" t="n">
        <v>3</v>
      </c>
      <c r="F194" s="2" t="n">
        <f aca="false">SUMPRODUCT(('Anh xa'!$A$2:$A$581=A194)*1)</f>
        <v>3</v>
      </c>
      <c r="G194" s="2" t="str">
        <f aca="false">IF(F194&gt;0,"✓","THIẾU")</f>
        <v>✓</v>
      </c>
    </row>
    <row r="195" customFormat="false" ht="15" hidden="false" customHeight="false" outlineLevel="0" collapsed="false">
      <c r="A195" s="2" t="s">
        <v>819</v>
      </c>
      <c r="B195" s="2" t="n">
        <v>3</v>
      </c>
      <c r="C195" s="2" t="s">
        <v>820</v>
      </c>
      <c r="D195" s="2" t="s">
        <v>499</v>
      </c>
      <c r="E195" s="2" t="n">
        <v>1</v>
      </c>
      <c r="F195" s="2" t="n">
        <f aca="false">SUMPRODUCT(('Anh xa'!$A$2:$A$581=A195)*1)</f>
        <v>1</v>
      </c>
      <c r="G195" s="2" t="str">
        <f aca="false">IF(F195&gt;0,"✓","THIẾU")</f>
        <v>✓</v>
      </c>
    </row>
    <row r="196" customFormat="false" ht="15" hidden="false" customHeight="false" outlineLevel="0" collapsed="false">
      <c r="A196" s="2" t="s">
        <v>821</v>
      </c>
      <c r="B196" s="2" t="n">
        <v>3</v>
      </c>
      <c r="C196" s="2" t="s">
        <v>822</v>
      </c>
      <c r="D196" s="2" t="s">
        <v>1303</v>
      </c>
      <c r="E196" s="2" t="n">
        <v>2</v>
      </c>
      <c r="F196" s="2" t="n">
        <f aca="false">SUMPRODUCT(('Anh xa'!$A$2:$A$581=A196)*1)</f>
        <v>2</v>
      </c>
      <c r="G196" s="2" t="str">
        <f aca="false">IF(F196&gt;0,"✓","THIẾU")</f>
        <v>✓</v>
      </c>
    </row>
    <row r="197" customFormat="false" ht="15" hidden="false" customHeight="false" outlineLevel="0" collapsed="false">
      <c r="A197" s="2" t="s">
        <v>823</v>
      </c>
      <c r="B197" s="2" t="n">
        <v>3</v>
      </c>
      <c r="C197" s="2" t="s">
        <v>824</v>
      </c>
      <c r="D197" s="2" t="s">
        <v>1348</v>
      </c>
      <c r="E197" s="2" t="n">
        <v>3</v>
      </c>
      <c r="F197" s="2" t="n">
        <f aca="false">SUMPRODUCT(('Anh xa'!$A$2:$A$581=A197)*1)</f>
        <v>3</v>
      </c>
      <c r="G197" s="2" t="str">
        <f aca="false">IF(F197&gt;0,"✓","THIẾU")</f>
        <v>✓</v>
      </c>
    </row>
    <row r="198" customFormat="false" ht="15" hidden="false" customHeight="false" outlineLevel="0" collapsed="false">
      <c r="A198" s="2" t="s">
        <v>829</v>
      </c>
      <c r="B198" s="2" t="n">
        <v>3</v>
      </c>
      <c r="C198" s="2" t="s">
        <v>830</v>
      </c>
      <c r="D198" s="2" t="s">
        <v>1218</v>
      </c>
      <c r="E198" s="2" t="n">
        <v>2</v>
      </c>
      <c r="F198" s="2" t="n">
        <f aca="false">SUMPRODUCT(('Anh xa'!$A$2:$A$581=A198)*1)</f>
        <v>2</v>
      </c>
      <c r="G198" s="2" t="str">
        <f aca="false">IF(F198&gt;0,"✓","THIẾU")</f>
        <v>✓</v>
      </c>
    </row>
    <row r="199" customFormat="false" ht="15" hidden="false" customHeight="false" outlineLevel="0" collapsed="false">
      <c r="A199" s="2" t="s">
        <v>831</v>
      </c>
      <c r="B199" s="2" t="n">
        <v>3</v>
      </c>
      <c r="C199" s="2" t="s">
        <v>832</v>
      </c>
      <c r="D199" s="2" t="s">
        <v>1349</v>
      </c>
      <c r="E199" s="2" t="n">
        <v>2</v>
      </c>
      <c r="F199" s="2" t="n">
        <f aca="false">SUMPRODUCT(('Anh xa'!$A$2:$A$581=A199)*1)</f>
        <v>2</v>
      </c>
      <c r="G199" s="2" t="str">
        <f aca="false">IF(F199&gt;0,"✓","THIẾU")</f>
        <v>✓</v>
      </c>
    </row>
    <row r="200" customFormat="false" ht="15" hidden="false" customHeight="false" outlineLevel="0" collapsed="false">
      <c r="A200" s="2" t="s">
        <v>833</v>
      </c>
      <c r="B200" s="2" t="n">
        <v>2</v>
      </c>
      <c r="C200" s="2" t="s">
        <v>834</v>
      </c>
      <c r="D200" s="2" t="s">
        <v>1350</v>
      </c>
      <c r="E200" s="2" t="n">
        <v>3</v>
      </c>
      <c r="F200" s="2" t="n">
        <f aca="false">SUMPRODUCT(('Anh xa'!$A$2:$A$581=A200)*1)</f>
        <v>3</v>
      </c>
      <c r="G200" s="2" t="str">
        <f aca="false">IF(F200&gt;0,"✓","THIẾU")</f>
        <v>✓</v>
      </c>
    </row>
    <row r="201" customFormat="false" ht="23.85" hidden="false" customHeight="false" outlineLevel="0" collapsed="false">
      <c r="A201" s="2" t="s">
        <v>836</v>
      </c>
      <c r="B201" s="2" t="n">
        <v>3</v>
      </c>
      <c r="C201" s="2" t="s">
        <v>837</v>
      </c>
      <c r="D201" s="2" t="s">
        <v>1351</v>
      </c>
      <c r="E201" s="2" t="n">
        <v>2</v>
      </c>
      <c r="F201" s="2" t="n">
        <f aca="false">SUMPRODUCT(('Anh xa'!$A$2:$A$581=A201)*1)</f>
        <v>2</v>
      </c>
      <c r="G201" s="2" t="str">
        <f aca="false">IF(F201&gt;0,"✓","THIẾU")</f>
        <v>✓</v>
      </c>
    </row>
    <row r="202" customFormat="false" ht="15" hidden="false" customHeight="false" outlineLevel="0" collapsed="false">
      <c r="A202" s="2" t="s">
        <v>838</v>
      </c>
      <c r="B202" s="2" t="n">
        <v>3</v>
      </c>
      <c r="C202" s="2" t="s">
        <v>839</v>
      </c>
      <c r="D202" s="2" t="s">
        <v>1218</v>
      </c>
      <c r="E202" s="2" t="n">
        <v>2</v>
      </c>
      <c r="F202" s="2" t="n">
        <f aca="false">SUMPRODUCT(('Anh xa'!$A$2:$A$581=A202)*1)</f>
        <v>2</v>
      </c>
      <c r="G202" s="2" t="str">
        <f aca="false">IF(F202&gt;0,"✓","THIẾU")</f>
        <v>✓</v>
      </c>
    </row>
    <row r="203" customFormat="false" ht="15" hidden="false" customHeight="false" outlineLevel="0" collapsed="false">
      <c r="A203" s="2" t="s">
        <v>840</v>
      </c>
      <c r="B203" s="2" t="n">
        <v>3</v>
      </c>
      <c r="C203" s="2" t="s">
        <v>841</v>
      </c>
      <c r="D203" s="2" t="s">
        <v>1352</v>
      </c>
      <c r="E203" s="2" t="n">
        <v>3</v>
      </c>
      <c r="F203" s="2" t="n">
        <f aca="false">SUMPRODUCT(('Anh xa'!$A$2:$A$581=A203)*1)</f>
        <v>3</v>
      </c>
      <c r="G203" s="2" t="str">
        <f aca="false">IF(F203&gt;0,"✓","THIẾU")</f>
        <v>✓</v>
      </c>
    </row>
    <row r="204" customFormat="false" ht="15" hidden="false" customHeight="false" outlineLevel="0" collapsed="false">
      <c r="A204" s="2" t="s">
        <v>846</v>
      </c>
      <c r="B204" s="2" t="n">
        <v>3</v>
      </c>
      <c r="C204" s="2" t="s">
        <v>847</v>
      </c>
      <c r="D204" s="2" t="s">
        <v>848</v>
      </c>
      <c r="E204" s="2" t="n">
        <v>1</v>
      </c>
      <c r="F204" s="2" t="n">
        <f aca="false">SUMPRODUCT(('Anh xa'!$A$2:$A$581=A204)*1)</f>
        <v>1</v>
      </c>
      <c r="G204" s="2" t="str">
        <f aca="false">IF(F204&gt;0,"✓","THIẾU")</f>
        <v>✓</v>
      </c>
    </row>
    <row r="205" customFormat="false" ht="15" hidden="false" customHeight="false" outlineLevel="0" collapsed="false">
      <c r="A205" s="2" t="s">
        <v>850</v>
      </c>
      <c r="B205" s="2" t="n">
        <v>3</v>
      </c>
      <c r="C205" s="2" t="s">
        <v>851</v>
      </c>
      <c r="D205" s="2" t="s">
        <v>1353</v>
      </c>
      <c r="E205" s="2" t="n">
        <v>2</v>
      </c>
      <c r="F205" s="2" t="n">
        <f aca="false">SUMPRODUCT(('Anh xa'!$A$2:$A$581=A205)*1)</f>
        <v>2</v>
      </c>
      <c r="G205" s="2" t="str">
        <f aca="false">IF(F205&gt;0,"✓","THIẾU")</f>
        <v>✓</v>
      </c>
    </row>
    <row r="206" customFormat="false" ht="15" hidden="false" customHeight="false" outlineLevel="0" collapsed="false">
      <c r="A206" s="2" t="s">
        <v>854</v>
      </c>
      <c r="B206" s="2" t="n">
        <v>3</v>
      </c>
      <c r="C206" s="2" t="s">
        <v>855</v>
      </c>
      <c r="D206" s="2" t="s">
        <v>856</v>
      </c>
      <c r="E206" s="2" t="n">
        <v>1</v>
      </c>
      <c r="F206" s="2" t="n">
        <f aca="false">SUMPRODUCT(('Anh xa'!$A$2:$A$581=A206)*1)</f>
        <v>1</v>
      </c>
      <c r="G206" s="2" t="str">
        <f aca="false">IF(F206&gt;0,"✓","THIẾU")</f>
        <v>✓</v>
      </c>
    </row>
    <row r="207" customFormat="false" ht="15" hidden="false" customHeight="false" outlineLevel="0" collapsed="false">
      <c r="A207" s="2" t="s">
        <v>858</v>
      </c>
      <c r="B207" s="2" t="n">
        <v>2</v>
      </c>
      <c r="C207" s="2" t="s">
        <v>859</v>
      </c>
      <c r="D207" s="2" t="s">
        <v>1238</v>
      </c>
      <c r="E207" s="2" t="n">
        <v>2</v>
      </c>
      <c r="F207" s="2" t="n">
        <f aca="false">SUMPRODUCT(('Anh xa'!$A$2:$A$581=A207)*1)</f>
        <v>2</v>
      </c>
      <c r="G207" s="2" t="str">
        <f aca="false">IF(F207&gt;0,"✓","THIẾU")</f>
        <v>✓</v>
      </c>
    </row>
    <row r="208" customFormat="false" ht="15" hidden="false" customHeight="false" outlineLevel="0" collapsed="false">
      <c r="A208" s="2" t="s">
        <v>860</v>
      </c>
      <c r="B208" s="2" t="n">
        <v>3</v>
      </c>
      <c r="C208" s="2" t="s">
        <v>861</v>
      </c>
      <c r="D208" s="2" t="s">
        <v>1238</v>
      </c>
      <c r="E208" s="2" t="n">
        <v>2</v>
      </c>
      <c r="F208" s="2" t="n">
        <f aca="false">SUMPRODUCT(('Anh xa'!$A$2:$A$581=A208)*1)</f>
        <v>2</v>
      </c>
      <c r="G208" s="2" t="str">
        <f aca="false">IF(F208&gt;0,"✓","THIẾU")</f>
        <v>✓</v>
      </c>
    </row>
    <row r="209" customFormat="false" ht="15" hidden="false" customHeight="false" outlineLevel="0" collapsed="false">
      <c r="A209" s="2" t="s">
        <v>862</v>
      </c>
      <c r="B209" s="2" t="n">
        <v>3</v>
      </c>
      <c r="C209" s="2" t="s">
        <v>863</v>
      </c>
      <c r="D209" s="2" t="s">
        <v>1354</v>
      </c>
      <c r="E209" s="2" t="n">
        <v>2</v>
      </c>
      <c r="F209" s="2" t="n">
        <f aca="false">SUMPRODUCT(('Anh xa'!$A$2:$A$581=A209)*1)</f>
        <v>2</v>
      </c>
      <c r="G209" s="2" t="str">
        <f aca="false">IF(F209&gt;0,"✓","THIẾU")</f>
        <v>✓</v>
      </c>
    </row>
    <row r="210" customFormat="false" ht="15" hidden="false" customHeight="false" outlineLevel="0" collapsed="false">
      <c r="A210" s="2" t="s">
        <v>864</v>
      </c>
      <c r="B210" s="2" t="n">
        <v>2</v>
      </c>
      <c r="C210" s="2" t="s">
        <v>865</v>
      </c>
      <c r="D210" s="2" t="s">
        <v>114</v>
      </c>
      <c r="E210" s="2" t="n">
        <v>1</v>
      </c>
      <c r="F210" s="2" t="n">
        <f aca="false">SUMPRODUCT(('Anh xa'!$A$2:$A$581=A210)*1)</f>
        <v>1</v>
      </c>
      <c r="G210" s="2" t="str">
        <f aca="false">IF(F210&gt;0,"✓","THIẾU")</f>
        <v>✓</v>
      </c>
    </row>
    <row r="211" customFormat="false" ht="23.85" hidden="false" customHeight="false" outlineLevel="0" collapsed="false">
      <c r="A211" s="2" t="s">
        <v>866</v>
      </c>
      <c r="B211" s="2" t="n">
        <v>3</v>
      </c>
      <c r="C211" s="2" t="s">
        <v>867</v>
      </c>
      <c r="D211" s="2" t="s">
        <v>1355</v>
      </c>
      <c r="E211" s="2" t="n">
        <v>3</v>
      </c>
      <c r="F211" s="2" t="n">
        <f aca="false">SUMPRODUCT(('Anh xa'!$A$2:$A$581=A211)*1)</f>
        <v>3</v>
      </c>
      <c r="G211" s="2" t="str">
        <f aca="false">IF(F211&gt;0,"✓","THIẾU")</f>
        <v>✓</v>
      </c>
    </row>
    <row r="212" customFormat="false" ht="15" hidden="false" customHeight="false" outlineLevel="0" collapsed="false">
      <c r="A212" s="2" t="s">
        <v>870</v>
      </c>
      <c r="B212" s="2" t="n">
        <v>2</v>
      </c>
      <c r="C212" s="2" t="s">
        <v>871</v>
      </c>
      <c r="D212" s="2" t="s">
        <v>1356</v>
      </c>
      <c r="E212" s="2" t="n">
        <v>3</v>
      </c>
      <c r="F212" s="2" t="n">
        <f aca="false">SUMPRODUCT(('Anh xa'!$A$2:$A$581=A212)*1)</f>
        <v>3</v>
      </c>
      <c r="G212" s="2" t="str">
        <f aca="false">IF(F212&gt;0,"✓","THIẾU")</f>
        <v>✓</v>
      </c>
    </row>
    <row r="213" customFormat="false" ht="23.85" hidden="false" customHeight="false" outlineLevel="0" collapsed="false">
      <c r="A213" s="2" t="s">
        <v>874</v>
      </c>
      <c r="B213" s="2" t="n">
        <v>3</v>
      </c>
      <c r="C213" s="2" t="s">
        <v>875</v>
      </c>
      <c r="D213" s="2" t="s">
        <v>1357</v>
      </c>
      <c r="E213" s="2" t="n">
        <v>2</v>
      </c>
      <c r="F213" s="2" t="n">
        <f aca="false">SUMPRODUCT(('Anh xa'!$A$2:$A$581=A213)*1)</f>
        <v>2</v>
      </c>
      <c r="G213" s="2" t="str">
        <f aca="false">IF(F213&gt;0,"✓","THIẾU")</f>
        <v>✓</v>
      </c>
    </row>
    <row r="214" customFormat="false" ht="15" hidden="false" customHeight="false" outlineLevel="0" collapsed="false">
      <c r="A214" s="2" t="s">
        <v>876</v>
      </c>
      <c r="B214" s="2" t="n">
        <v>3</v>
      </c>
      <c r="C214" s="2" t="s">
        <v>877</v>
      </c>
      <c r="D214" s="2" t="s">
        <v>1358</v>
      </c>
      <c r="E214" s="2" t="n">
        <v>2</v>
      </c>
      <c r="F214" s="2" t="n">
        <f aca="false">SUMPRODUCT(('Anh xa'!$A$2:$A$581=A214)*1)</f>
        <v>2</v>
      </c>
      <c r="G214" s="2" t="str">
        <f aca="false">IF(F214&gt;0,"✓","THIẾU")</f>
        <v>✓</v>
      </c>
    </row>
    <row r="215" customFormat="false" ht="15" hidden="false" customHeight="false" outlineLevel="0" collapsed="false">
      <c r="A215" s="2" t="s">
        <v>878</v>
      </c>
      <c r="B215" s="2" t="n">
        <v>3</v>
      </c>
      <c r="C215" s="2" t="s">
        <v>879</v>
      </c>
      <c r="D215" s="2" t="s">
        <v>597</v>
      </c>
      <c r="E215" s="2" t="n">
        <v>1</v>
      </c>
      <c r="F215" s="2" t="n">
        <f aca="false">SUMPRODUCT(('Anh xa'!$A$2:$A$581=A215)*1)</f>
        <v>1</v>
      </c>
      <c r="G215" s="2" t="str">
        <f aca="false">IF(F215&gt;0,"✓","THIẾU")</f>
        <v>✓</v>
      </c>
    </row>
    <row r="216" customFormat="false" ht="15" hidden="false" customHeight="false" outlineLevel="0" collapsed="false">
      <c r="A216" s="2" t="s">
        <v>880</v>
      </c>
      <c r="B216" s="2" t="n">
        <v>3</v>
      </c>
      <c r="C216" s="2" t="s">
        <v>881</v>
      </c>
      <c r="D216" s="2" t="s">
        <v>213</v>
      </c>
      <c r="E216" s="2" t="n">
        <v>1</v>
      </c>
      <c r="F216" s="2" t="n">
        <f aca="false">SUMPRODUCT(('Anh xa'!$A$2:$A$581=A216)*1)</f>
        <v>1</v>
      </c>
      <c r="G216" s="2" t="str">
        <f aca="false">IF(F216&gt;0,"✓","THIẾU")</f>
        <v>✓</v>
      </c>
    </row>
    <row r="217" customFormat="false" ht="15" hidden="false" customHeight="false" outlineLevel="0" collapsed="false">
      <c r="A217" s="2" t="s">
        <v>882</v>
      </c>
      <c r="B217" s="2" t="n">
        <v>3</v>
      </c>
      <c r="C217" s="2" t="s">
        <v>883</v>
      </c>
      <c r="D217" s="2" t="s">
        <v>438</v>
      </c>
      <c r="E217" s="2" t="n">
        <v>1</v>
      </c>
      <c r="F217" s="2" t="n">
        <f aca="false">SUMPRODUCT(('Anh xa'!$A$2:$A$581=A217)*1)</f>
        <v>1</v>
      </c>
      <c r="G217" s="2" t="str">
        <f aca="false">IF(F217&gt;0,"✓","THIẾU")</f>
        <v>✓</v>
      </c>
    </row>
    <row r="218" customFormat="false" ht="15" hidden="false" customHeight="false" outlineLevel="0" collapsed="false">
      <c r="A218" s="2" t="s">
        <v>884</v>
      </c>
      <c r="B218" s="2" t="n">
        <v>3</v>
      </c>
      <c r="C218" s="2" t="s">
        <v>885</v>
      </c>
      <c r="D218" s="2" t="s">
        <v>376</v>
      </c>
      <c r="E218" s="2" t="n">
        <v>1</v>
      </c>
      <c r="F218" s="2" t="n">
        <f aca="false">SUMPRODUCT(('Anh xa'!$A$2:$A$581=A218)*1)</f>
        <v>1</v>
      </c>
      <c r="G218" s="2" t="str">
        <f aca="false">IF(F218&gt;0,"✓","THIẾU")</f>
        <v>✓</v>
      </c>
    </row>
    <row r="219" customFormat="false" ht="15" hidden="false" customHeight="false" outlineLevel="0" collapsed="false">
      <c r="A219" s="2" t="s">
        <v>886</v>
      </c>
      <c r="B219" s="2" t="n">
        <v>3</v>
      </c>
      <c r="C219" s="2" t="s">
        <v>887</v>
      </c>
      <c r="D219" s="2" t="s">
        <v>227</v>
      </c>
      <c r="E219" s="2" t="n">
        <v>1</v>
      </c>
      <c r="F219" s="2" t="n">
        <f aca="false">SUMPRODUCT(('Anh xa'!$A$2:$A$581=A219)*1)</f>
        <v>1</v>
      </c>
      <c r="G219" s="2" t="str">
        <f aca="false">IF(F219&gt;0,"✓","THIẾU")</f>
        <v>✓</v>
      </c>
    </row>
    <row r="220" customFormat="false" ht="15" hidden="false" customHeight="false" outlineLevel="0" collapsed="false">
      <c r="A220" s="2" t="s">
        <v>888</v>
      </c>
      <c r="B220" s="2" t="n">
        <v>3</v>
      </c>
      <c r="C220" s="2" t="s">
        <v>889</v>
      </c>
      <c r="D220" s="2" t="s">
        <v>591</v>
      </c>
      <c r="E220" s="2" t="n">
        <v>1</v>
      </c>
      <c r="F220" s="2" t="n">
        <f aca="false">SUMPRODUCT(('Anh xa'!$A$2:$A$581=A220)*1)</f>
        <v>1</v>
      </c>
      <c r="G220" s="2" t="str">
        <f aca="false">IF(F220&gt;0,"✓","THIẾU")</f>
        <v>✓</v>
      </c>
    </row>
    <row r="221" customFormat="false" ht="15" hidden="false" customHeight="false" outlineLevel="0" collapsed="false">
      <c r="A221" s="2" t="s">
        <v>890</v>
      </c>
      <c r="B221" s="2" t="n">
        <v>3</v>
      </c>
      <c r="C221" s="2" t="s">
        <v>891</v>
      </c>
      <c r="D221" s="2" t="s">
        <v>682</v>
      </c>
      <c r="E221" s="2" t="n">
        <v>1</v>
      </c>
      <c r="F221" s="2" t="n">
        <f aca="false">SUMPRODUCT(('Anh xa'!$A$2:$A$581=A221)*1)</f>
        <v>1</v>
      </c>
      <c r="G221" s="2" t="str">
        <f aca="false">IF(F221&gt;0,"✓","THIẾU")</f>
        <v>✓</v>
      </c>
    </row>
    <row r="222" customFormat="false" ht="15" hidden="false" customHeight="false" outlineLevel="0" collapsed="false">
      <c r="A222" s="2" t="s">
        <v>892</v>
      </c>
      <c r="B222" s="2" t="n">
        <v>3</v>
      </c>
      <c r="C222" s="2" t="s">
        <v>893</v>
      </c>
      <c r="D222" s="2" t="s">
        <v>629</v>
      </c>
      <c r="E222" s="2" t="n">
        <v>1</v>
      </c>
      <c r="F222" s="2" t="n">
        <f aca="false">SUMPRODUCT(('Anh xa'!$A$2:$A$581=A222)*1)</f>
        <v>1</v>
      </c>
      <c r="G222" s="2" t="str">
        <f aca="false">IF(F222&gt;0,"✓","THIẾU")</f>
        <v>✓</v>
      </c>
    </row>
    <row r="223" customFormat="false" ht="15" hidden="false" customHeight="false" outlineLevel="0" collapsed="false">
      <c r="A223" s="2" t="s">
        <v>894</v>
      </c>
      <c r="B223" s="2" t="n">
        <v>3</v>
      </c>
      <c r="C223" s="2" t="s">
        <v>895</v>
      </c>
      <c r="D223" s="2" t="s">
        <v>727</v>
      </c>
      <c r="E223" s="2" t="n">
        <v>1</v>
      </c>
      <c r="F223" s="2" t="n">
        <f aca="false">SUMPRODUCT(('Anh xa'!$A$2:$A$581=A223)*1)</f>
        <v>1</v>
      </c>
      <c r="G223" s="2" t="str">
        <f aca="false">IF(F223&gt;0,"✓","THIẾU")</f>
        <v>✓</v>
      </c>
    </row>
    <row r="224" customFormat="false" ht="15" hidden="false" customHeight="false" outlineLevel="0" collapsed="false">
      <c r="A224" s="2" t="s">
        <v>896</v>
      </c>
      <c r="B224" s="2" t="n">
        <v>3</v>
      </c>
      <c r="C224" s="2" t="s">
        <v>897</v>
      </c>
      <c r="D224" s="2" t="s">
        <v>770</v>
      </c>
      <c r="E224" s="2" t="n">
        <v>1</v>
      </c>
      <c r="F224" s="2" t="n">
        <f aca="false">SUMPRODUCT(('Anh xa'!$A$2:$A$581=A224)*1)</f>
        <v>1</v>
      </c>
      <c r="G224" s="2" t="str">
        <f aca="false">IF(F224&gt;0,"✓","THIẾU")</f>
        <v>✓</v>
      </c>
    </row>
    <row r="225" customFormat="false" ht="15" hidden="false" customHeight="false" outlineLevel="0" collapsed="false">
      <c r="A225" s="2" t="s">
        <v>898</v>
      </c>
      <c r="B225" s="2" t="n">
        <v>3</v>
      </c>
      <c r="C225" s="2" t="s">
        <v>899</v>
      </c>
      <c r="D225" s="2" t="s">
        <v>784</v>
      </c>
      <c r="E225" s="2" t="n">
        <v>1</v>
      </c>
      <c r="F225" s="2" t="n">
        <f aca="false">SUMPRODUCT(('Anh xa'!$A$2:$A$581=A225)*1)</f>
        <v>1</v>
      </c>
      <c r="G225" s="2" t="str">
        <f aca="false">IF(F225&gt;0,"✓","THIẾU")</f>
        <v>✓</v>
      </c>
    </row>
    <row r="226" customFormat="false" ht="15" hidden="false" customHeight="false" outlineLevel="0" collapsed="false">
      <c r="A226" s="2" t="s">
        <v>900</v>
      </c>
      <c r="B226" s="2" t="n">
        <v>3</v>
      </c>
      <c r="C226" s="2" t="s">
        <v>901</v>
      </c>
      <c r="D226" s="2" t="s">
        <v>827</v>
      </c>
      <c r="E226" s="2" t="n">
        <v>1</v>
      </c>
      <c r="F226" s="2" t="n">
        <f aca="false">SUMPRODUCT(('Anh xa'!$A$2:$A$581=A226)*1)</f>
        <v>1</v>
      </c>
      <c r="G226" s="2" t="str">
        <f aca="false">IF(F226&gt;0,"✓","THIẾU")</f>
        <v>✓</v>
      </c>
    </row>
    <row r="227" customFormat="false" ht="15" hidden="false" customHeight="false" outlineLevel="0" collapsed="false">
      <c r="A227" s="2" t="s">
        <v>902</v>
      </c>
      <c r="B227" s="2" t="n">
        <v>3</v>
      </c>
      <c r="C227" s="2" t="s">
        <v>903</v>
      </c>
      <c r="D227" s="2" t="s">
        <v>707</v>
      </c>
      <c r="E227" s="2" t="n">
        <v>1</v>
      </c>
      <c r="F227" s="2" t="n">
        <f aca="false">SUMPRODUCT(('Anh xa'!$A$2:$A$581=A227)*1)</f>
        <v>1</v>
      </c>
      <c r="G227" s="2" t="str">
        <f aca="false">IF(F227&gt;0,"✓","THIẾU")</f>
        <v>✓</v>
      </c>
    </row>
    <row r="228" customFormat="false" ht="15" hidden="false" customHeight="false" outlineLevel="0" collapsed="false">
      <c r="A228" s="2" t="s">
        <v>904</v>
      </c>
      <c r="B228" s="2" t="n">
        <v>2</v>
      </c>
      <c r="C228" s="2" t="s">
        <v>905</v>
      </c>
      <c r="D228" s="2" t="s">
        <v>1359</v>
      </c>
      <c r="E228" s="2" t="n">
        <v>2</v>
      </c>
      <c r="F228" s="2" t="n">
        <f aca="false">SUMPRODUCT(('Anh xa'!$A$2:$A$581=A228)*1)</f>
        <v>2</v>
      </c>
      <c r="G228" s="2" t="str">
        <f aca="false">IF(F228&gt;0,"✓","THIẾU")</f>
        <v>✓</v>
      </c>
    </row>
    <row r="229" customFormat="false" ht="15" hidden="false" customHeight="false" outlineLevel="0" collapsed="false">
      <c r="A229" s="2" t="s">
        <v>906</v>
      </c>
      <c r="B229" s="2" t="n">
        <v>3</v>
      </c>
      <c r="C229" s="2" t="s">
        <v>907</v>
      </c>
      <c r="D229" s="2" t="s">
        <v>1360</v>
      </c>
      <c r="E229" s="2" t="n">
        <v>2</v>
      </c>
      <c r="F229" s="2" t="n">
        <f aca="false">SUMPRODUCT(('Anh xa'!$A$2:$A$581=A229)*1)</f>
        <v>2</v>
      </c>
      <c r="G229" s="2" t="str">
        <f aca="false">IF(F229&gt;0,"✓","THIẾU")</f>
        <v>✓</v>
      </c>
    </row>
    <row r="230" customFormat="false" ht="15" hidden="false" customHeight="false" outlineLevel="0" collapsed="false">
      <c r="A230" s="2" t="s">
        <v>908</v>
      </c>
      <c r="B230" s="2" t="n">
        <v>3</v>
      </c>
      <c r="C230" s="2" t="s">
        <v>909</v>
      </c>
      <c r="D230" s="2" t="s">
        <v>1295</v>
      </c>
      <c r="E230" s="2" t="n">
        <v>2</v>
      </c>
      <c r="F230" s="2" t="n">
        <f aca="false">SUMPRODUCT(('Anh xa'!$A$2:$A$581=A230)*1)</f>
        <v>2</v>
      </c>
      <c r="G230" s="2" t="str">
        <f aca="false">IF(F230&gt;0,"✓","THIẾU")</f>
        <v>✓</v>
      </c>
    </row>
    <row r="231" customFormat="false" ht="15" hidden="false" customHeight="false" outlineLevel="0" collapsed="false">
      <c r="A231" s="2" t="s">
        <v>910</v>
      </c>
      <c r="B231" s="2" t="n">
        <v>3</v>
      </c>
      <c r="C231" s="2" t="s">
        <v>911</v>
      </c>
      <c r="D231" s="2" t="s">
        <v>1361</v>
      </c>
      <c r="E231" s="2" t="n">
        <v>2</v>
      </c>
      <c r="F231" s="2" t="n">
        <f aca="false">SUMPRODUCT(('Anh xa'!$A$2:$A$581=A231)*1)</f>
        <v>2</v>
      </c>
      <c r="G231" s="2" t="str">
        <f aca="false">IF(F231&gt;0,"✓","THIẾU")</f>
        <v>✓</v>
      </c>
    </row>
    <row r="232" customFormat="false" ht="15" hidden="false" customHeight="false" outlineLevel="0" collapsed="false">
      <c r="A232" s="2" t="s">
        <v>912</v>
      </c>
      <c r="B232" s="2" t="n">
        <v>2</v>
      </c>
      <c r="C232" s="2" t="s">
        <v>913</v>
      </c>
      <c r="D232" s="2" t="s">
        <v>126</v>
      </c>
      <c r="E232" s="2" t="n">
        <v>1</v>
      </c>
      <c r="F232" s="2" t="n">
        <f aca="false">SUMPRODUCT(('Anh xa'!$A$2:$A$581=A232)*1)</f>
        <v>1</v>
      </c>
      <c r="G232" s="2" t="str">
        <f aca="false">IF(F232&gt;0,"✓","THIẾU")</f>
        <v>✓</v>
      </c>
    </row>
    <row r="233" customFormat="false" ht="15" hidden="false" customHeight="false" outlineLevel="0" collapsed="false">
      <c r="A233" s="2" t="s">
        <v>914</v>
      </c>
      <c r="B233" s="2" t="n">
        <v>3</v>
      </c>
      <c r="C233" s="2" t="s">
        <v>915</v>
      </c>
      <c r="D233" s="2" t="s">
        <v>1362</v>
      </c>
      <c r="E233" s="2" t="n">
        <v>2</v>
      </c>
      <c r="F233" s="2" t="n">
        <f aca="false">SUMPRODUCT(('Anh xa'!$A$2:$A$581=A233)*1)</f>
        <v>2</v>
      </c>
      <c r="G233" s="2" t="str">
        <f aca="false">IF(F233&gt;0,"✓","THIẾU")</f>
        <v>✓</v>
      </c>
    </row>
    <row r="234" customFormat="false" ht="15" hidden="false" customHeight="false" outlineLevel="0" collapsed="false">
      <c r="A234" s="2" t="s">
        <v>916</v>
      </c>
      <c r="B234" s="2" t="n">
        <v>2</v>
      </c>
      <c r="C234" s="2" t="s">
        <v>917</v>
      </c>
      <c r="D234" s="2" t="s">
        <v>1363</v>
      </c>
      <c r="E234" s="2" t="n">
        <v>2</v>
      </c>
      <c r="F234" s="2" t="n">
        <f aca="false">SUMPRODUCT(('Anh xa'!$A$2:$A$581=A234)*1)</f>
        <v>2</v>
      </c>
      <c r="G234" s="2" t="str">
        <f aca="false">IF(F234&gt;0,"✓","THIẾU")</f>
        <v>✓</v>
      </c>
    </row>
    <row r="235" customFormat="false" ht="15" hidden="false" customHeight="false" outlineLevel="0" collapsed="false">
      <c r="A235" s="2" t="s">
        <v>922</v>
      </c>
      <c r="B235" s="2" t="n">
        <v>3</v>
      </c>
      <c r="C235" s="2" t="s">
        <v>923</v>
      </c>
      <c r="D235" s="2" t="s">
        <v>1364</v>
      </c>
      <c r="E235" s="2" t="n">
        <v>3</v>
      </c>
      <c r="F235" s="2" t="n">
        <f aca="false">SUMPRODUCT(('Anh xa'!$A$2:$A$581=A235)*1)</f>
        <v>3</v>
      </c>
      <c r="G235" s="2" t="str">
        <f aca="false">IF(F235&gt;0,"✓","THIẾU")</f>
        <v>✓</v>
      </c>
    </row>
    <row r="236" customFormat="false" ht="15" hidden="false" customHeight="false" outlineLevel="0" collapsed="false">
      <c r="A236" s="2" t="s">
        <v>924</v>
      </c>
      <c r="B236" s="2" t="n">
        <v>2</v>
      </c>
      <c r="C236" s="2" t="s">
        <v>925</v>
      </c>
      <c r="D236" s="2" t="s">
        <v>1365</v>
      </c>
      <c r="E236" s="2" t="n">
        <v>3</v>
      </c>
      <c r="F236" s="2" t="n">
        <f aca="false">SUMPRODUCT(('Anh xa'!$A$2:$A$581=A236)*1)</f>
        <v>3</v>
      </c>
      <c r="G236" s="2" t="str">
        <f aca="false">IF(F236&gt;0,"✓","THIẾU")</f>
        <v>✓</v>
      </c>
    </row>
    <row r="237" customFormat="false" ht="23.85" hidden="false" customHeight="false" outlineLevel="0" collapsed="false">
      <c r="A237" s="2" t="s">
        <v>930</v>
      </c>
      <c r="B237" s="2" t="n">
        <v>3</v>
      </c>
      <c r="C237" s="2" t="s">
        <v>931</v>
      </c>
      <c r="D237" s="2" t="s">
        <v>1366</v>
      </c>
      <c r="E237" s="2" t="n">
        <v>5</v>
      </c>
      <c r="F237" s="2" t="n">
        <f aca="false">SUMPRODUCT(('Anh xa'!$A$2:$A$581=A237)*1)</f>
        <v>5</v>
      </c>
      <c r="G237" s="2" t="str">
        <f aca="false">IF(F237&gt;0,"✓","THIẾU")</f>
        <v>✓</v>
      </c>
    </row>
    <row r="238" customFormat="false" ht="15" hidden="false" customHeight="false" outlineLevel="0" collapsed="false">
      <c r="A238" s="2" t="s">
        <v>936</v>
      </c>
      <c r="B238" s="2" t="n">
        <v>3</v>
      </c>
      <c r="C238" s="2" t="s">
        <v>937</v>
      </c>
      <c r="D238" s="2" t="s">
        <v>1367</v>
      </c>
      <c r="E238" s="2" t="n">
        <v>2</v>
      </c>
      <c r="F238" s="2" t="n">
        <f aca="false">SUMPRODUCT(('Anh xa'!$A$2:$A$581=A238)*1)</f>
        <v>2</v>
      </c>
      <c r="G238" s="2" t="str">
        <f aca="false">IF(F238&gt;0,"✓","THIẾU")</f>
        <v>✓</v>
      </c>
    </row>
    <row r="239" customFormat="false" ht="15" hidden="false" customHeight="false" outlineLevel="0" collapsed="false">
      <c r="A239" s="2" t="s">
        <v>938</v>
      </c>
      <c r="B239" s="2" t="n">
        <v>2</v>
      </c>
      <c r="C239" s="2" t="s">
        <v>939</v>
      </c>
      <c r="D239" s="2" t="s">
        <v>1368</v>
      </c>
      <c r="E239" s="2" t="n">
        <v>2</v>
      </c>
      <c r="F239" s="2" t="n">
        <f aca="false">SUMPRODUCT(('Anh xa'!$A$2:$A$581=A239)*1)</f>
        <v>2</v>
      </c>
      <c r="G239" s="2" t="str">
        <f aca="false">IF(F239&gt;0,"✓","THIẾU")</f>
        <v>✓</v>
      </c>
    </row>
    <row r="240" customFormat="false" ht="15" hidden="false" customHeight="false" outlineLevel="0" collapsed="false">
      <c r="A240" s="2" t="s">
        <v>940</v>
      </c>
      <c r="B240" s="2" t="n">
        <v>3</v>
      </c>
      <c r="C240" s="2" t="s">
        <v>941</v>
      </c>
      <c r="D240" s="2" t="s">
        <v>1369</v>
      </c>
      <c r="E240" s="2" t="n">
        <v>3</v>
      </c>
      <c r="F240" s="2" t="n">
        <f aca="false">SUMPRODUCT(('Anh xa'!$A$2:$A$581=A240)*1)</f>
        <v>3</v>
      </c>
      <c r="G240" s="2" t="str">
        <f aca="false">IF(F240&gt;0,"✓","THIẾU")</f>
        <v>✓</v>
      </c>
    </row>
    <row r="241" customFormat="false" ht="15" hidden="false" customHeight="false" outlineLevel="0" collapsed="false">
      <c r="A241" s="2" t="s">
        <v>942</v>
      </c>
      <c r="B241" s="2" t="n">
        <v>2</v>
      </c>
      <c r="C241" s="2" t="s">
        <v>943</v>
      </c>
      <c r="D241" s="2" t="s">
        <v>56</v>
      </c>
      <c r="E241" s="2" t="n">
        <v>1</v>
      </c>
      <c r="F241" s="2" t="n">
        <f aca="false">SUMPRODUCT(('Anh xa'!$A$2:$A$581=A241)*1)</f>
        <v>1</v>
      </c>
      <c r="G241" s="2" t="str">
        <f aca="false">IF(F241&gt;0,"✓","THIẾU")</f>
        <v>✓</v>
      </c>
    </row>
    <row r="242" customFormat="false" ht="15" hidden="false" customHeight="false" outlineLevel="0" collapsed="false">
      <c r="A242" s="2" t="s">
        <v>944</v>
      </c>
      <c r="B242" s="2" t="n">
        <v>3</v>
      </c>
      <c r="C242" s="2" t="s">
        <v>945</v>
      </c>
      <c r="D242" s="2" t="s">
        <v>1370</v>
      </c>
      <c r="E242" s="2" t="n">
        <v>2</v>
      </c>
      <c r="F242" s="2" t="n">
        <f aca="false">SUMPRODUCT(('Anh xa'!$A$2:$A$581=A242)*1)</f>
        <v>2</v>
      </c>
      <c r="G242" s="2" t="str">
        <f aca="false">IF(F242&gt;0,"✓","THIẾU")</f>
        <v>✓</v>
      </c>
    </row>
    <row r="243" customFormat="false" ht="23.85" hidden="false" customHeight="false" outlineLevel="0" collapsed="false">
      <c r="A243" s="2" t="s">
        <v>946</v>
      </c>
      <c r="B243" s="2" t="n">
        <v>3</v>
      </c>
      <c r="C243" s="2" t="s">
        <v>947</v>
      </c>
      <c r="D243" s="2" t="s">
        <v>1371</v>
      </c>
      <c r="E243" s="2" t="n">
        <v>3</v>
      </c>
      <c r="F243" s="2" t="n">
        <f aca="false">SUMPRODUCT(('Anh xa'!$A$2:$A$581=A243)*1)</f>
        <v>3</v>
      </c>
      <c r="G243" s="2" t="str">
        <f aca="false">IF(F243&gt;0,"✓","THIẾU")</f>
        <v>✓</v>
      </c>
    </row>
    <row r="244" customFormat="false" ht="15" hidden="false" customHeight="false" outlineLevel="0" collapsed="false">
      <c r="A244" s="2" t="s">
        <v>948</v>
      </c>
      <c r="B244" s="2" t="n">
        <v>3</v>
      </c>
      <c r="C244" s="2" t="s">
        <v>949</v>
      </c>
      <c r="D244" s="2" t="s">
        <v>1372</v>
      </c>
      <c r="E244" s="2" t="n">
        <v>2</v>
      </c>
      <c r="F244" s="2" t="n">
        <f aca="false">SUMPRODUCT(('Anh xa'!$A$2:$A$581=A244)*1)</f>
        <v>2</v>
      </c>
      <c r="G244" s="2" t="str">
        <f aca="false">IF(F244&gt;0,"✓","THIẾU")</f>
        <v>✓</v>
      </c>
    </row>
    <row r="245" customFormat="false" ht="15" hidden="false" customHeight="false" outlineLevel="0" collapsed="false">
      <c r="A245" s="2" t="s">
        <v>950</v>
      </c>
      <c r="B245" s="2" t="n">
        <v>2</v>
      </c>
      <c r="C245" s="2" t="s">
        <v>951</v>
      </c>
      <c r="D245" s="2" t="s">
        <v>952</v>
      </c>
      <c r="E245" s="2" t="n">
        <v>1</v>
      </c>
      <c r="F245" s="2" t="n">
        <f aca="false">SUMPRODUCT(('Anh xa'!$A$2:$A$581=A245)*1)</f>
        <v>1</v>
      </c>
      <c r="G245" s="2" t="str">
        <f aca="false">IF(F245&gt;0,"✓","THIẾU")</f>
        <v>✓</v>
      </c>
    </row>
    <row r="246" customFormat="false" ht="23.85" hidden="false" customHeight="false" outlineLevel="0" collapsed="false">
      <c r="A246" s="2" t="s">
        <v>954</v>
      </c>
      <c r="B246" s="2" t="n">
        <v>3</v>
      </c>
      <c r="C246" s="2" t="s">
        <v>955</v>
      </c>
      <c r="D246" s="2" t="s">
        <v>1373</v>
      </c>
      <c r="E246" s="2" t="n">
        <v>3</v>
      </c>
      <c r="F246" s="2" t="n">
        <f aca="false">SUMPRODUCT(('Anh xa'!$A$2:$A$581=A246)*1)</f>
        <v>3</v>
      </c>
      <c r="G246" s="2" t="str">
        <f aca="false">IF(F246&gt;0,"✓","THIẾU")</f>
        <v>✓</v>
      </c>
    </row>
    <row r="247" customFormat="false" ht="15" hidden="false" customHeight="false" outlineLevel="0" collapsed="false">
      <c r="A247" s="2" t="s">
        <v>958</v>
      </c>
      <c r="B247" s="2" t="n">
        <v>3</v>
      </c>
      <c r="C247" s="2" t="s">
        <v>959</v>
      </c>
      <c r="D247" s="2" t="s">
        <v>1374</v>
      </c>
      <c r="E247" s="2" t="n">
        <v>3</v>
      </c>
      <c r="F247" s="2" t="n">
        <f aca="false">SUMPRODUCT(('Anh xa'!$A$2:$A$581=A247)*1)</f>
        <v>3</v>
      </c>
      <c r="G247" s="2" t="str">
        <f aca="false">IF(F247&gt;0,"✓","THIẾU")</f>
        <v>✓</v>
      </c>
    </row>
    <row r="248" customFormat="false" ht="15" hidden="false" customHeight="false" outlineLevel="0" collapsed="false">
      <c r="A248" s="2" t="s">
        <v>960</v>
      </c>
      <c r="B248" s="2" t="n">
        <v>2</v>
      </c>
      <c r="C248" s="2" t="s">
        <v>961</v>
      </c>
      <c r="D248" s="2" t="s">
        <v>1375</v>
      </c>
      <c r="E248" s="2" t="n">
        <v>2</v>
      </c>
      <c r="F248" s="2" t="n">
        <f aca="false">SUMPRODUCT(('Anh xa'!$A$2:$A$581=A248)*1)</f>
        <v>2</v>
      </c>
      <c r="G248" s="2" t="str">
        <f aca="false">IF(F248&gt;0,"✓","THIẾU")</f>
        <v>✓</v>
      </c>
    </row>
    <row r="249" customFormat="false" ht="15" hidden="false" customHeight="false" outlineLevel="0" collapsed="false">
      <c r="A249" s="2" t="s">
        <v>962</v>
      </c>
      <c r="B249" s="2" t="n">
        <v>3</v>
      </c>
      <c r="C249" s="2" t="s">
        <v>963</v>
      </c>
      <c r="D249" s="2" t="s">
        <v>1376</v>
      </c>
      <c r="E249" s="2" t="n">
        <v>2</v>
      </c>
      <c r="F249" s="2" t="n">
        <f aca="false">SUMPRODUCT(('Anh xa'!$A$2:$A$581=A249)*1)</f>
        <v>2</v>
      </c>
      <c r="G249" s="2" t="str">
        <f aca="false">IF(F249&gt;0,"✓","THIẾU")</f>
        <v>✓</v>
      </c>
    </row>
    <row r="250" customFormat="false" ht="15" hidden="false" customHeight="false" outlineLevel="0" collapsed="false">
      <c r="A250" s="2" t="s">
        <v>964</v>
      </c>
      <c r="B250" s="2" t="n">
        <v>3</v>
      </c>
      <c r="C250" s="2" t="s">
        <v>965</v>
      </c>
      <c r="D250" s="2" t="s">
        <v>1377</v>
      </c>
      <c r="E250" s="2" t="n">
        <v>3</v>
      </c>
      <c r="F250" s="2" t="n">
        <f aca="false">SUMPRODUCT(('Anh xa'!$A$2:$A$581=A250)*1)</f>
        <v>3</v>
      </c>
      <c r="G250" s="2" t="str">
        <f aca="false">IF(F250&gt;0,"✓","THIẾU")</f>
        <v>✓</v>
      </c>
    </row>
    <row r="251" customFormat="false" ht="15" hidden="false" customHeight="false" outlineLevel="0" collapsed="false">
      <c r="A251" s="2" t="s">
        <v>966</v>
      </c>
      <c r="B251" s="2" t="n">
        <v>2</v>
      </c>
      <c r="C251" s="2" t="s">
        <v>232</v>
      </c>
      <c r="D251" s="2" t="s">
        <v>1378</v>
      </c>
      <c r="E251" s="2" t="n">
        <v>2</v>
      </c>
      <c r="F251" s="2" t="n">
        <f aca="false">SUMPRODUCT(('Anh xa'!$A$2:$A$581=A251)*1)</f>
        <v>2</v>
      </c>
      <c r="G251" s="2" t="str">
        <f aca="false">IF(F251&gt;0,"✓","THIẾU")</f>
        <v>✓</v>
      </c>
    </row>
    <row r="252" customFormat="false" ht="15" hidden="false" customHeight="false" outlineLevel="0" collapsed="false">
      <c r="A252" s="2" t="s">
        <v>967</v>
      </c>
      <c r="B252" s="2" t="n">
        <v>3</v>
      </c>
      <c r="C252" s="2" t="s">
        <v>968</v>
      </c>
      <c r="D252" s="2" t="s">
        <v>1379</v>
      </c>
      <c r="E252" s="2" t="n">
        <v>2</v>
      </c>
      <c r="F252" s="2" t="n">
        <f aca="false">SUMPRODUCT(('Anh xa'!$A$2:$A$581=A252)*1)</f>
        <v>2</v>
      </c>
      <c r="G252" s="2" t="str">
        <f aca="false">IF(F252&gt;0,"✓","THIẾU")</f>
        <v>✓</v>
      </c>
    </row>
    <row r="253" customFormat="false" ht="15" hidden="false" customHeight="false" outlineLevel="0" collapsed="false">
      <c r="A253" s="2" t="s">
        <v>969</v>
      </c>
      <c r="B253" s="2" t="n">
        <v>3</v>
      </c>
      <c r="C253" s="2" t="s">
        <v>970</v>
      </c>
      <c r="D253" s="2" t="s">
        <v>1380</v>
      </c>
      <c r="E253" s="2" t="n">
        <v>2</v>
      </c>
      <c r="F253" s="2" t="n">
        <f aca="false">SUMPRODUCT(('Anh xa'!$A$2:$A$581=A253)*1)</f>
        <v>2</v>
      </c>
      <c r="G253" s="2" t="str">
        <f aca="false">IF(F253&gt;0,"✓","THIẾU")</f>
        <v>✓</v>
      </c>
    </row>
    <row r="254" customFormat="false" ht="15" hidden="false" customHeight="false" outlineLevel="0" collapsed="false">
      <c r="A254" s="2" t="s">
        <v>971</v>
      </c>
      <c r="B254" s="2" t="n">
        <v>2</v>
      </c>
      <c r="C254" s="2" t="s">
        <v>413</v>
      </c>
      <c r="D254" s="2" t="s">
        <v>412</v>
      </c>
      <c r="E254" s="2" t="n">
        <v>1</v>
      </c>
      <c r="F254" s="2" t="n">
        <f aca="false">SUMPRODUCT(('Anh xa'!$A$2:$A$581=A254)*1)</f>
        <v>1</v>
      </c>
      <c r="G254" s="2" t="str">
        <f aca="false">IF(F254&gt;0,"✓","THIẾU")</f>
        <v>✓</v>
      </c>
    </row>
    <row r="255" customFormat="false" ht="15" hidden="false" customHeight="false" outlineLevel="0" collapsed="false">
      <c r="A255" s="2" t="s">
        <v>972</v>
      </c>
      <c r="B255" s="2" t="n">
        <v>3</v>
      </c>
      <c r="C255" s="2" t="s">
        <v>973</v>
      </c>
      <c r="D255" s="2" t="s">
        <v>1381</v>
      </c>
      <c r="E255" s="2" t="n">
        <v>3</v>
      </c>
      <c r="F255" s="2" t="n">
        <f aca="false">SUMPRODUCT(('Anh xa'!$A$2:$A$581=A255)*1)</f>
        <v>3</v>
      </c>
      <c r="G255" s="2" t="str">
        <f aca="false">IF(F255&gt;0,"✓","THIẾU")</f>
        <v>✓</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16"/>
    <col collapsed="false" customWidth="true" hidden="false" outlineLevel="0" max="4" min="4" style="0" width="14"/>
  </cols>
  <sheetData>
    <row r="1" customFormat="false" ht="30" hidden="false" customHeight="true" outlineLevel="0" collapsed="false">
      <c r="A1" s="1" t="s">
        <v>36</v>
      </c>
      <c r="B1" s="1" t="s">
        <v>1382</v>
      </c>
      <c r="C1" s="1" t="s">
        <v>1383</v>
      </c>
      <c r="D1" s="1" t="s">
        <v>1384</v>
      </c>
    </row>
    <row r="2" customFormat="false" ht="15" hidden="false" customHeight="false" outlineLevel="0" collapsed="false">
      <c r="A2" s="2" t="s">
        <v>47</v>
      </c>
      <c r="B2" s="2" t="n">
        <f aca="false">COUNTIF('Yeu cau'!B2:B199,A2)</f>
        <v>9</v>
      </c>
      <c r="C2" s="2" t="n">
        <f aca="false">COUNTIFS('Yeu cau'!B2:B199,A2,'Yeu cau'!F2:F199,"Đã phủ")</f>
        <v>9</v>
      </c>
      <c r="D2" s="2" t="n">
        <f aca="false">COUNTIF('Anh xa'!E2:E581,A2)</f>
        <v>48</v>
      </c>
    </row>
    <row r="3" customFormat="false" ht="15" hidden="false" customHeight="false" outlineLevel="0" collapsed="false">
      <c r="A3" s="2" t="s">
        <v>141</v>
      </c>
      <c r="B3" s="2" t="n">
        <f aca="false">COUNTIF('Yeu cau'!B2:B199,A3)</f>
        <v>6</v>
      </c>
      <c r="C3" s="2" t="n">
        <f aca="false">COUNTIFS('Yeu cau'!B2:B199,A3,'Yeu cau'!F2:F199,"Đã phủ")</f>
        <v>6</v>
      </c>
      <c r="D3" s="2" t="n">
        <f aca="false">COUNTIF('Anh xa'!E2:E581,A3)</f>
        <v>21</v>
      </c>
    </row>
    <row r="4" customFormat="false" ht="15" hidden="false" customHeight="false" outlineLevel="0" collapsed="false">
      <c r="A4" s="2" t="s">
        <v>87</v>
      </c>
      <c r="B4" s="2" t="n">
        <f aca="false">COUNTIF('Yeu cau'!B2:B199,A4)</f>
        <v>7</v>
      </c>
      <c r="C4" s="2" t="n">
        <f aca="false">COUNTIFS('Yeu cau'!B2:B199,A4,'Yeu cau'!F2:F199,"Đã phủ")</f>
        <v>7</v>
      </c>
      <c r="D4" s="2" t="n">
        <f aca="false">COUNTIF('Anh xa'!E2:E581,A4)</f>
        <v>11</v>
      </c>
    </row>
    <row r="5" customFormat="false" ht="15" hidden="false" customHeight="false" outlineLevel="0" collapsed="false">
      <c r="A5" s="2" t="s">
        <v>57</v>
      </c>
      <c r="B5" s="2" t="n">
        <f aca="false">COUNTIF('Yeu cau'!B2:B199,A5)</f>
        <v>19</v>
      </c>
      <c r="C5" s="2" t="n">
        <f aca="false">COUNTIFS('Yeu cau'!B2:B199,A5,'Yeu cau'!F2:F199,"Đã phủ")</f>
        <v>19</v>
      </c>
      <c r="D5" s="2" t="n">
        <f aca="false">COUNTIF('Anh xa'!E2:E581,A5)</f>
        <v>65</v>
      </c>
    </row>
    <row r="6" customFormat="false" ht="15" hidden="false" customHeight="false" outlineLevel="0" collapsed="false">
      <c r="A6" s="2" t="s">
        <v>183</v>
      </c>
      <c r="B6" s="2" t="n">
        <f aca="false">COUNTIF('Yeu cau'!B2:B199,A6)</f>
        <v>13</v>
      </c>
      <c r="C6" s="2" t="n">
        <f aca="false">COUNTIFS('Yeu cau'!B2:B199,A6,'Yeu cau'!F2:F199,"Đã phủ")</f>
        <v>13</v>
      </c>
      <c r="D6" s="2" t="n">
        <f aca="false">COUNTIF('Anh xa'!E2:E581,A6)</f>
        <v>77</v>
      </c>
    </row>
    <row r="7" customFormat="false" ht="15" hidden="false" customHeight="false" outlineLevel="0" collapsed="false">
      <c r="A7" s="2" t="s">
        <v>149</v>
      </c>
      <c r="B7" s="2" t="n">
        <f aca="false">COUNTIF('Yeu cau'!B2:B199,A7)</f>
        <v>16</v>
      </c>
      <c r="C7" s="2" t="n">
        <f aca="false">COUNTIFS('Yeu cau'!B2:B199,A7,'Yeu cau'!F2:F199,"Đã phủ")</f>
        <v>16</v>
      </c>
      <c r="D7" s="2" t="n">
        <f aca="false">COUNTIF('Anh xa'!E2:E581,A7)</f>
        <v>26</v>
      </c>
    </row>
    <row r="8" customFormat="false" ht="15" hidden="false" customHeight="false" outlineLevel="0" collapsed="false">
      <c r="A8" s="2" t="s">
        <v>228</v>
      </c>
      <c r="B8" s="2" t="n">
        <f aca="false">COUNTIF('Yeu cau'!B2:B199,A8)</f>
        <v>11</v>
      </c>
      <c r="C8" s="2" t="n">
        <f aca="false">COUNTIFS('Yeu cau'!B2:B199,A8,'Yeu cau'!F2:F199,"Đã phủ")</f>
        <v>11</v>
      </c>
      <c r="D8" s="2" t="n">
        <f aca="false">COUNTIF('Anh xa'!E2:E581,A8)</f>
        <v>32</v>
      </c>
    </row>
    <row r="9" customFormat="false" ht="15" hidden="false" customHeight="false" outlineLevel="0" collapsed="false">
      <c r="A9" s="2" t="s">
        <v>63</v>
      </c>
      <c r="B9" s="2" t="n">
        <f aca="false">COUNTIF('Yeu cau'!B2:B199,A9)</f>
        <v>23</v>
      </c>
      <c r="C9" s="2" t="n">
        <f aca="false">COUNTIFS('Yeu cau'!B2:B199,A9,'Yeu cau'!F2:F199,"Đã phủ")</f>
        <v>23</v>
      </c>
      <c r="D9" s="2" t="n">
        <f aca="false">COUNTIF('Anh xa'!E2:E581,A9)</f>
        <v>56</v>
      </c>
    </row>
    <row r="10" customFormat="false" ht="15" hidden="false" customHeight="false" outlineLevel="0" collapsed="false">
      <c r="A10" s="2" t="s">
        <v>306</v>
      </c>
      <c r="B10" s="2" t="n">
        <f aca="false">COUNTIF('Yeu cau'!B2:B199,A10)</f>
        <v>9</v>
      </c>
      <c r="C10" s="2" t="n">
        <f aca="false">COUNTIFS('Yeu cau'!B2:B199,A10,'Yeu cau'!F2:F199,"Đã phủ")</f>
        <v>9</v>
      </c>
      <c r="D10" s="2" t="n">
        <f aca="false">COUNTIF('Anh xa'!E2:E581,A10)</f>
        <v>19</v>
      </c>
    </row>
    <row r="11" customFormat="false" ht="15" hidden="false" customHeight="false" outlineLevel="0" collapsed="false">
      <c r="A11" s="2" t="s">
        <v>117</v>
      </c>
      <c r="B11" s="2" t="n">
        <f aca="false">COUNTIF('Yeu cau'!B2:B199,A11)</f>
        <v>5</v>
      </c>
      <c r="C11" s="2" t="n">
        <f aca="false">COUNTIFS('Yeu cau'!B2:B199,A11,'Yeu cau'!F2:F199,"Đã phủ")</f>
        <v>5</v>
      </c>
      <c r="D11" s="2" t="n">
        <f aca="false">COUNTIF('Anh xa'!E2:E581,A11)</f>
        <v>33</v>
      </c>
    </row>
    <row r="12" customFormat="false" ht="15" hidden="false" customHeight="false" outlineLevel="0" collapsed="false">
      <c r="A12" s="2" t="s">
        <v>163</v>
      </c>
      <c r="B12" s="2" t="n">
        <f aca="false">COUNTIF('Yeu cau'!B2:B199,A12)</f>
        <v>6</v>
      </c>
      <c r="C12" s="2" t="n">
        <f aca="false">COUNTIFS('Yeu cau'!B2:B199,A12,'Yeu cau'!F2:F199,"Đã phủ")</f>
        <v>6</v>
      </c>
      <c r="D12" s="2" t="n">
        <f aca="false">COUNTIF('Anh xa'!E2:E581,A12)</f>
        <v>14</v>
      </c>
    </row>
    <row r="13" customFormat="false" ht="15" hidden="false" customHeight="false" outlineLevel="0" collapsed="false">
      <c r="A13" s="2" t="s">
        <v>337</v>
      </c>
      <c r="B13" s="2" t="n">
        <f aca="false">COUNTIF('Yeu cau'!B2:B199,A13)</f>
        <v>5</v>
      </c>
      <c r="C13" s="2" t="n">
        <f aca="false">COUNTIFS('Yeu cau'!B2:B199,A13,'Yeu cau'!F2:F199,"Đã phủ")</f>
        <v>5</v>
      </c>
      <c r="D13" s="2" t="n">
        <f aca="false">COUNTIF('Anh xa'!E2:E581,A13)</f>
        <v>12</v>
      </c>
    </row>
    <row r="14" customFormat="false" ht="15" hidden="false" customHeight="false" outlineLevel="0" collapsed="false">
      <c r="A14" s="2" t="s">
        <v>53</v>
      </c>
      <c r="B14" s="2" t="n">
        <f aca="false">COUNTIF('Yeu cau'!B2:B199,A14)</f>
        <v>8</v>
      </c>
      <c r="C14" s="2" t="n">
        <f aca="false">COUNTIFS('Yeu cau'!B2:B199,A14,'Yeu cau'!F2:F199,"Đã phủ")</f>
        <v>8</v>
      </c>
      <c r="D14" s="2" t="n">
        <f aca="false">COUNTIF('Anh xa'!E2:E581,A14)</f>
        <v>21</v>
      </c>
    </row>
    <row r="15" customFormat="false" ht="15" hidden="false" customHeight="false" outlineLevel="0" collapsed="false">
      <c r="A15" s="2" t="s">
        <v>109</v>
      </c>
      <c r="B15" s="2" t="n">
        <f aca="false">COUNTIF('Yeu cau'!B2:B199,A15)</f>
        <v>8</v>
      </c>
      <c r="C15" s="2" t="n">
        <f aca="false">COUNTIFS('Yeu cau'!B2:B199,A15,'Yeu cau'!F2:F199,"Đã phủ")</f>
        <v>8</v>
      </c>
      <c r="D15" s="2" t="n">
        <f aca="false">COUNTIF('Anh xa'!E2:E581,A15)</f>
        <v>17</v>
      </c>
    </row>
    <row r="16" customFormat="false" ht="15" hidden="false" customHeight="false" outlineLevel="0" collapsed="false">
      <c r="A16" s="2" t="s">
        <v>73</v>
      </c>
      <c r="B16" s="2" t="n">
        <f aca="false">COUNTIF('Yeu cau'!B2:B199,A16)</f>
        <v>4</v>
      </c>
      <c r="C16" s="2" t="n">
        <f aca="false">COUNTIFS('Yeu cau'!B2:B199,A16,'Yeu cau'!F2:F199,"Đã phủ")</f>
        <v>4</v>
      </c>
      <c r="D16" s="2" t="n">
        <f aca="false">COUNTIF('Anh xa'!E2:E581,A16)</f>
        <v>15</v>
      </c>
    </row>
    <row r="17" customFormat="false" ht="15" hidden="false" customHeight="false" outlineLevel="0" collapsed="false">
      <c r="A17" s="2" t="s">
        <v>67</v>
      </c>
      <c r="B17" s="2" t="n">
        <f aca="false">COUNTIF('Yeu cau'!B2:B199,A17)</f>
        <v>7</v>
      </c>
      <c r="C17" s="2" t="n">
        <f aca="false">COUNTIFS('Yeu cau'!B2:B199,A17,'Yeu cau'!F2:F199,"Đã phủ")</f>
        <v>7</v>
      </c>
      <c r="D17" s="2" t="n">
        <f aca="false">COUNTIF('Anh xa'!E2:E581,A17)</f>
        <v>18</v>
      </c>
    </row>
    <row r="18" customFormat="false" ht="15" hidden="false" customHeight="false" outlineLevel="0" collapsed="false">
      <c r="A18" s="2" t="s">
        <v>43</v>
      </c>
      <c r="B18" s="2" t="n">
        <f aca="false">COUNTIF('Yeu cau'!B2:B199,A18)</f>
        <v>6</v>
      </c>
      <c r="C18" s="2" t="n">
        <f aca="false">COUNTIFS('Yeu cau'!B2:B199,A18,'Yeu cau'!F2:F199,"Đã phủ")</f>
        <v>6</v>
      </c>
      <c r="D18" s="2" t="n">
        <f aca="false">COUNTIF('Anh xa'!E2:E581,A18)</f>
        <v>9</v>
      </c>
    </row>
    <row r="19" customFormat="false" ht="15" hidden="false" customHeight="false" outlineLevel="0" collapsed="false">
      <c r="A19" s="2" t="s">
        <v>103</v>
      </c>
      <c r="B19" s="2" t="n">
        <f aca="false">COUNTIF('Yeu cau'!B2:B199,A19)</f>
        <v>7</v>
      </c>
      <c r="C19" s="2" t="n">
        <f aca="false">COUNTIFS('Yeu cau'!B2:B199,A19,'Yeu cau'!F2:F199,"Đã phủ")</f>
        <v>7</v>
      </c>
      <c r="D19" s="2" t="n">
        <f aca="false">COUNTIF('Anh xa'!E2:E581,A19)</f>
        <v>24</v>
      </c>
    </row>
    <row r="20" customFormat="false" ht="15" hidden="false" customHeight="false" outlineLevel="0" collapsed="false">
      <c r="A20" s="2" t="s">
        <v>123</v>
      </c>
      <c r="B20" s="2" t="n">
        <f aca="false">COUNTIF('Yeu cau'!B2:B199,A20)</f>
        <v>5</v>
      </c>
      <c r="C20" s="2" t="n">
        <f aca="false">COUNTIFS('Yeu cau'!B2:B199,A20,'Yeu cau'!F2:F199,"Đã phủ")</f>
        <v>5</v>
      </c>
      <c r="D20" s="2" t="n">
        <f aca="false">COUNTIF('Anh xa'!E2:E581,A20)</f>
        <v>13</v>
      </c>
    </row>
    <row r="21" customFormat="false" ht="15" hidden="false" customHeight="false" outlineLevel="0" collapsed="false">
      <c r="A21" s="2" t="s">
        <v>133</v>
      </c>
      <c r="B21" s="2" t="n">
        <f aca="false">COUNTIF('Yeu cau'!B2:B199,A21)</f>
        <v>4</v>
      </c>
      <c r="C21" s="2" t="n">
        <f aca="false">COUNTIFS('Yeu cau'!B2:B199,A21,'Yeu cau'!F2:F199,"Đã phủ")</f>
        <v>4</v>
      </c>
      <c r="D21" s="2" t="n">
        <f aca="false">COUNTIF('Anh xa'!E2:E581,A21)</f>
        <v>10</v>
      </c>
    </row>
    <row r="22" customFormat="false" ht="15" hidden="false" customHeight="false" outlineLevel="0" collapsed="false">
      <c r="A22" s="2" t="s">
        <v>236</v>
      </c>
      <c r="B22" s="2" t="n">
        <f aca="false">COUNTIF('Yeu cau'!B2:B199,A22)</f>
        <v>20</v>
      </c>
      <c r="C22" s="2" t="n">
        <f aca="false">COUNTIFS('Yeu cau'!B2:B199,A22,'Yeu cau'!F2:F199,"Đã phủ")</f>
        <v>20</v>
      </c>
      <c r="D22" s="2" t="n">
        <f aca="false">COUNTIF('Anh xa'!E2:E581,A22)</f>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2026-09-25T02:50:05Z</dcterms:created>
  <dc:creator>openpyxl</dc:creator>
  <dc:description/>
  <dc:language>en-US</dc:language>
  <cp:lastModifiedBy/>
  <dcterms:modified xsi:type="dcterms:W3CDTF">2026-09-25T02:50:05Z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
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Danh mục tối ưu" sheetId="2" state="visible" r:id="rId4"/>
    <sheet name="Đối chiếu 18 mẫu" sheetId="3" state="visible" r:id="rId5"/>
    <sheet name="Điểm mạnh cần giữ" sheetId="4" state="visible" r:id="rId6"/>
    <sheet name="Phương pháp &amp; nguồn" sheetId="5" state="visible" r:id="rId7"/>
  </sheets>
  <definedNames>
    <definedName function="false" hidden="true" localSheetId="1" name="_xlnm._FilterDatabase" vbProcedure="false">'Danh mục tối ưu'!$A$4:$S$110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<sst xmlns="http://schemas.openxmlformats.org/spreadsheetml/2006/main" count="1966" uniqueCount="1323">
  <si>
    <t xml:space="preserve">TỐI ƯU TÁC TỬ (AGENT) EIDE v3 — TỔNG QUAN</t>
  </si>
  <si>
    <t xml:space="preserve">Đối chiếu mã nguồn EIDE v3 (src/eide, ~70 nghìn dòng toàn dự án) với 18 mẫu kiến trúc agent trong tài liệu 'Kiến trúc AI Agent'. Ngày rà soát: 06/10/2026.</t>
  </si>
  <si>
    <t xml:space="preserve">1. Số đề xuất theo mảng và mức ưu tiên</t>
  </si>
  <si>
    <t xml:space="preserve">Mảng</t>
  </si>
  <si>
    <t xml:space="preserve">P0</t>
  </si>
  <si>
    <t xml:space="preserve">P1</t>
  </si>
  <si>
    <t xml:space="preserve">P2</t>
  </si>
  <si>
    <t xml:space="preserve">P3</t>
  </si>
  <si>
    <t xml:space="preserve">Tổng</t>
  </si>
  <si>
    <t xml:space="preserve">1. Lõi tác tử</t>
  </si>
  <si>
    <t xml:space="preserve">2. Phân tích &amp; thiết kế phần mềm</t>
  </si>
  <si>
    <t xml:space="preserve">3. Mạch, ERC, HDL/FPGA</t>
  </si>
  <si>
    <t xml:space="preserve">4. Kiểm thử &amp; kiểm chứng</t>
  </si>
  <si>
    <t xml:space="preserve">5. Tri thức, RAG &amp; bộ nhớ</t>
  </si>
  <si>
    <t xml:space="preserve">2. Lộ trình theo giai đoạn (tự tính từ Ưu tiên + Công sức)</t>
  </si>
  <si>
    <t xml:space="preserve">Giai đoạn</t>
  </si>
  <si>
    <t xml:space="preserve">Số đề xuất</t>
  </si>
  <si>
    <t xml:space="preserve">Đã xong</t>
  </si>
  <si>
    <t xml:space="preserve">% xong</t>
  </si>
  <si>
    <t xml:space="preserve">GĐ1 — Làm ngay (0–2 tuần): P0, công sức S/M</t>
  </si>
  <si>
    <t xml:space="preserve">GĐ2 — Ngắn hạn (2–6 tuần): P0 công sức L, P1 công sức S</t>
  </si>
  <si>
    <t xml:space="preserve">GĐ3 — Trung hạn (6–12 tuần): P1 công sức M/L</t>
  </si>
  <si>
    <t xml:space="preserve">GĐ4 — Có thì tốt: P2/P3</t>
  </si>
  <si>
    <t xml:space="preserve">3. Số đề xuất theo chủ đề xuyên suốt</t>
  </si>
  <si>
    <t xml:space="preserve">Chủ đề</t>
  </si>
  <si>
    <t xml:space="preserve">Trong đó P0</t>
  </si>
  <si>
    <t xml:space="preserve">T01 Giao thức &amp; độ bền vòng lặp</t>
  </si>
  <si>
    <t xml:space="preserve">T02 Ngữ cảnh, lược đồ công cụ &amp; token</t>
  </si>
  <si>
    <t xml:space="preserve">T03 Tác tử con &amp; điều phối song song</t>
  </si>
  <si>
    <t xml:space="preserve">T04 Kiểm chứng độc lập (verifier)</t>
  </si>
  <si>
    <t xml:space="preserve">T05 Lập kế hoạch &amp; thực thi theo bước</t>
  </si>
  <si>
    <t xml:space="preserve">T06 Reflexion – bài học dài hạn</t>
  </si>
  <si>
    <t xml:space="preserve">T07 Phản biện thiết kế (Debate/ToT)</t>
  </si>
  <si>
    <t xml:space="preserve">T08 Yêu cầu &amp; truy vết</t>
  </si>
  <si>
    <t xml:space="preserve">T09 Phân tích mã tĩnh &amp; CodeAct</t>
  </si>
  <si>
    <t xml:space="preserve">T10 ERC &amp; thiết kế mạch</t>
  </si>
  <si>
    <t xml:space="preserve">T11 HDL/FPGA</t>
  </si>
  <si>
    <t xml:space="preserve">T12 Kiểm thử sản phẩm (unit, đột biến, hồi quy, HIL)</t>
  </si>
  <si>
    <t xml:space="preserve">T13 RAG &amp; trích xuất datasheet</t>
  </si>
  <si>
    <t xml:space="preserve">T14 Bộ nhớ, nén &amp; phục hồi phiên</t>
  </si>
  <si>
    <t xml:space="preserve">T15 Đo lường &amp; bộ đánh giá (eval)</t>
  </si>
  <si>
    <t xml:space="preserve">4. Kết luận chính</t>
  </si>
  <si>
    <t xml:space="preserve">•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</si>
  <si>
    <t xml:space="preserve">•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</si>
  <si>
    <t xml:space="preserve">•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</si>
  <si>
    <t xml:space="preserve">•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</si>
  <si>
    <t xml:space="preserve">•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</si>
  <si>
    <t xml:space="preserve">•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</si>
  <si>
    <t xml:space="preserve">• Nguyên tắc leo thang: làm GĐ1 + bộ đo lường (T15) trước; chỉ thêm mẫu tốn kém (Debate, ToT, song song nhiều worker) khi số đo cho thấy bậc hiện tại chưa đủ.</t>
  </si>
  <si>
    <t xml:space="preserve">5. Chú giải</t>
  </si>
  <si>
    <t xml:space="preserve">Làm ngay — lỗi nền/an toàn hoặc ô xanh giả, ảnh hưởng lớn</t>
  </si>
  <si>
    <t xml:space="preserve">Quan trọng — tăng rõ độ thông minh/độ phủ kiểm thử</t>
  </si>
  <si>
    <t xml:space="preserve">Nên làm — cải thiện chất lượng, ít khẩn</t>
  </si>
  <si>
    <t xml:space="preserve">Có thì tốt</t>
  </si>
  <si>
    <t xml:space="preserve">S / M / L / XL</t>
  </si>
  <si>
    <t xml:space="preserve">Công sức ước: S ≤ 2 ngày · M ≈ 3–7 ngày · L ≈ 2–4 tuần · XL &gt; 1 tháng</t>
  </si>
  <si>
    <t xml:space="preserve">Mã Mx-yy</t>
  </si>
  <si>
    <t xml:space="preserve">x = mảng (1 lõi, 2 phân tích–thiết kế PM, 3 mạch–HDL, 4 kiểm thử, 5 tri thức–bộ nhớ); yy = số thứ tự</t>
  </si>
  <si>
    <t xml:space="preserve">DANH MỤC ĐIỂM CẦN TỐI ƯU — TÁC TỬ (AGENT) EIDE v3</t>
  </si>
  <si>
    <t xml:space="preserve">Mỗi dòng là một phát hiện từ đọc mã thật (vị trí tệp:dòng tại ngày 06/10/2026). Cột Giai đoạn tự tính từ Ưu tiên + Công sức. Cột Trạng thái / Người phụ trách / Ghi chú để anh theo dõi.</t>
  </si>
  <si>
    <t xml:space="preserve">Mã</t>
  </si>
  <si>
    <t xml:space="preserve">Tính năng / khối</t>
  </si>
  <si>
    <t xml:space="preserve">Chủ đề xuyên suốt</t>
  </si>
  <si>
    <t xml:space="preserve">Vị trí mã</t>
  </si>
  <si>
    <t xml:space="preserve">Hiện trạng (mã đang làm gì)</t>
  </si>
  <si>
    <t xml:space="preserve">Vấn đề / khoảng trống</t>
  </si>
  <si>
    <t xml:space="preserve">Mẫu kiến trúc đối chiếu</t>
  </si>
  <si>
    <t xml:space="preserve">Đề xuất tối ưu</t>
  </si>
  <si>
    <t xml:space="preserve">Lợi ích kỳ vọng</t>
  </si>
  <si>
    <t xml:space="preserve">Ưu tiên</t>
  </si>
  <si>
    <t xml:space="preserve">Công sức</t>
  </si>
  <si>
    <t xml:space="preserve">Rủi ro / đánh đổi</t>
  </si>
  <si>
    <t xml:space="preserve">Chỉ số đo hiệu quả</t>
  </si>
  <si>
    <t xml:space="preserve">Liên quan / trùng với</t>
  </si>
  <si>
    <t xml:space="preserve">Trạng thái</t>
  </si>
  <si>
    <t xml:space="preserve">Người phụ trách</t>
  </si>
  <si>
    <t xml:space="preserve">Ghi chú</t>
  </si>
  <si>
    <t xml:space="preserve">M1-01</t>
  </si>
  <si>
    <t xml:space="preserve">Toàn vẹn cặp function_call ↔ function_response</t>
  </si>
  <si>
    <t xml:space="preserve">loop.py:695-699 (_tool_loop), loop.py:900-913 (_one_tool), loop.py:1375-1440 (_resolve_gate), llm/gemini.py:161 (_to_contents)</t>
  </si>
  <si>
    <t xml:space="preserve">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</si>
  <si>
    <t xml:space="preserve">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</si>
  <si>
    <t xml:space="preserve">ReAct (độ đúng của giao thức tool-calling), Human-in-the-loop (checkpoint chạy tiếp)</t>
  </si>
  <si>
    <t xml:space="preserve">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</si>
  <si>
    <t xml:space="preserve">Hết lỗi 400 chập chờn ở lượt nhiều công cụ; không còn ca tác tử 'kể sai' vì lịch sử mâu thuẫn; tiền đề bắt buộc để chạy song song lời gọi tool.</t>
  </si>
  <si>
    <t xml:space="preserve">M</t>
  </si>
  <si>
    <t xml:space="preserve">Đụng vào phát lại transcript cũ (phiên đã lưu) nên phải chuẩn hoá lúc đọc chứ không sửa tệp; cần ReplayGateway để hồi quy.</t>
  </si>
  <si>
    <t xml:space="preserve">Số lỗi 400 INVALID_ARGUMENT / 100 lượt; tỉ lệ lượt có lịch sử vi phạm bất biến (test tĩnh trên ledger); số ca 'tác tử hỏi lại đề bài' sau khi duyệt cổng.</t>
  </si>
  <si>
    <t xml:space="preserve">Chưa làm</t>
  </si>
  <si>
    <t xml:space="preserve">M1-02</t>
  </si>
  <si>
    <t xml:space="preserve">Lược đồ công cụ hiển thị mỗi lượt</t>
  </si>
  <si>
    <t xml:space="preserve">tools/registry.py:139-144 (visible/declarations), loop.py:667, config.py:137 (tool_schema=4000)</t>
  </si>
  <si>
    <t xml:space="preserve">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</si>
  <si>
    <t xml:space="preserve">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</si>
  <si>
    <t xml:space="preserve">Routing (chọn bộ công cụ theo loại việc), Agentic RAG cho công cụ (tool retrieval)</t>
  </si>
  <si>
    <t xml:space="preserve">(1)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</si>
  <si>
    <t xml:space="preserve">Giảm khoảng 60–75 % token đầu vào mỗi lời gọi; chọn công cụ đúng hơn; độ trễ mỗi bước thấp hơn.</t>
  </si>
  <si>
    <t xml:space="preserve">Ẩn nhầm một công cụ cần thiết sẽ làm tăng số lần tool.search (đây đúng là hình dạng lỗi DEV-302/305). Cần bảng ánh xạ tín hiệu → bộ công cụ và đo trên 76 TC trước khi bật.</t>
  </si>
  <si>
    <t xml:space="preserve">Token lược đồ / lời gọi (mục tiêu ≤6k); tỉ lệ lời gọi sai công cụ (E5004/E5006/schema_violation); số tool.search / lượt; pass rate 76 TC.</t>
  </si>
  <si>
    <t xml:space="preserve">M1-18, M4-18</t>
  </si>
  <si>
    <t xml:space="preserve">M1-03</t>
  </si>
  <si>
    <t xml:space="preserve">Tác tử con (subagent) đi vòng qua hook và policy</t>
  </si>
  <si>
    <t xml:space="preserve">subagent.py:292-316 (chay) — `r = registry.run(call.tool, call.args, ctx)`</t>
  </si>
  <si>
    <t xml:space="preserve">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</si>
  <si>
    <t xml:space="preserve">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</si>
  <si>
    <t xml:space="preserve">Supervisor–Workers (worker phải chịu cùng hàng rào), Human-in-the-loop</t>
  </si>
  <si>
    <t xml:space="preserve">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</si>
  <si>
    <t xml:space="preserve">Đóng lỗ hổng an toàn và độ tin cậy; hành vi của tác tử chính và tác tử con nhất quán; ledger đầy đủ cho cả nhánh con.</t>
  </si>
  <si>
    <t xml:space="preserve">Subagent có thể kẹt nhiều hơn vì bị chặn. Cần hint rõ để nó nộp chua_lam thay vì thử lại.</t>
  </si>
  <si>
    <t xml:space="preserve">Số lời gọi ghi của subagent không có dòng hook/policy trong ledger (mục tiêu 0); số hằng số không nguồn lọt vào mã do subagent ghi.</t>
  </si>
  <si>
    <t xml:space="preserve">M2-14</t>
  </si>
  <si>
    <t xml:space="preserve">M1-04</t>
  </si>
  <si>
    <t xml:space="preserve">Song song hoá lời gọi công cụ chỉ-đọc</t>
  </si>
  <si>
    <t xml:space="preserve">loop.py:695-699 (for call in rsp.tool_calls), tools/registry.py::run</t>
  </si>
  <si>
    <t xml:space="preserve">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</si>
  <si>
    <t xml:space="preserve">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</si>
  <si>
    <t xml:space="preserve">LLMCompiler (DAG + chạy song song + Joiner), Parallelization (sectioning)</t>
  </si>
  <si>
    <t xml:space="preserve">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</si>
  <si>
    <t xml:space="preserve">Giảm 30–50 % thời gian thực của lượt khám phá; giảm số vòng LLM / lượt; ít chạm trần 300 s hơn.</t>
  </si>
  <si>
    <t xml:space="preserve">Ctx (da_doc, emit, ledger) cần an toàn luồng: khoá ghi ledger và append messages theo đúng thứ tự call. Kết quả lớn đổ về cùng lúc có thể đẩy ngữ cảnh.</t>
  </si>
  <si>
    <t xml:space="preserve">Số lời gọi / vòng LLM; thời gian trung vị / lượt; tỉ lệ lượt chạm trần thời gian.</t>
  </si>
  <si>
    <t xml:space="preserve">M1-05</t>
  </si>
  <si>
    <t xml:space="preserve">Supervisor–Workers: subagent tuần tự, không ngân sách, không cắt kết quả</t>
  </si>
  <si>
    <t xml:space="preserve">subagent.py:269-323 (chay), tools/dieu_phoi.py::task_run</t>
  </si>
  <si>
    <t xml:space="preserve">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</si>
  <si>
    <t xml:space="preserve">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</si>
  <si>
    <t xml:space="preserve">Supervisor–Workers, Parallelization (sectioning), Hierarchical</t>
  </si>
  <si>
    <t xml:space="preserve">(1)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</si>
  <si>
    <t xml:space="preserve">Tỉ lệ subagent nộp đúng lược đồ tăng; chi phí thật nhìn thấy được; việc lớn xong trong ít lượt hơn.</t>
  </si>
  <si>
    <t xml:space="preserve">Song song làm tăng đột biến lượng token và quota 429. Hai worker ghi cùng tệp thì cần soft-lock theo tệp (ctx.locks) hoặc chỉ cho worker chỉ-đọc chạy song song.</t>
  </si>
  <si>
    <t xml:space="preserve">Tỉ lệ E5007 / task.run; token subagent / lượt (phải xuất hiện trong cost); thời gian lượt khi dùng run_many so với tuần tự.</t>
  </si>
  <si>
    <t xml:space="preserve">Kéo lên giai đoạn sớm hơn vì là tiền đề (xem §5 kế hoạch)</t>
  </si>
  <si>
    <t xml:space="preserve">M1-06</t>
  </si>
  <si>
    <t xml:space="preserve">Độc lập của verifier</t>
  </si>
  <si>
    <t xml:space="preserve">subagent.py:46 (doc_duoc_viec), subagent.py:150; tools/dieu_phoi.py::task_run; hooks/standard.py:557 (kiem_viec_chua_ai_kiem)</t>
  </si>
  <si>
    <t xml:space="preserve">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</si>
  <si>
    <t xml:space="preserve">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</si>
  <si>
    <t xml:space="preserve">Evaluator–Optimizer, Debate (phản biện), Reflexion</t>
  </si>
  <si>
    <t xml:space="preserve">(1)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</si>
  <si>
    <t xml:space="preserve">Bắt được nhiều đạt giả hơn (đúng ca 'flash khớp từng byte nhưng vẫn chạy bản cũ' ghi trong hook).</t>
  </si>
  <si>
    <t xml:space="preserve">S</t>
  </si>
  <si>
    <t xml:space="preserve">Thêm 1–2 lời gọi LLM ở cuối việc; verifier khắt khe quá sẽ sinh nhiều 'chua_du_du_kien'.</t>
  </si>
  <si>
    <t xml:space="preserve">Tỉ lệ verifier bác (khong_dat) trên bộ ca có cài lỗi cố ý; tỉ lệ đạt giả lọt qua trên 76 TC; độ trùng nhau giữa 2 verifier.</t>
  </si>
  <si>
    <t xml:space="preserve">M4-07, M4-08</t>
  </si>
  <si>
    <t xml:space="preserve">M1-07</t>
  </si>
  <si>
    <t xml:space="preserve">Báo cáo có lược đồ của subagent</t>
  </si>
  <si>
    <t xml:space="preserve">subagent.py::doc_bao_cao (tách dòng JSON cuối bằng startswith('{'))</t>
  </si>
  <si>
    <t xml:space="preserve">Subagent phải kết thúc bằng MỘT dòng JSON trong văn bản tự do. Mã lấy dòng cuối bắt đầu bằng '{' rồi json.loads. JSON xuống nhiều dòng, nằm trong ```json``` hay có chữ theo sau đều thành lỗi lược đồ (E5007).</t>
  </si>
  <si>
    <t xml:space="preserve">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</si>
  <si>
    <t xml:space="preserve">Prompt Chaining (cổng kiểm bằng code), Supervisor–Workers</t>
  </si>
  <si>
    <t xml:space="preserve">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</si>
  <si>
    <t xml:space="preserve">Tỉ lệ báo cáo hợp lệ gần 100 %; bỏ được một lớp hỏng ngẫu nhiên.</t>
  </si>
  <si>
    <t xml:space="preserve">Cần kiểm Gemini 3.8-flash có cho dùng response_schema cùng tools trong một lời gọi hay không; nếu không thì tách hai lời gọi.</t>
  </si>
  <si>
    <t xml:space="preserve">Tỉ lệ E5007 do lỗi lược đồ / tổng task.run.</t>
  </si>
  <si>
    <t xml:space="preserve">M1-08</t>
  </si>
  <si>
    <t xml:space="preserve">Routing theo loại việc khi chỉ có MỘT model</t>
  </si>
  <si>
    <t xml:space="preserve">config.py:40 (ALLOWED_MODELS={'gemini-3.8-flash'}), config.py:191-205 (ModelConfig), llm/gemini.py:67-75 (GenerateContentConfig)</t>
  </si>
  <si>
    <t xml:space="preserve">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</si>
  <si>
    <t xml:space="preserve">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</si>
  <si>
    <t xml:space="preserve">Routing (phân loại → cấu hình chuyên biệt), Plan-and-Execute</t>
  </si>
  <si>
    <t xml:space="preserve">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</si>
  <si>
    <t xml:space="preserve">Giảm thoughts_tokens ở bước dễ, tăng chất lượng ở bước then chốt; không vi phạm ràng buộc một model.</t>
  </si>
  <si>
    <t xml:space="preserve">Tham số thinking của 3.8-flash cần kiểm tài liệu thật; định tuyến sai có thể làm bước khó bị nghĩ nông.</t>
  </si>
  <si>
    <t xml:space="preserve">thoughts_tokens / lượt; pass@1 các ca lập kế hoạch và kiểm chứng; số vòng LLM / lượt.</t>
  </si>
  <si>
    <t xml:space="preserve">M1-09</t>
  </si>
  <si>
    <t xml:space="preserve">Temperature 0 với dòng Gemini 3</t>
  </si>
  <si>
    <t xml:space="preserve">config.py:198 (temperature=0.0), llm/gemini.py:70, llm/gateway.py docstring §F3</t>
  </si>
  <si>
    <t xml:space="preserve">Mọi lời gọi dùng temperature 0 và seed=7 để đạt 'tất định'. Chính mã ghi nhận nhiều ca quay vòng: ledger.query 21 lần liên tiếp, fs.read 28 lần, 14 lời gọi chỉ-đọc rải nhiều công cụ. Vì vậy mới phải có _nhac_neu_dang_quay_vong.</t>
  </si>
  <si>
    <t xml:space="preserve">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</si>
  <si>
    <t xml:space="preserve">ReAct (chất lượng vòng lặp), nguyên tắc 'có eval trước khi leo thang'</t>
  </si>
  <si>
    <t xml:space="preserve">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</si>
  <si>
    <t xml:space="preserve">Kỳ vọng ít quay vòng hơn, ít chạm trần 40 lời gọi hơn, câu trả lời tốt hơn.</t>
  </si>
  <si>
    <t xml:space="preserve">Kết quả biến động hơn giữa các lần chạy, bộ đo phải dựa trên tỉ lệ thống kê chứ không trông vào khớp từng chữ.</t>
  </si>
  <si>
    <t xml:space="preserve">Số lần _nhac_neu_dang_quay_vong nổ / 100 lượt; tỉ lệ lượt hết ngân sách; pass rate trung bình qua 5 lần chạy.</t>
  </si>
  <si>
    <t xml:space="preserve">M1-10</t>
  </si>
  <si>
    <t xml:space="preserve">Xử lý finish_reason và retry khi đang stream</t>
  </si>
  <si>
    <t xml:space="preserve">llm/gemini.py:81-92 (vòng retry), :113-114, :130 (on_text); loop.py:663-690</t>
  </si>
  <si>
    <t xml:space="preserve">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</si>
  <si>
    <t xml:space="preserve">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</si>
  <si>
    <t xml:space="preserve">ReAct (độ bền vòng lặp)</t>
  </si>
  <si>
    <t xml:space="preserve">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</si>
  <si>
    <t xml:space="preserve">Bớt lượt bị cắt ngang hoặc im lặng; giao diện không lặp chữ; không vượt trần thời gian vì retry.</t>
  </si>
  <si>
    <t xml:space="preserve">Thêm nhánh logic; cần ScriptedGateway giả lập từng finish_reason để test.</t>
  </si>
  <si>
    <t xml:space="preserve">Phân bố finish_reason trong ledger llm_call (cần ghi thêm trường này); số lượt kết thúc với MAX_TOKENS; số sự cố chữ lặp.</t>
  </si>
  <si>
    <t xml:space="preserve">M1-11</t>
  </si>
  <si>
    <t xml:space="preserve">Ngân sách token mỗi lượt và cửa sổ làm việc</t>
  </si>
  <si>
    <t xml:space="preserve">config.py:50-60 (Budget), config.py:200 (context_window=1_000_000), config.py:155-160 (nguong_c1..c4), loop.py:1502-1504 (_context_pressure)</t>
  </si>
  <si>
    <t xml:space="preserve">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</si>
  <si>
    <t xml:space="preserve">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</si>
  <si>
    <t xml:space="preserve">Memory-augmented/MemGPT (quản lý cửa sổ), nguyên tắc 'mọi vòng lặp có trần token'</t>
  </si>
  <si>
    <t xml:space="preserve">(1)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</si>
  <si>
    <t xml:space="preserve">Chi phí lượt có trần dự đoán được; nén sớm giữ chất lượng bám ngữ cảnh; ước lượng khớp thực tế.</t>
  </si>
  <si>
    <t xml:space="preserve">Nén sớm hơn thì C2 (có LLM) chạy nhiều hơn; cần đo tỉ lệ nén C2 thất bại.</t>
  </si>
  <si>
    <t xml:space="preserve">Token đầu vào / lượt (p50/p95); sai số giữa ước lượng và usage thật; pass rate theo độ dài phiên.</t>
  </si>
  <si>
    <t xml:space="preserve">M1-12</t>
  </si>
  <si>
    <t xml:space="preserve">Prompt caching và khối nhắc lặp trong transcript</t>
  </si>
  <si>
    <t xml:space="preserve">loop.py:1497-1500 (_user_block), context/assemble.py:240-280, llm/gemini.py (không dùng CachedContent), memory/compact.py::c1</t>
  </si>
  <si>
    <t xml:space="preserve">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</si>
  <si>
    <t xml:space="preserve">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</si>
  <si>
    <t xml:space="preserve">Memory-augmented/MemGPT, Agentic RAG (ngữ cảnh đúng lúc)</t>
  </si>
  <si>
    <t xml:space="preserve">(1)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</si>
  <si>
    <t xml:space="preserve">Giảm mạnh token lặp; hết mâu thuẫn inventory; tỉ lệ cache cao hơn nên rẻ và nhanh hơn.</t>
  </si>
  <si>
    <t xml:space="preserve">Explicit cache có phí lưu trữ và cần làm mới khi constitution hay tool đổi; phải giữ được phát lại transcript phiên cũ.</t>
  </si>
  <si>
    <t xml:space="preserve">cached_tokens / input_tokens; token trung bình / lời gọi theo số lượt của phiên; số ca tác tử dẫn inventory cũ.</t>
  </si>
  <si>
    <t xml:space="preserve">M5-13</t>
  </si>
  <si>
    <t xml:space="preserve">M1-13</t>
  </si>
  <si>
    <t xml:space="preserve">Plan-and-Execute: thiếu Replanner và bước thực thi có cấu trúc</t>
  </si>
  <si>
    <t xml:space="preserve">ke_hoach.py (KeHoach, Buoc, doi_chieu), tools/ke_hoach.py (plan.enter/exit/step_done/merge/cancel), hooks/standard.py:497 (doi_chieu_ke_hoach)</t>
  </si>
  <si>
    <t xml:space="preserve">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</si>
  <si>
    <t xml:space="preserve">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</si>
  <si>
    <t xml:space="preserve">Plan-and-Execute (Planner/Executor/Replanner), ReWOO, LLMCompiler</t>
  </si>
  <si>
    <t xml:space="preserve">(1)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</si>
  <si>
    <t xml:space="preserve">Bớt đi chệch im lặng; bước 'xong' có ý nghĩa kiểm chứng; việc lớn đi qua nhiều lượt ổn định hơn.</t>
  </si>
  <si>
    <t xml:space="preserve">L</t>
  </si>
  <si>
    <t xml:space="preserve">Kế hoạch phức tạp hơn thì mô hình soạn sai nhiều hơn; plan.revise không duyệt có thể bị lạm dụng để lách G-SCOPE (giữ quy tắc: thêm cổng hoặc R3 thì phải duyệt).</t>
  </si>
  <si>
    <t xml:space="preserve">Tỉ lệ kế hoạch hoàn thành không bị cancel; số bước step_done bị E6004; số lần lệch kế hoạch / kế hoạch; số lượt / kế hoạch.</t>
  </si>
  <si>
    <t xml:space="preserve">M2-06, M2-07</t>
  </si>
  <si>
    <t xml:space="preserve">M1-14</t>
  </si>
  <si>
    <t xml:space="preserve">Reflexion: biến thất bại thành bài học lâu dài</t>
  </si>
  <si>
    <t xml:space="preserve">loop.py:642-660 (hết ngân sách), loop.py::_nhac_neu_dang_quay_vong, tools/writing.py:229 (memory.note, mục cố định Mục tiêu/Chip/Quyết định/Giả định/Quy ước/Đừng), hooks/standard.py (Stop)</t>
  </si>
  <si>
    <t xml:space="preserve">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</si>
  <si>
    <t xml:space="preserve">Cùng một lỗi lặp lại qua phiên (vd. cày fs.read thay vì dùng addr2line, quên plan.step_done, tìm tệp sắp tự viết). Tác tử không có cơ chế mang kinh nghiệm thất bại sang lần sau, nên mỗi phiên bắt đầu từ con số 0 về hành vi.</t>
  </si>
  <si>
    <t xml:space="preserve">Reflexion, Memory-augmented/MemGPT</t>
  </si>
  <si>
    <t xml:space="preserve">(1)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</si>
  <si>
    <t xml:space="preserve">Giảm lỗi lặp giữa các phiên; tác tử thông minh dần theo dự án.</t>
  </si>
  <si>
    <t xml:space="preserve">Bài học sai hoặc quá khái quát sẽ thành thiên kiến lâu dài, nên cần trần dòng, nguồn [run-xx] và quyền xoá của người. Mỗi lần thất bại tốn thêm 1 lời gọi LLM.</t>
  </si>
  <si>
    <t xml:space="preserve">Tỉ lệ tái phát cùng loại incident giữa các phiên; số lần quay vòng / 100 lượt trước và sau; tỉ lệ bài học bị người xoá.</t>
  </si>
  <si>
    <t xml:space="preserve">M3-21, M5-14</t>
  </si>
  <si>
    <t xml:space="preserve">M1-15</t>
  </si>
  <si>
    <t xml:space="preserve">Tự động hoá kiểm chứng cuối việc bằng mã</t>
  </si>
  <si>
    <t xml:space="preserve">hooks/standard.py:557-612 (kiem_viec_chua_ai_kiem), loop.py:536-543 (chỉ 1 vòng thêm), loop.py:890-894 (ghi_chua_kiem)</t>
  </si>
  <si>
    <t xml:space="preserve">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</si>
  <si>
    <t xml:space="preserve">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</si>
  <si>
    <t xml:space="preserve">Evaluator–Optimizer, Prompt Chaining (cổng kiểm bằng code)</t>
  </si>
  <si>
    <t xml:space="preserve">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</si>
  <si>
    <t xml:space="preserve">Kiểm chứng chạy 100 % ở cuối mỗi đợt việc, không phụ thuộc mô hình có nghe lời hay không.</t>
  </si>
  <si>
    <t xml:space="preserve">Thêm 1 subagent (≤10 lời gọi) cuối mỗi đợt việc; cần gộp với trần thời gian của lượt.</t>
  </si>
  <si>
    <t xml:space="preserve">Tỉ lệ đợt việc có ghi mà có verifier chạy (mục tiêu ~100 %); tỉ lệ verifier bác; số vòng thêm bị bỏ phí.</t>
  </si>
  <si>
    <t xml:space="preserve">M4-10</t>
  </si>
  <si>
    <t xml:space="preserve">M1-16</t>
  </si>
  <si>
    <t xml:space="preserve">Phản biện cho quyết định thiết kế</t>
  </si>
  <si>
    <t xml:space="preserve">ke_hoach.py::thieu_phan_tich (đòi store.option_create/option_choose/adr_create), subagent.py SUBAGENT['design-review']</t>
  </si>
  <si>
    <t xml:space="preserve">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</si>
  <si>
    <t xml:space="preserve">Quyết định kiến trúc là điểm ảnh hưởng lớn nhất mà lại ít kiểm nhất: một góc nhìn, không phản chứng, không tiêu chí đo. Đúng loại quyết định mà mẫu Debate và Evaluator–Optimizer sinh ra để xử lý.</t>
  </si>
  <si>
    <t xml:space="preserve">Debate (nhiều vai phản biện + trọng tài), Evaluator–Optimizer (rubric, có trần vòng), ToT (sinh nhiều hướng rồi chấm)</t>
  </si>
  <si>
    <t xml:space="preserve">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</si>
  <si>
    <t xml:space="preserve">Quyết định kiến trúc có lý lẽ hai chiều và bằng chứng; người duyệt thấy được đánh đổi.</t>
  </si>
  <si>
    <t xml:space="preserve">Tăng token và độ trễ ở các bước kiến trúc (ít xảy ra nên chấp nhận được); phản biện cùng model có thể yếu, nên dùng thinking cao.</t>
  </si>
  <si>
    <t xml:space="preserve">Tỉ lệ ADR bị người sửa hoặc bác sau duyệt; số lần phải đổi kiến trúc giữa chừng kế hoạch.</t>
  </si>
  <si>
    <t xml:space="preserve">M2-04, M2-13</t>
  </si>
  <si>
    <t xml:space="preserve">M1-17</t>
  </si>
  <si>
    <t xml:space="preserve">Phát hiện quay vòng</t>
  </si>
  <si>
    <t xml:space="preserve">loop.py:548-618 (_nhac_neu_dang_quay_vong, NGUONG_QUAY_VONG=6, NGUONG_TONG_DOC=10)</t>
  </si>
  <si>
    <t xml:space="preserve">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</si>
  <si>
    <t xml:space="preserve">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</si>
  <si>
    <t xml:space="preserve">ReAct (kiểm soát vòng lặp), Plan-and-Execute (leo thang sang replan)</t>
  </si>
  <si>
    <t xml:space="preserve">(1)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</si>
  <si>
    <t xml:space="preserve">Cắt phần đuôi lãng phí của lượt quay vòng; ít lượt hết ngân sách hơn.</t>
  </si>
  <si>
    <t xml:space="preserve">Đọc lại sau khi tệp đã đổi thì không phải trùng: phải đưa mtime hoặc hash nội dung vào khoá (C1 đã có _khoa_doc để tham khảo).</t>
  </si>
  <si>
    <t xml:space="preserve">Số lời gọi trùng y hệt / lượt; tỉ lệ lượt hết 40 lời gọi; số lời gọi sau lần nhắc quay vòng đầu tiên.</t>
  </si>
  <si>
    <t xml:space="preserve">M1-18</t>
  </si>
  <si>
    <t xml:space="preserve">tool.search và cơ chế nạp trễ</t>
  </si>
  <si>
    <t xml:space="preserve">tools/registry.py:146-170 (search), tools/builtin.py:482-500 (tool.search)</t>
  </si>
  <si>
    <t xml:space="preserve">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</si>
  <si>
    <t xml:space="preserve">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</si>
  <si>
    <t xml:space="preserve">Agentic RAG (viết lại truy vấn, chấm độ liên quan) áp cho công cụ</t>
  </si>
  <si>
    <t xml:space="preserve">(1)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</si>
  <si>
    <t xml:space="preserve">Bớt vòng LLM lãng phí; công cụ đúng hiện ra đúng lúc; giảm số công cụ 'chưa nổ lần nào'.</t>
  </si>
  <si>
    <t xml:space="preserve">Mở khoá chủ động sai sẽ phình lược đồ; cần trần và cơ chế LRU đi kèm.</t>
  </si>
  <si>
    <t xml:space="preserve">Precision@3 của tool.search (công cụ trả về có được gọi ngay sau đó không); số tool.search / lượt; số công cụ chưa nổ lần nào.</t>
  </si>
  <si>
    <t xml:space="preserve">M1-19</t>
  </si>
  <si>
    <t xml:space="preserve">Kiểm tham số công cụ</t>
  </si>
  <si>
    <t xml:space="preserve">tools/registry.py:219-232 (_validate_args), tools/registry.py::run (E5999)</t>
  </si>
  <si>
    <t xml:space="preserve">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</si>
  <si>
    <t xml:space="preserve">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</si>
  <si>
    <t xml:space="preserve">Prompt Chaining (cổng kiểm bằng code), nguyên tắc 'lỗi thường nằm ở mô tả và lược đồ tool'</t>
  </si>
  <si>
    <t xml:space="preserve">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</si>
  <si>
    <t xml:space="preserve">Mô hình tự sửa lời gọi sai ngay ở vòng sau; giảm E5999 giả.</t>
  </si>
  <si>
    <t xml:space="preserve">Kiểm chặt quá sẽ bác những lời gọi trước đây vẫn chạy được nhờ công cụ tự xử lý; cần chạy qua bộ test công cụ.</t>
  </si>
  <si>
    <t xml:space="preserve">Số E5999 / 1000 lời gọi; tỉ lệ lời gọi sửa thành công ở vòng kế sau schema_violation.</t>
  </si>
  <si>
    <t xml:space="preserve">M1-20</t>
  </si>
  <si>
    <t xml:space="preserve">Đo lường và eval quỹ đạo</t>
  </si>
  <si>
    <t xml:space="preserve">loop.py:672-676 (ledger llm_call), loop.py::_report, tools/chay_usecase.py, tools/bo_usecase.py, tools/theo_doi.py</t>
  </si>
  <si>
    <t xml:space="preserve">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</si>
  <si>
    <t xml:space="preserve">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</si>
  <si>
    <t xml:space="preserve">Nguyên tắc 'có bộ đánh giá (eval) trước khi leo thang', Evaluator–Optimizer (giám khảo theo rubric)</t>
  </si>
  <si>
    <t xml:space="preserve">(1)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</si>
  <si>
    <t xml:space="preserve">Mọi tối ưu có số đo trước và sau; bắt hồi quy hành vi sớm.</t>
  </si>
  <si>
    <t xml:space="preserve">LLM-giám khảo có thiên lệch, cần hiệu chỉnh trên một mẫu người chấm; chạy app thật 76 TC × 5 lần tốn chi phí.</t>
  </si>
  <si>
    <t xml:space="preserve">Có hay không bảng chỉ số tự động mỗi lần chạy; tương quan giữa điểm giám khảo và điểm người chấm; số hồi quy bị CI chặn.</t>
  </si>
  <si>
    <t xml:space="preserve">M4-20, M4-21</t>
  </si>
  <si>
    <t xml:space="preserve">M1-21</t>
  </si>
  <si>
    <t xml:space="preserve">CodeAct cho việc phân tích tạm thời</t>
  </si>
  <si>
    <t xml:space="preserve">nang_luc.py + tools/nang_luc.py (tool.propose / tool.reload), loop.py::_nhac_neu_dang_quay_vong (lựa chọn 4)</t>
  </si>
  <si>
    <t xml:space="preserve">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</si>
  <si>
    <t xml:space="preserve">Câu hỏi kiểu 'hàm nào gọi X qua con trỏ', 'tổng kích thước section', 'đối chiếu pinout giữa 3 tệp' cần hàng chục lời gọi JSON, trong khi một đoạn Python 10 dòng giải xong. tool.propose quá nặng cho việc dùng một lần.</t>
  </si>
  <si>
    <t xml:space="preserve">CodeAct</t>
  </si>
  <si>
    <t xml:space="preserve">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</si>
  <si>
    <t xml:space="preserve">Giảm mạnh số lời gọi đọc / lượt ở các câu hỏi phân tích; cầu nối tự nhiên sang tool.propose.</t>
  </si>
  <si>
    <t xml:space="preserve">Sandbox trên macOS khó làm kín (cần sandbox-exec hoặc container); rủi ro an toàn nếu rò quyền ghi hoặc mạng nên phải qua policy và cổng nếu cần. Kết quả mã sai mà trông tin cậy.</t>
  </si>
  <si>
    <t xml:space="preserve">Số lời gọi / lượt ở nhóm câu hỏi phân tích; tỉ lệ py.phan_tich lỗi; số đoạn được nâng thành công cụ.</t>
  </si>
  <si>
    <t xml:space="preserve">M2-17, M3-08</t>
  </si>
  <si>
    <t xml:space="preserve">M1-22</t>
  </si>
  <si>
    <t xml:space="preserve">Độ bền lớp cấp quyền khi điều kiện lỗi</t>
  </si>
  <si>
    <t xml:space="preserve">policy/engine.py::_eval (raise ValueError), loop.py:850-852 (perm = self.policy.decide trong _one_tool), loop.py::turn (try/finally không có except)</t>
  </si>
  <si>
    <t xml:space="preserve">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</si>
  <si>
    <t xml:space="preserve">Một dòng luật viết sai (hoặc một hook đưa xuống facts kiểu lạ) biến thành sự cố toàn lượt thay vì một lời từ chối an toàn. Trái với tinh thần 'lỗi quay về mô hình như dữ liệu'.</t>
  </si>
  <si>
    <t xml:space="preserve">Human-in-the-loop (thất bại an toàn), Prompt Chaining (cổng kiểm)</t>
  </si>
  <si>
    <t xml:space="preserve">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</si>
  <si>
    <t xml:space="preserve">Không còn sập lượt vì cấu hình; lỗi luật lộ ra ngay lúc khởi động.</t>
  </si>
  <si>
    <t xml:space="preserve">Thấp.</t>
  </si>
  <si>
    <t xml:space="preserve">Số lượt kết thúc bằng exception chưa bắt; số lỗi policy phát hiện lúc khởi động.</t>
  </si>
  <si>
    <t xml:space="preserve">M2-01</t>
  </si>
  <si>
    <t xml:space="preserve">Truy vết yêu cầu (traceability) REQ → thiết kế → mã → test</t>
  </si>
  <si>
    <t xml:space="preserve">src/eide/deps.py::ha_nguon_cua (dòng 52–79); src/eide/history.py::ghi_kho (dòng 109–140); src/eide/store/db.py:411</t>
  </si>
  <si>
    <t xml:space="preserve">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</si>
  <si>
    <t xml:space="preserve">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</si>
  <si>
    <t xml:space="preserve">Blackboard (kho hiện vật là bảng trạng thái chung), Memory-augmented</t>
  </si>
  <si>
    <t xml:space="preserve">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</si>
  <si>
    <t xml:space="preserve">STALE chỉ sáng đúng chỗ bị ảnh hưởng. Có ma trận truy vết để đưa vào tài liệu đề án và để tác tử tự hỏi 'REQ nào chưa có test'.</t>
  </si>
  <si>
    <t xml:space="preserve">Tác tử có thể khai thiếu hien_thuc_req. Cần cảnh báo mềm khi fs.write một tệp mã mà không gắn REQ nào, đồng thời giữ đường lan theo loại làm dự phòng cho hiện vật không khai.</t>
  </si>
  <si>
    <t xml:space="preserve">Số hiện vật bị STALE mỗi lần sửa REQ (kỳ vọng giảm &gt;70%); tỉ lệ REQ có đủ chuỗi REQ→code→test; tỉ lệ STALE được người 'chấp nhận không sửa' (đo báo động giả)</t>
  </si>
  <si>
    <t xml:space="preserve">M4-11</t>
  </si>
  <si>
    <t xml:space="preserve">M2-02</t>
  </si>
  <si>
    <t xml:space="preserve">Ma trận truy vết hiển thị và cổng 'phủ yêu cầu' trước khi báo xong</t>
  </si>
  <si>
    <t xml:space="preserve">src/eide/surfaces.py::requirements (dòng 129–200); src/eide/hooks/standard.py::kiem_viec_chua_ai_kiem (dòng 557–612)</t>
  </si>
  <si>
    <t xml:space="preserve">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</si>
  <si>
    <t xml:space="preserve">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</si>
  <si>
    <t xml:space="preserve">Evaluator–Optimizer, Prompt Chaining (cổng kiểm bằng mã), Human-in-the-loop</t>
  </si>
  <si>
    <t xml:space="preserve">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</si>
  <si>
    <t xml:space="preserve">Kiểm thử thành chủ động: tác tử biết thiếu test ở đâu trước khi người dùng phát hiện.</t>
  </si>
  <si>
    <t xml:space="preserve">Thêm một vòng Stop, tốn khoảng 1 lượt. Cần trần: hook chỉ nổ một lần mỗi lượt.</t>
  </si>
  <si>
    <t xml:space="preserve">Tỉ lệ REQ có ≥1 assert/test (coverage yêu cầu); số REQ 'mồ côi' khi kết thúc kế hoạch; số lỗi do người dùng tìm ra sau khi tác tử báo xong</t>
  </si>
  <si>
    <t xml:space="preserve">M2-03</t>
  </si>
  <si>
    <t xml:space="preserve">Kiểm chất lượng yêu cầu (mơ hồ, mâu thuẫn, thiếu tiêu chí chấp nhận)</t>
  </si>
  <si>
    <t xml:space="preserve">src/eide/tools/writing.py::store_req_create (dòng 165–197)</t>
  </si>
  <si>
    <t xml:space="preserve">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</si>
  <si>
    <t xml:space="preserve">REQ không có tiêu chí đo được thì không sinh được assert, và chuỗi truy vết đứt ngay từ gốc. Mâu thuẫn giữa hai REQ (ví dụ 'pin 1 tuần' và 'gửi Wi-Fi mỗi giây') chỉ được phát hiện nếu mô hình tình cờ nhớ ra.</t>
  </si>
  <si>
    <t xml:space="preserve">Evaluator–Optimizer (rubric chất lượng yêu cầu), Prompt Chaining (cổng bằng mã)</t>
  </si>
  <si>
    <t xml:space="preserve">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</si>
  <si>
    <t xml:space="preserve">Bắt lỗi yêu cầu ở đầu chuỗi, nơi sửa rẻ nhất. TC004/TC005 chuyển từ phụ thuộc lời nhắc sang có bằng chứng bằng mã.</t>
  </si>
  <si>
    <t xml:space="preserve">Heuristic dò từ mơ hồ dễ kêu thừa. Chỉ nên cảnh báo, không chặn. req-critic tốn thêm token mỗi đợt đặc tả.</t>
  </si>
  <si>
    <t xml:space="preserve">Tỉ lệ REQ có tiêu chí đo được; số câu hỏi làm rõ sinh ra trên mỗi đặc tả; điểm pass TC004/TC005 theo người chấm (không chỉ dấu hiệu bề mặt)</t>
  </si>
  <si>
    <t xml:space="preserve">M2-04</t>
  </si>
  <si>
    <t xml:space="preserve">So sánh phương án kiến trúc có chấm điểm (ToT/Debate)</t>
  </si>
  <si>
    <t xml:space="preserve">src/eide/tools/design.py::option_create, option_choose; src/eide/surfaces.py:170–185 (bảng A2.3)</t>
  </si>
  <si>
    <t xml:space="preserve">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</si>
  <si>
    <t xml:space="preserve">Các phương án do cùng một mạch suy nghĩ sinh ra, thường có một phương án 'đúng' và vài phương án làm nền. Không có rubric nên không so được định lượng. Yêu cầu §E2 chưa được hiện thực.</t>
  </si>
  <si>
    <t xml:space="preserve">Tree of Thoughts (sinh nhiều hướng, chấm, chọn), Debate (phản biện chéo + trọng tài), Evaluator–Optimizer</t>
  </si>
  <si>
    <t xml:space="preserve">(1)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</si>
  <si>
    <t xml:space="preserve">Quyết định kiến trúc có căn cứ định lượng, đúng tinh thần 'mọi thứ phải có sở cứ'. Giảm thiên lệch một phương án.</t>
  </si>
  <si>
    <t xml:space="preserve">Token nhân khoảng 3–4 lần ở bước thiết kế; độ trễ tăng. Chỉ bật cho việc 'tạo mới' (thieu_phan_tich đã phân biệt) hoặc khi người dùng yêu cầu.</t>
  </si>
  <si>
    <t xml:space="preserve">Số phương án trung bình mỗi quyết định; độ chênh điểm giữa phương án chọn và phương án nhì; tỉ lệ ADR bị đổi lại sau đó (đảo quyết định)</t>
  </si>
  <si>
    <t xml:space="preserve">M2-05</t>
  </si>
  <si>
    <t xml:space="preserve">Kiểm tham chiếu REQ trong phương án</t>
  </si>
  <si>
    <t xml:space="preserve">src/eide/tools/design.py::option_create; đối chiếu src/eide/tools/ckm.py:286</t>
  </si>
  <si>
    <t xml:space="preserve">ckm.module_set kiểm từng mã trong dap_ung_req có tồn tại trong kho (req_la) và báo lại. store.option_create nhận dap_ung_req/khong_dap_ung mà không kiểm REQ có thật không, cũng không kiểm hợp của hai danh sách có phủ hết REQ hiện có.</t>
  </si>
  <si>
    <t xml:space="preserve">Tác tử có thể ghi REQ không tồn tại, hoặc bỏ sót REQ: phương án không nói gì về FR-05, nên người duyệt không biết nó có đáp ứng hay không. Bảng so sánh có lỗ mà trông như đủ.</t>
  </si>
  <si>
    <t xml:space="preserve">Prompt Chaining (cổng kiểm bằng mã)</t>
  </si>
  <si>
    <t xml:space="preserve">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</si>
  <si>
    <t xml:space="preserve">Mọi phương án được xét đầy đủ trên tập REQ; bảng so sánh trung thực.</t>
  </si>
  <si>
    <t xml:space="preserve">Rất thấp.</t>
  </si>
  <si>
    <t xml:space="preserve">Số REQ 'chưa xét' trung bình mỗi phương án; số lỗi tham chiếu REQ lạ</t>
  </si>
  <si>
    <t xml:space="preserve">M2-06</t>
  </si>
  <si>
    <t xml:space="preserve">Kế hoạch sinh mã dạng Prompt Chaining có cổng kiểm từng bước</t>
  </si>
  <si>
    <t xml:space="preserve">src/eide/ke_hoach.py::Buoc, kiem_ke_hoach, thieu_phan_tich; src/eide/tools/ke_hoach.py:246–270</t>
  </si>
  <si>
    <t xml:space="preserve">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</si>
  <si>
    <t xml:space="preserve">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</si>
  <si>
    <t xml:space="preserve">Prompt Chaining, Plan-and-Execute</t>
  </si>
  <si>
    <t xml:space="preserve">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</si>
  <si>
    <t xml:space="preserve">Lỗi được chặn ngay tại bước sinh ra nó, không dồn tới cuối kế hoạch.</t>
  </si>
  <si>
    <t xml:space="preserve">Mỗi bước thêm một lời gọi build/test. Với AVR/ARM biên dịch nhanh nên chấp nhận được; cho phép kiem='khong' kèm lý do cho bước thuần tài liệu.</t>
  </si>
  <si>
    <t xml:space="preserve">Số lỗi biên dịch/test phát hiện ở bước cuối so với tại bước; số lượt sửa lại; pass@1 build sau mỗi bước</t>
  </si>
  <si>
    <t xml:space="preserve">M2-07</t>
  </si>
  <si>
    <t xml:space="preserve">Replanner khi bước thất bại</t>
  </si>
  <si>
    <t xml:space="preserve">src/eide/ke_hoach.py::doi_chieu (dòng 285–301); hooks/standard.py::doi_chieu_ke_hoach</t>
  </si>
  <si>
    <t xml:space="preserve">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</si>
  <si>
    <t xml:space="preserve">Khi một bước vỡ (ví dụ thiết kế ISR không đạt thời gian), tác tử hoặc tự ứng biến ngoài kế hoạch, hoặc bỏ cả kế hoạch. Phần đã làm và lý do đổi hướng không được ghi thành tri thức.</t>
  </si>
  <si>
    <t xml:space="preserve">Plan-and-Execute (Replanner), Reflexion</t>
  </si>
  <si>
    <t xml:space="preserve">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</si>
  <si>
    <t xml:space="preserve">Kế hoạch dài sống sót qua thất bại cục bộ; người dùng thấy rõ vì sao đổi hướng.</t>
  </si>
  <si>
    <t xml:space="preserve">Thêm một công cụ và một nhánh duyệt; cần trần số lần revise (ví dụ 3) để tránh lập kế hoạch vô tận.</t>
  </si>
  <si>
    <t xml:space="preserve">Tỉ lệ kế hoạch hoàn thành; số lần plan.enter lại do bỏ kế hoạch; số bước 'ngoai_ke_hoach' trung bình</t>
  </si>
  <si>
    <t xml:space="preserve">M2-08</t>
  </si>
  <si>
    <t xml:space="preserve">Phân tích mã tĩnh: nhận diện hàm (ISR, static, macro)</t>
  </si>
  <si>
    <t xml:space="preserve">src/eide/phan_tich_ma.py::_HAM (dòng 33–41), _ky_hieu</t>
  </si>
  <si>
    <t xml:space="preserve">Regex C là '^[A-Za-z_][\w \*]*\s+\**(\w+)\s*\([^;]*\)\s*\{': bắt buộc có kiểu trả về trước tên hàm. Header được tách theo prototype.</t>
  </si>
  <si>
    <t xml:space="preserve">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</si>
  <si>
    <t xml:space="preserve">CodeAct (phân tích bằng công cụ thật thay vì regex)</t>
  </si>
  <si>
    <t xml:space="preserve">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</si>
  <si>
    <t xml:space="preserve">Tài liệu phân tích liệt kê đủ ISR, nên code-analyst soi được đúng chỗ đắt nhất.</t>
  </si>
  <si>
    <t xml:space="preserve">tree-sitter là phụ thuộc mới; regex bổ sung thì gần như không rủi ro.</t>
  </si>
  <si>
    <t xml:space="preserve">Tỉ lệ ISR được nhận diện trên bộ dự án mẫu (robot AVR, STM32F469); số ký hiệu bỏ sót so với ctags</t>
  </si>
  <si>
    <t xml:space="preserve">M2-09</t>
  </si>
  <si>
    <t xml:space="preserve">Phân tích tĩnh chiều sâu: call graph, độ phức tạp, ngăn xếp, ngữ cảnh ISR</t>
  </si>
  <si>
    <t xml:space="preserve">src/eide/phan_tich_ma.py (cả tệp, 144 dòng); docstring 'Không phân tích ngữ nghĩa, không dựng đồ thị gọi hàm đúng nghĩa'</t>
  </si>
  <si>
    <t xml:space="preserve">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</si>
  <si>
    <t xml:space="preserve">Với firmware, các lỗi đắt nhất là tràn ngăn xếp, race condition giữa ISR và main, và ISR quá dài. Phép quét văn bản không thấy được những lỗi này, còn code-analyst chỉ đọc bằng mắt với 14 lời gọi.</t>
  </si>
  <si>
    <t xml:space="preserve">CodeAct, Evaluator–Optimizer</t>
  </si>
  <si>
    <t xml:space="preserve">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</si>
  <si>
    <t xml:space="preserve">Bắt được lớp lỗi firmware mà test trên máy chủ không bắt được; code-analyst có dữ kiện thật để nhận định.</t>
  </si>
  <si>
    <t xml:space="preserve">Phụ thuộc phiên bản GCC và cppcheck; addon MISRA cần tệp luật có bản quyền, nên chỉ chạy kiểm tra cú pháp. Cần trần thời gian chạy.</t>
  </si>
  <si>
    <t xml:space="preserve">Số phát hiện thật/giả trên bộ mã robot; ngăn xếp ước lượng so với đo thật (stack painting); tỉ lệ lỗi race được bắt trước khi nạp</t>
  </si>
  <si>
    <t xml:space="preserve">M4-13</t>
  </si>
  <si>
    <t xml:space="preserve">M2-10</t>
  </si>
  <si>
    <t xml:space="preserve">Biến 'điều cấm' trong đặc tả thành luật máy kiểm</t>
  </si>
  <si>
    <t xml:space="preserve">tools/sinh_yeu_cau_robot.py:353–390 ('1.4. Bốn điều cấm')</t>
  </si>
  <si>
    <t xml:space="preserve">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</si>
  <si>
    <t xml:space="preserve">Đây chính là các yêu cầu ràng buộc (constraint REQ) kiểm được bằng máy, nhưng không có artefact REQ nào và không có luật nào kiểm mã sinh ra có vi phạm hay không. Tác tử sinh mã có thể vi phạm mà không ai báo.</t>
  </si>
  <si>
    <t xml:space="preserve">Prompt Chaining (cổng bằng mã), Evaluator–Optimizer</t>
  </si>
  <si>
    <t xml:space="preserve">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</si>
  <si>
    <t xml:space="preserve">Đặc tả và mã được giữ khớp nhau tự động; vi phạm bị bắt ngay khi ghi.</t>
  </si>
  <si>
    <t xml:space="preserve">Luật quá đơn giản (cấm '/') sẽ kêu thừa khi chia cho hằng lũy thừa 2. Cần danh sách ngoại lệ.</t>
  </si>
  <si>
    <t xml:space="preserve">Số vi phạm ràng buộc phát hiện lúc ghi so với lúc chạy trên bo; tỉ lệ kêu thừa</t>
  </si>
  <si>
    <t xml:space="preserve">M2-11</t>
  </si>
  <si>
    <t xml:space="preserve">Hiệu năng và phạm vi quét của code.analyze</t>
  </si>
  <si>
    <t xml:space="preserve">src/eide/phan_tich_ma.py::quet (dòng 82–106), BO_QUA (dòng 45)</t>
  </si>
  <si>
    <t xml:space="preserve">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</si>
  <si>
    <t xml:space="preserve">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</si>
  <si>
    <t xml:space="preserve">(nguyên tắc chung: kết quả công cụ gọn)</t>
  </si>
  <si>
    <t xml:space="preserve">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</si>
  <si>
    <t xml:space="preserve">code.analyze nhanh hơn và có nhiều tín hiệu thật hơn nhiễu.</t>
  </si>
  <si>
    <t xml:space="preserve">Loại trừ thư mục vendor có thể bỏ sót trường hợp người dùng sửa HAL. Cho phép ghi đè bằng tham số.</t>
  </si>
  <si>
    <t xml:space="preserve">Thời gian code.analyze trên dự án F469; số mục 'chỗ phải xem lại' trên mỗi thay đổi</t>
  </si>
  <si>
    <t xml:space="preserve">M2-12</t>
  </si>
  <si>
    <t xml:space="preserve">Sơ đồ kiến trúc phần mềm trên tab Thiết kế</t>
  </si>
  <si>
    <t xml:space="preserve">src/eide/kien_truc.py::so_do_mo_dun, muc_kien_truc (dòng 67–225)</t>
  </si>
  <si>
    <t xml:space="preserve">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</si>
  <si>
    <t xml:space="preserve">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</si>
  <si>
    <t xml:space="preserve">Evaluator–Optimizer (kiểm kiến trúc khớp thiết kế)</t>
  </si>
  <si>
    <t xml:space="preserve">(1)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</si>
  <si>
    <t xml:space="preserve">Phát hiện được trôi kiến trúc (architecture drift) giữa ADR và mã thật.</t>
  </si>
  <si>
    <t xml:space="preserve">Độ phức tạp hiển thị tăng; giữ trần 40 nút.</t>
  </si>
  <si>
    <t xml:space="preserve">Số cạnh nối sai (so với include thật); số vi phạm phân tầng phát hiện</t>
  </si>
  <si>
    <t xml:space="preserve">M2-13</t>
  </si>
  <si>
    <t xml:space="preserve">Rà soát thiết kế phần mềm (design-review cho kiến trúc, không chỉ mạch)</t>
  </si>
  <si>
    <t xml:space="preserve">src/eide/subagent.py:82–91 ('design-review'); src/eide/skills/design-review-checklist.md</t>
  </si>
  <si>
    <t xml:space="preserve">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</si>
  <si>
    <t xml:space="preserve">Thiết kế phần mềm được chốt qua G-DESIGN mà không có góc nhìn phản biện độc lập nào. Người duyệt chỉ thấy lập luận của chính tác tử đề xuất.</t>
  </si>
  <si>
    <t xml:space="preserve">Debate (phản biện + trọng tài), Evaluator–Optimizer</t>
  </si>
  <si>
    <t xml:space="preserve">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</si>
  <si>
    <t xml:space="preserve">Quyết định kiến trúc được phản biện trước khi khoá, nên giảm việc đổi kiến trúc giữa chừng.</t>
  </si>
  <si>
    <t xml:space="preserve">Thêm khoảng 8–10 lời gọi cho mỗi lần chốt; có thể kêu thừa nếu checklist quá chung.</t>
  </si>
  <si>
    <t xml:space="preserve">Số phát hiện có giá trị trong mỗi lần rà; tỉ lệ ADR bị đảo sau khi đã chốt</t>
  </si>
  <si>
    <t xml:space="preserve">Subagent firmware: tiêu chí 'xong' chỉ là biên dịch được</t>
  </si>
  <si>
    <t xml:space="preserve">src/eide/subagent.py:92–102 ('firmware')</t>
  </si>
  <si>
    <t xml:space="preserve">System prompt ghi: 'Biên dịch xong mới được nói là xong; ket_luan: dat chỉ khi build.compile trả về có tệp ảnh'. Danh sách công cụ không có test.run, test.sensitivity, sim.run hay code.analyze.</t>
  </si>
  <si>
    <t xml:space="preserve">Định nghĩa xong là 'biên dịch được' nằm ngay trong subagent sinh mã. Worker không tự chạy test và không đo độ nhạy test được, nên lỗi logic chỉ lộ ra khi verifier chạy hoặc khi chạy trên bo.</t>
  </si>
  <si>
    <t xml:space="preserve">Supervisor–Workers, Evaluator–Optimizer (vòng sinh–chấm–sửa có trần)</t>
  </si>
  <si>
    <t xml:space="preserve">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</si>
  <si>
    <t xml:space="preserve">Worker trả về mã đã qua kiểm thử đơn vị, nên giảm số lượt verifier bác.</t>
  </si>
  <si>
    <t xml:space="preserve">Subagent tốn thêm 2–4 lời gọi; cần nâng toi_da_goi tương ứng (xem VIEC-CHO-LAM mục 6 về hạn quá chặt).</t>
  </si>
  <si>
    <t xml:space="preserve">Tỉ lệ verifier trả khong_dat sau firmware; số ca test hỏng phát hiện sau khi worker báo xong</t>
  </si>
  <si>
    <t xml:space="preserve">M1-03, M4-02</t>
  </si>
  <si>
    <t xml:space="preserve">M2-15</t>
  </si>
  <si>
    <t xml:space="preserve">Tài liệu dự án người dùng đồng bộ với mã (doc-code sync)</t>
  </si>
  <si>
    <t xml:space="preserve">tests/test_tai_lieu_khop_ma.py; tools/kiem_tai_lieu.py; tools/sinh_yeu_cau_robot.py</t>
  </si>
  <si>
    <t xml:space="preserve">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</si>
  <si>
    <t xml:space="preserve">Sửa mã firmware (đổi chân, đổi hằng số PID) thì tài liệu yêu cầu và thiết kế lệch đi trong im lặng. STALE chỉ áp cho hiện vật trong kho, không áp cho tệp tài liệu tác tử tự viết.</t>
  </si>
  <si>
    <t xml:space="preserve">Evaluator–Optimizer, Blackboard</t>
  </si>
  <si>
    <t xml:space="preserve">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</si>
  <si>
    <t xml:space="preserve">Tài liệu luận văn/đề án luôn khớp mã đang chạy, đúng yêu cầu 'mọi thứ phải có sở cứ'.</t>
  </si>
  <si>
    <t xml:space="preserve">Trích cặp (tên = giá trị) từ văn xuôi tiếng Việt dễ sót; nên bắt đầu với bảng Markdown và khối code.</t>
  </si>
  <si>
    <t xml:space="preserve">Số chỗ lệch tài liệu–mã phát hiện; thời gian từ khi sửa mã tới khi tài liệu được cập nhật</t>
  </si>
  <si>
    <t xml:space="preserve">M2-16</t>
  </si>
  <si>
    <t xml:space="preserve">Kiểu sơ đồ thiết kế: stateDiagram, classDiagram</t>
  </si>
  <si>
    <t xml:space="preserve">src/eide/so_do.py::doc (dòng 102–108); skills/trinh-bay-bang-hinh.md ('Hai kiểu vẽ được, và chỉ hai')</t>
  </si>
  <si>
    <t xml:space="preserve">Bộ vẽ PNG chỉ đọc sequenceDiagram và graph/flowchart; kiểu khác trả None và in mã kèm câu nói rõ là chưa vẽ được. Skill dặn tác tử diễn đạt lại bằng hai kiểu trên.</t>
  </si>
  <si>
    <t xml:space="preserve">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</si>
  <si>
    <t xml:space="preserve">(công cụ trình bày; hỗ trợ Evaluator kiểm thiết kế)</t>
  </si>
  <si>
    <t xml:space="preserve">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</si>
  <si>
    <t xml:space="preserve">Thiết kế hành vi firmware được vẽ đúng loại và kiểm được bằng máy.</t>
  </si>
  <si>
    <t xml:space="preserve">Phải sửa hai bộ đọc (Python + Swift), như docstring đã nêu.</t>
  </si>
  <si>
    <t xml:space="preserve">Số sơ đồ trạng thái vẽ thành công; số lỗi máy trạng thái phát hiện</t>
  </si>
  <si>
    <t xml:space="preserve">M2-17</t>
  </si>
  <si>
    <t xml:space="preserve">CodeAct: phân tích dữ liệu và mã bằng code chạy trong sandbox</t>
  </si>
  <si>
    <t xml:space="preserve">Danh sách công cụ đăng ký (tools/*.py): không có công cụ chạy Python/shell tuỳ ý; tool.propose là đường duy nhất để tác tử tự viết mã công cụ</t>
  </si>
  <si>
    <t xml:space="preserve">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</si>
  <si>
    <t xml:space="preserve">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</si>
  <si>
    <t xml:space="preserve">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</si>
  <si>
    <t xml:space="preserve">Gộp 10–20 lời gọi đọc thành 1; phân tích dữ liệu đo và log chính xác hơn so với mô hình tự 'đọc' bằng mắt.</t>
  </si>
  <si>
    <t xml:space="preserve">Bảo mật sandbox trên macOS (không có seccomp); phải giữ nguyên tắc chỉ đọc và chặn mạng; mã sinh ra có thể sai. Kết quả phải được trình bày là DỮ KIỆN do mã chạy, tách khỏi nhận định.</t>
  </si>
  <si>
    <t xml:space="preserve">Số lời gọi trên mỗi câu hỏi phân tích; tỉ lệ lượt chạm trần 40 lời gọi; độ chính xác câu trả lời phân tích log</t>
  </si>
  <si>
    <t xml:space="preserve">M2-18</t>
  </si>
  <si>
    <t xml:space="preserve">Bộ đánh giá (eval) cho mảng phân tích–thiết kế</t>
  </si>
  <si>
    <t xml:space="preserve">tools/bo_usecase.py (dòng 1–25: 'Phép chấm này đo… bề mặt')</t>
  </si>
  <si>
    <t xml:space="preserve">Bộ 76 ca chấm bằng dau_hieu (cụm từ phải có), cam (cụm từ không được có) và cong_cu (công cụ phải được gọi). Docstring tự thừa nhận: 'Ô xanh ở đây nghĩa là có dấu hiệu… không phải đã làm đúng'.</t>
  </si>
  <si>
    <t xml:space="preserve">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</si>
  <si>
    <t xml:space="preserve">Evaluator–Optimizer (eval trước khi leo thang)</t>
  </si>
  <si>
    <t xml:space="preserve">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</si>
  <si>
    <t xml:space="preserve">Có thước đo khách quan để chứng minh cải tiến trong đề án và tránh báo xanh giả.</t>
  </si>
  <si>
    <t xml:space="preserve">LLM-as-judge có thiên lệch; cần đối chiếu với nhãn người trên ít nhất 20 ca.</t>
  </si>
  <si>
    <t xml:space="preserve">Các chỉ số kho nêu trên theo từng phiên bản; độ tương quan giữa điểm judge và điểm người</t>
  </si>
  <si>
    <t xml:space="preserve">M5-21</t>
  </si>
  <si>
    <t xml:space="preserve">M2-19</t>
  </si>
  <si>
    <t xml:space="preserve">Chống giả mạo xuất xứ quyết định (điểm mạnh cần giữ, có thể mở rộng)</t>
  </si>
  <si>
    <t xml:space="preserve">src/eide/tools/design.py::_kiem_nguoi_that_su_chon (E5006–E5009); src/eide/surfaces.py::_ai_quyet</t>
  </si>
  <si>
    <t xml:space="preserve">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</si>
  <si>
    <t xml:space="preserve">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</si>
  <si>
    <t xml:space="preserve">Human-in-the-loop, Agentic RAG (kiểm bám nguồn)</t>
  </si>
  <si>
    <t xml:space="preserve">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</si>
  <si>
    <t xml:space="preserve">Gốc truy vết đáng tin; giảm REQ do tác tử tự 'sáng tác'.</t>
  </si>
  <si>
    <t xml:space="preserve">Người dùng nói bằng giọng nói hoặc qua tệp đính kèm thì câu trích có thể không khớp nguyên văn; cần cho phép trích từ tài liệu đã nạp (doc ref).</t>
  </si>
  <si>
    <t xml:space="preserve">Tỉ lệ REQ có source_quote khớp sổ cái; số REQ bị từ chối vì trích không khớp</t>
  </si>
  <si>
    <t xml:space="preserve">M3-01</t>
  </si>
  <si>
    <t xml:space="preserve">ERC theo cây — bộ luật</t>
  </si>
  <si>
    <t xml:space="preserve">src/eide/knowledge/erc.py:136 (erc) + knowledge/compare.py:211 (qua_ap)</t>
  </si>
  <si>
    <t xml:space="preserve">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</si>
  <si>
    <t xml:space="preserve">Lỗi đắt nhất trong mạch nhúng là cấp 5 V vào chân chỉ chịu 3,3 V (hỏng vĩnh viễn), và ERC tự động không bắt được lỗi này. Tác tử phải tự nhớ ra việc gọi fact.compare. board.check báo 'đạt' cho một mạch có thể đốt chip.</t>
  </si>
  <si>
    <t xml:space="preserve">Prompt Chaining (cổng kiểm bằng code), Evaluator–Optimizer</t>
  </si>
  <si>
    <t xml:space="preserve">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</si>
  <si>
    <t xml:space="preserve">Bắt lớp lỗi phá huỷ phần cứng ngay ở mức sơ đồ, trước khi hàn hay nạp.</t>
  </si>
  <si>
    <t xml:space="preserve">Báo nhầm khi chân có diode kẹp hoặc chịu được 5 V mà chưa có Fact. Cần khoá v_tolerant để người xác nhận ngoại lệ.</t>
  </si>
  <si>
    <t xml:space="preserve">Tỉ lệ bắt lỗi trên bộ ca cài sẵn lỗi 5V→3V3 (mục tiêu 100%); số lỗi lọt xuống mạch thật</t>
  </si>
  <si>
    <t xml:space="preserve">M3-02</t>
  </si>
  <si>
    <t xml:space="preserve">ERC — mức logic</t>
  </si>
  <si>
    <t xml:space="preserve">src/eide/knowledge/erc.py:343 (muc_logic_tren_net), compare.py:192 (muc_logic), knowledge/docs.py:344 (_MAU_THONG_SO)</t>
  </si>
  <si>
    <t xml:space="preserve">Luật mức logic chỉ so VOH(phát) ≥ VIH(thu). docs.py đã trích được vil.max và vol.max, nhưng KHOA của ERC không có hai khoá này. Giá trị lấy bằng regex số kèm đơn vị trên cùng một dòng.</t>
  </si>
  <si>
    <t xml:space="preserve">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</si>
  <si>
    <t xml:space="preserve">Prompt Chaining (cổng mã), Agentic RAG (kiểm bám nguồn)</t>
  </si>
  <si>
    <t xml:space="preserve">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</si>
  <si>
    <t xml:space="preserve">Kiểm đủ tương thích mức logic khi nối hai miền điện áp, ví dụ ESP32 3V3 với module 5V, và bớt 'đạt' giả do đọc sai VIH dạng tỉ lệ.</t>
  </si>
  <si>
    <t xml:space="preserve">Fact dạng tỉ lệ cần biết rail của chân. Thiếu rail thì phải trả 'chưa đủ dữ kiện'.</t>
  </si>
  <si>
    <t xml:space="preserve">Số cặp phát–thu được kết luận (không còn 'chưa đủ dữ kiện'); số Fact VIH dạng tỉ lệ đọc đúng trên 10 datasheet mẫu</t>
  </si>
  <si>
    <t xml:space="preserve">M5-06</t>
  </si>
  <si>
    <t xml:space="preserve">M3-03</t>
  </si>
  <si>
    <t xml:space="preserve">ERC theo kiểu chân (ma trận điện)</t>
  </si>
  <si>
    <t xml:space="preserve">src/eide/sch/kyhieu.py:27 (KIEU_CHAN), tools/sch.py:11 (không có KiCad), knowledge/ckm.py:563 (net_mot_chan)</t>
  </si>
  <si>
    <t xml:space="preserve">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</si>
  <si>
    <t xml:space="preserve">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</si>
  <si>
    <t xml:space="preserve">Evaluator–Optimizer, Prompt Chaining</t>
  </si>
  <si>
    <t xml:space="preserve">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</si>
  <si>
    <t xml:space="preserve">Thay chỗ ERC KiCad còn thiếu mà không phải cài KiCad; bắt chập đầu ra và chân nguồn không được cấp.</t>
  </si>
  <si>
    <t xml:space="preserve">Kiểu chân suy sai, nhất là passive, sẽ sinh báo nhầm. Nên hạ mức xuống cảnh báo khi ký hiệu chưa được người xác nhận.</t>
  </si>
  <si>
    <t xml:space="preserve">Tỉ lệ bắt lỗi trên bộ ca cài sẵn lỗi kiểu chân; tỉ lệ báo nhầm trên 3 mạch mẫu của SCH-44 §D</t>
  </si>
  <si>
    <t xml:space="preserve">M3-04</t>
  </si>
  <si>
    <t xml:space="preserve">ERC — toàn vẹn net nguồn / ngắn mạch</t>
  </si>
  <si>
    <t xml:space="preserve">src/eide/knowledge/erc.py:_hai_ve_dong, _la_dat, _nhom_nguon</t>
  </si>
  <si>
    <t xml:space="preserve">_hai_ve_dong chỉ giữ MỘT khối cấp, cái có Fact iout_max tin nhất, và lặng lẽ bỏ qua các khối cấp khác trên cùng net. _la_dat bỏ hẳn net đất khỏi phép kiểm. Không có kiểm tra rail nào bị nối thẳng vào GND.</t>
  </si>
  <si>
    <t xml:space="preserve">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</si>
  <si>
    <t xml:space="preserve">Evaluator–Optimizer (cổng mã)</t>
  </si>
  <si>
    <t xml:space="preserve">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</si>
  <si>
    <t xml:space="preserve">Bắt ngắn mạch nguồn và tranh chấp nguồn, hai lỗi làm cháy bo ngay lần cấp điện đầu tiên.</t>
  </si>
  <si>
    <t xml:space="preserve">Thấp; cần một ngoại lệ có khai báo cho mạch power-path.</t>
  </si>
  <si>
    <t xml:space="preserve">Ca kiểm ngắn mạch/tranh chấp được bắt; báo nhầm trên mạch mẫu = 0</t>
  </si>
  <si>
    <t xml:space="preserve">M3-05</t>
  </si>
  <si>
    <t xml:space="preserve">ERC — luật miền thiếu (decoupling, boot/reset, LED, nhiệt)</t>
  </si>
  <si>
    <t xml:space="preserve">src/eide/knowledge/erc.py:136; skills/design-review-checklist.md</t>
  </si>
  <si>
    <t xml:space="preserve">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</si>
  <si>
    <t xml:space="preserve">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</si>
  <si>
    <t xml:space="preserve">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</si>
  <si>
    <t xml:space="preserve">Phủ thêm nhóm lỗi hay gặp nhất của bo tự làm; kết quả rà soát có căn cứ là mã chứ không phải trí nhớ của mô hình.</t>
  </si>
  <si>
    <t xml:space="preserve">Dễ báo nhầm, ví dụ tụ dùng chung cho cụm chân. Nên để mức cảnh báo và có cơ chế người chấp nhận (stale.accept tương tự).</t>
  </si>
  <si>
    <t xml:space="preserve">Số lỗi miền bắt được trên bộ 10 mạch lỗi cài sẵn; tỉ lệ người chấp nhận phát hiện, đo độ nhiễu</t>
  </si>
  <si>
    <t xml:space="preserve">M3-06</t>
  </si>
  <si>
    <t xml:space="preserve">ERC — pull-up I2C</t>
  </si>
  <si>
    <t xml:space="preserve">src/eide/knowledge/erc.py:454 (pull_up_bus), compare.py:264 (pull_up)</t>
  </si>
  <si>
    <t xml:space="preserve">pull_up_bus đếm mọi linh kiện có ref bắt đầu bằng 'R' nối vào net SDA/SCL rồi coi đó là pull-up. compare.pull_up chỉ cảnh báo khi R &gt; 2×khuyến nghị.</t>
  </si>
  <si>
    <t xml:space="preserve">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</si>
  <si>
    <t xml:space="preserve">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</si>
  <si>
    <t xml:space="preserve">Bớt báo nhầm, và bắt thêm lỗi pull-up quá mạnh hoặc quá yếu, loại lỗi 'chạy lúc được lúc không'.</t>
  </si>
  <si>
    <t xml:space="preserve">Giả định Cb phải được nói ra (N4) và đánh tầng ĐỒNG.</t>
  </si>
  <si>
    <t xml:space="preserve">Báo nhầm pull-up trên mạch có R nối tiếp = 0; ca R quá nhỏ được bắt</t>
  </si>
  <si>
    <t xml:space="preserve">M3-07</t>
  </si>
  <si>
    <t xml:space="preserve">Nối Fact trích từ datasheet ↔ khoá ERC</t>
  </si>
  <si>
    <t xml:space="preserve">src/eide/knowledge/erc.py:40 (KHOA) vs knowledge/docs.py:357 ('icc.typ'), tools/sch.py:216</t>
  </si>
  <si>
    <t xml:space="preserve">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</si>
  <si>
    <t xml:space="preserve">Trên dự án thật, ngan_sach_dong và trung_dia_chi gần như luôn ra 'chưa đủ dữ kiện', còn sch.netlist báo 'ERC 0 lỗi chặn'. Đó là một ô xanh giả, vì phần lớn luật chưa hề được đánh giá. Tác tử không biết mình cần nạp Fact gì.</t>
  </si>
  <si>
    <t xml:space="preserve">Agentic RAG (định tuyến/viết lại truy vấn), Prompt Chaining</t>
  </si>
  <si>
    <t xml:space="preserve">(1)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</si>
  <si>
    <t xml:space="preserve">ERC thực sự đánh giá được thay vì luôn im lặng; tác tử có đường đi cụ thể để lấp dữ kiện còn thiếu.</t>
  </si>
  <si>
    <t xml:space="preserve">Thêm mẫu regex có thể bắt nhầm, cần PHAM_VI_HOP_LY cho khoá mới.</t>
  </si>
  <si>
    <t xml:space="preserve">Tỉ lệ phát hiện 'chua_du_du_kien' / tổng trên 3 mạch mẫu (mục tiêu &lt; 30%)</t>
  </si>
  <si>
    <t xml:space="preserve">M5-05</t>
  </si>
  <si>
    <t xml:space="preserve">M3-08</t>
  </si>
  <si>
    <t xml:space="preserve">Tính toán kỹ thuật bằng mã (CodeAct)</t>
  </si>
  <si>
    <t xml:space="preserve">src/eide/knowledge/khoi_thu_vien.py:56–81 (CONG_THUC)</t>
  </si>
  <si>
    <t xml:space="preserve">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</si>
  <si>
    <t xml:space="preserve">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</si>
  <si>
    <t xml:space="preserve">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</si>
  <si>
    <t xml:space="preserve">Các giá trị linh kiện có công thức, tham số và nguồn đi kèm; bớt lỗi số học và lỗi đơn vị.</t>
  </si>
  <si>
    <t xml:space="preserve">Thêm một công cụ vào lược đồ tool; cần sandbox an toàn (không eval).</t>
  </si>
  <si>
    <t xml:space="preserve">Tỉ lệ con số dẫn xuất trong hiện vật có GiaTriDanXuat; sai số trên bộ 20 bài tính mạch chuẩn</t>
  </si>
  <si>
    <t xml:space="preserve">M3-09</t>
  </si>
  <si>
    <t xml:space="preserve">Chọn linh kiện / trích datasheet (Agentic RAG)</t>
  </si>
  <si>
    <t xml:space="preserve">src/eide/tools/knowledge.py:751 (fact.extract), knowledge/docs.py:372 (trich_fact_ung_vien)</t>
  </si>
  <si>
    <t xml:space="preserve">fact.extract đọc số bằng regex theo dòng hoặc theo hàng bảng, có số trang và trích đoạn nguyên văn, tầng BẠC. Khi không trích được thì công cụ bảo dừng ('đừng bịa'). Không có công cụ chọn hoặc so sánh linh kiện theo thông số.</t>
  </si>
  <si>
    <t xml:space="preserve">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</si>
  <si>
    <t xml:space="preserve">Agentic RAG (CRAG/Self-RAG), Routing</t>
  </si>
  <si>
    <t xml:space="preserve">(1)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</si>
  <si>
    <t xml:space="preserve">Tăng độ phủ Fact cho ERC; chọn linh kiện có căn cứ, truy vết được tới trang datasheet.</t>
  </si>
  <si>
    <t xml:space="preserve">Thêm token và độ trễ; LLM trích sai. Giảm rủi ro bằng kiểm bám nguyên văn bằng mã và người xác nhận lên VÀNG.</t>
  </si>
  <si>
    <t xml:space="preserve">Recall khoá ERC trên 20 datasheet; tỉ lệ Fact LLM bị loại ở bước kiểm bám; số lời gọi mỗi lần chọn một linh kiện</t>
  </si>
  <si>
    <t xml:space="preserve">M5-04</t>
  </si>
  <si>
    <t xml:space="preserve">M3-10</t>
  </si>
  <si>
    <t xml:space="preserve">Vòng sinh → ERC → sửa cho thiết kế mạch</t>
  </si>
  <si>
    <t xml:space="preserve">src/eide/hooks/standard.py:303 (ledger_and_lint), kiem_chung.py:19 (_GHI_CHAC_CHAN), tools/ckm.py:766 (board.check)</t>
  </si>
  <si>
    <t xml:space="preserve">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</si>
  <si>
    <t xml:space="preserve">Thiếu Evaluator–Optimizer đúng nghĩa: tác tử có thể thêm net, kết lượt và không bao giờ thấy lỗi chặn mới. Không có trần vòng riêng cho việc sửa ERC, nên hoặc không sửa, hoặc quay vòng tới hết ngân sách 40 lời gọi.</t>
  </si>
  <si>
    <t xml:space="preserve">Evaluator–Optimizer, Prompt Chaining, Human-in-the-loop</t>
  </si>
  <si>
    <t xml:space="preserve">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</si>
  <si>
    <t xml:space="preserve">Lỗi được phát hiện ngay tại bước gây ra nó; vòng sửa có trần.</t>
  </si>
  <si>
    <t xml:space="preserve">Kết quả công cụ dài thêm; phải giới hạn chỉ phần delta và ≤3 dòng.</t>
  </si>
  <si>
    <t xml:space="preserve">Số blocker còn lại lúc kết lượt; số lời gọi trung bình để đưa ERC về 0 blocker; số lần chạm trần 3 vòng</t>
  </si>
  <si>
    <t xml:space="preserve">M3-11</t>
  </si>
  <si>
    <t xml:space="preserve">Footprint và đối chiếu BOM</t>
  </si>
  <si>
    <t xml:space="preserve">src/eide/sch/netlist.py:viet_net, knowledge/eda.py:262 (doi_chieu_bom_netlist)</t>
  </si>
  <si>
    <t xml:space="preserve">viet_net ghi comp chỉ gồm ref/value/libsource, không có (footprint). eda.py có đọc trường footprint, nhưng doi_chieu_bom_netlist chỉ so ref, giá trị và số lượng.</t>
  </si>
  <si>
    <t xml:space="preserve">Netlist xuất ra không làm PCB được nếu chưa gán footprint bằng tay. Lỗi gói sai (SOT-23 hay SOT-223, chân 1 ở đâu) và lệch footprint giữa BOM và sơ đồ không được kiểm. Đây là lỗi hay chỉ lộ ra lúc hàn.</t>
  </si>
  <si>
    <t xml:space="preserve">Prompt Chaining (cổng mã)</t>
  </si>
  <si>
    <t xml:space="preserve">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</si>
  <si>
    <t xml:space="preserve">Netlist dùng được cho bước PCB; bắt sai gói trước khi đặt mạch in.</t>
  </si>
  <si>
    <t xml:space="preserve">Cần bảng ánh xạ tên footprint ra số pad.</t>
  </si>
  <si>
    <t xml:space="preserve">Tỉ lệ linh kiện có footprint; số lệch gói bắt được trên bộ ca</t>
  </si>
  <si>
    <t xml:space="preserve">M3-12</t>
  </si>
  <si>
    <t xml:space="preserve">Mô phỏng HDL — đọc PASS/FAIL</t>
  </si>
  <si>
    <t xml:space="preserve">src/eide/build/hdl.py:497 (mo_phong)</t>
  </si>
  <si>
    <t xml:space="preserve">kq.dat = 'PASS' in UPPER(nguyen_van) và 'FAIL' không có. nguyen_van gộp cả log biên dịch (iverilog/verilator) lẫn log chạy. Mã thoát của vvp/sim bị bỏ qua khi kết luận. Không đếm số ca.</t>
  </si>
  <si>
    <t xml:space="preserve">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</si>
  <si>
    <t xml:space="preserve">Prompt Chaining (cổng mã), Evaluator–Optimizer</t>
  </si>
  <si>
    <t xml:space="preserve">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</si>
  <si>
    <t xml:space="preserve">Kết luận mô phỏng tin được; chặn PASS giả.</t>
  </si>
  <si>
    <t xml:space="preserve">Testbench cũ in 'PASS' giữa dòng sẽ phải sửa. Có thể giữ chế độ tương thích kèm cảnh báo.</t>
  </si>
  <si>
    <t xml:space="preserve">Số ca PASS giả/FAIL giả trên bộ 10 log cài sẵn (mục tiêu 0)</t>
  </si>
  <si>
    <t xml:space="preserve">M4-16</t>
  </si>
  <si>
    <t xml:space="preserve">M3-13</t>
  </si>
  <si>
    <t xml:space="preserve">Độ nhạy bộ kiểm HDL (mutation)</t>
  </si>
  <si>
    <t xml:space="preserve">src/eide/tools/hdl.py:123 (tham số do_nhay), build/dot_bien.py:44, tools/xay_dung.py:738 (test.sensitivity chỉ cho .c)</t>
  </si>
  <si>
    <t xml:space="preserve">hdl.sim nhận 'do_nhay' {bat, tong} do chính tác tử TỰ KHAI ('chỉ điền khi đã thật sự làm'). dot_bien.py đã có bộ đột biến tốt, nhưng test.sensitivity chỉ lấy firmware/*.c và chạy test C.</t>
  </si>
  <si>
    <t xml:space="preserve">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</si>
  <si>
    <t xml:space="preserve">Evaluator–Optimizer, CodeAct</t>
  </si>
  <si>
    <t xml:space="preserve">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</si>
  <si>
    <t xml:space="preserve">Chất lượng testbench HDL được đo khách quan; lỗ trong bộ kiểm lộ ra trước khi lên bo.</t>
  </si>
  <si>
    <t xml:space="preserve">Mỗi đột biến là một lần mô phỏng; với SoC lớn (verilator) có thể lâu, nên giới hạn số tệp và số phép.</t>
  </si>
  <si>
    <t xml:space="preserve">Mutation score; số lỗ testbench phát hiện; thời gian mỗi lần đo</t>
  </si>
  <si>
    <t xml:space="preserve">M3-14</t>
  </si>
  <si>
    <t xml:space="preserve">Testbench tự sinh &amp; mô hình tham chiếu</t>
  </si>
  <si>
    <t xml:space="preserve">src/eide/tools/hdl.py (hdl.sim); tools/phien_fpga_bo_that.py:289 (bước đối chiếu ≤ 1%)</t>
  </si>
  <si>
    <t xml:space="preserve">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</si>
  <si>
    <t xml:space="preserve">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</si>
  <si>
    <t xml:space="preserve">CodeAct, Evaluator–Optimizer, Prompt Chaining</t>
  </si>
  <si>
    <t xml:space="preserve">(1)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</si>
  <si>
    <t xml:space="preserve">Tiêu chí số được kiểm bằng mã; testbench phủ rộng nhờ vector từ mô hình tham chiếu.</t>
  </si>
  <si>
    <t xml:space="preserve">Viết mô hình tham chiếu tốn công; vết RVFI lớn.</t>
  </si>
  <si>
    <t xml:space="preserve">Số dòng đối chiếu tự động; số lỗi bắt được nhờ so với mô hình tham chiếu; thời gian xong bước đối chiếu</t>
  </si>
  <si>
    <t xml:space="preserve">M4-15</t>
  </si>
  <si>
    <t xml:space="preserve">M3-15</t>
  </si>
  <si>
    <t xml:space="preserve">Kiểm hình thức / assertion (SVA, SymbiYosys)</t>
  </si>
  <si>
    <t xml:space="preserve">src/eide/build/hdl.py (chỉ có lint/mo_phong/tong_hop/dat_di_day/dong_goi); hdl_cay.py:_TU_KHOA (có 'assert','property','restrict')</t>
  </si>
  <si>
    <t xml:space="preserve">Không có chặng formal nào. hdl_cay đã biết PicoRV32 dùng 'restrict property', nhưng EIDE không chạy SymbiYosys. Mô phỏng iverilog -g2012 hỗ trợ SVA rất hạn chế; verilator được gọi mà không có --assert.</t>
  </si>
  <si>
    <t xml:space="preserve">Các tính chất như FSM không kẹt, FIFO không tràn hay giao thức bus valid/ready chỉ được kiểm bằng mô phỏng theo vector, nên bỏ sót ca góc. Assertion viết trong RTL bị im lặng bỏ qua.</t>
  </si>
  <si>
    <t xml:space="preserve">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</si>
  <si>
    <t xml:space="preserve">Chứng minh tính chất thay vì chỉ thử mẫu; phản ví dụ cụ thể giúp tác tử sửa đúng chỗ.</t>
  </si>
  <si>
    <t xml:space="preserve">Bùng nổ trạng thái trên SoC lớn; chỉ áp cho mô-đun nhỏ, và cần trần depth và thời gian.</t>
  </si>
  <si>
    <t xml:space="preserve">Số mô-đun có assertion được chứng minh; lỗi bắt được bằng formal mà mô phỏng bỏ sót</t>
  </si>
  <si>
    <t xml:space="preserve">M3-16</t>
  </si>
  <si>
    <t xml:space="preserve">Tập tệp nguồn RTL/testbench và kiểm cấu trúc khi tổng hợp</t>
  </si>
  <si>
    <t xml:space="preserve">src/eide/build/hdl.py:371 (_nguon_hdl), :405 (lint), :530 (tong_hop)</t>
  </si>
  <si>
    <t xml:space="preserve">_nguon_hdl lấy mọi *.v/*.sv dưới thư mục (chỉ trừ build/obj_dir). Cả lint lẫn synth (read_verilog -sv …; synth_gowin) dùng chung danh sách này. Yosys chạy không có 'check -assert'. Cảnh báo chỉ được gom dạng chữ.</t>
  </si>
  <si>
    <t xml:space="preserve">Testbench (initial, #delay, $display) và mã bài khác (blinky.v, bai3/) lọt vào lint và synth, gây lỗi hoặc nhiễu, hoặc tổng hợp nhầm. Latch và tín hiệu nhiều nguồn lái chỉ là cảnh báo chữ, không chặn, nên bo chạy sai trong khi chặng vẫn 'đạt'.</t>
  </si>
  <si>
    <t xml:space="preserve">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</si>
  <si>
    <t xml:space="preserve">Tổng hợp đúng thiết kế; latch và đa nguồn lái bị chặn sớm.</t>
  </si>
  <si>
    <t xml:space="preserve">Thiết kế cũ có latch cố ý sẽ bị chặn, cần cơ chế chấp nhận.</t>
  </si>
  <si>
    <t xml:space="preserve">Số lần synth hỏng do lẫn tb; số latch hoặc đa nguồn lái bị chặn trước pnr</t>
  </si>
  <si>
    <t xml:space="preserve">M3-17</t>
  </si>
  <si>
    <t xml:space="preserve">Định thời (timing) sau đặt-đi dây</t>
  </si>
  <si>
    <t xml:space="preserve">src/eide/build/hdl.py:190–209 (_MAU_FMAX, doc_ket_qua_pnr), :539 (dat_di_day)</t>
  </si>
  <si>
    <t xml:space="preserve">Quét MỌI dòng 'Max frequency for clock' trong toàn log nextpnr rồi lấy min, sau đó so với MỘT tan_so_mhz (mặc định 27). Không đọc báo cáo đường găng (critical path).</t>
  </si>
  <si>
    <t xml:space="preserve">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</si>
  <si>
    <t xml:space="preserve">Evaluator–Optimizer, Reflexion</t>
  </si>
  <si>
    <t xml:space="preserve">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</si>
  <si>
    <t xml:space="preserve">Kết luận định thời chính xác; tác tử sửa đúng đường găng thay vì đoán.</t>
  </si>
  <si>
    <t xml:space="preserve">Định dạng log nextpnr có thể đổi theo phiên bản, cần test với log mẫu.</t>
  </si>
  <si>
    <t xml:space="preserve">Số FAIL giả do số trước routing; số vòng sửa để đạt Fmax</t>
  </si>
  <si>
    <t xml:space="preserve">Hạ P1→P2 khi kiểm lại mã (xem KE-HOACH-SUA-VA-KIEM-THU.md §10)</t>
  </si>
  <si>
    <t xml:space="preserve">M3-18</t>
  </si>
  <si>
    <t xml:space="preserve">Ràng buộc chân FPGA ↔ sơ đồ bo / cổng mô-đun đỉnh</t>
  </si>
  <si>
    <t xml:space="preserve">src/eide/build/hdl.py:539 (dat_di_day chỉ kiểm cst.exists()); không có bộ đọc .cst nào trong src/</t>
  </si>
  <si>
    <t xml:space="preserve">hdl.pnr chỉ kiểm tệp .cst có tồn tại hay không. Không có mã nào đọc IO_LOC hay IO_PORT. Không đối chiếu với Fact chân của kit (docs/hardware-facts.md, hộ chiếu kit) hay với cổng của mô-đun đỉnh.</t>
  </si>
  <si>
    <t xml:space="preserve">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</si>
  <si>
    <t xml:space="preserve">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</si>
  <si>
    <t xml:space="preserve">Bắt lỗi gán chân trước khi nạp; khép vòng giữa thiết kế chip và bo mạch.</t>
  </si>
  <si>
    <t xml:space="preserve">Cần nạp Fact chân của kit (datasheet hay schematic kit) ở tầng ≥ BẠC.</t>
  </si>
  <si>
    <t xml:space="preserve">Số lỗi ràng buộc bắt được trên bộ ca cài sẵn; số lần nạp bo 'không chạy' do sai chân</t>
  </si>
  <si>
    <t xml:space="preserve">M3-19</t>
  </si>
  <si>
    <t xml:space="preserve">Bản đồ địa chỉ RTL ↔ linker ↔ firmware</t>
  </si>
  <si>
    <t xml:space="preserve">docs/md/DE-XUAT-CAU-TRUC-FPGA.md Phần 2/A5.12; knowledge/vendor.py:142 (doc_ld đã có)</t>
  </si>
  <si>
    <t xml:space="preserve">Bản đồ địa chỉ của SoC chỉ nằm trong chú thích soc_top.v và EIDE.md. doc_ld đọc được MEMORY của linker, doi_chieu_cau_hinh so được .ld với datasheet, nhưng không có gì so RTL với .ld hay với các hằng địa chỉ trong main.c.</t>
  </si>
  <si>
    <t xml:space="preserve">Nâng BRAM từ 32 lên 64 KB hay dời UART là đổi chip, nhưng linker.ld và main.c không bị đánh dấu STALE và không bị kiểm. Lỗi lộ ra lúc chạy, ví dụ ghi vào địa chỉ không có thiết bị.</t>
  </si>
  <si>
    <t xml:space="preserve">Blackboard (hiện vật dùng chung hai tầng), Prompt Chaining</t>
  </si>
  <si>
    <t xml:space="preserve">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</si>
  <si>
    <t xml:space="preserve">Giữ giao kèo giữa chip và phần mềm nhất quán; thay đổi ở RTL tự đánh STALE phía firmware.</t>
  </si>
  <si>
    <t xml:space="preserve">Trích địa chỉ từ RTL bằng regex dễ sót; cho phép người khai làm nguồn chính.</t>
  </si>
  <si>
    <t xml:space="preserve">Số lệch địa chỉ bắt được; số lỗi chạy do sai bản đồ</t>
  </si>
  <si>
    <t xml:space="preserve">M3-20</t>
  </si>
  <si>
    <t xml:space="preserve">Luồng HDL nhiều chặng (workflow có cổng)</t>
  </si>
  <si>
    <t xml:space="preserve">src/eide/tools/hdl.py (5 công cụ rời); tools/phien_fpga_bo_that.py:1–20 (giao một việc mỗi lượt)</t>
  </si>
  <si>
    <t xml:space="preserve">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</si>
  <si>
    <t xml:space="preserve">Việc chia bước và cổng kiểm đang nằm ngoài sản phẩm, trong script của người. Tác tử tốn lời gọi để nhớ thứ tự chặng, và dễ bỏ chặng như lint, độ nhạy hay kiểm ràng buộc trước pnr.</t>
  </si>
  <si>
    <t xml:space="preserve">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</si>
  <si>
    <t xml:space="preserve">Bớt lời gọi và bớt việc dừng giữa chừng; thứ tự chặng và cổng kiểm được đảm bảo bằng mã.</t>
  </si>
  <si>
    <t xml:space="preserve">Một lời gọi chạy lâu (synth+pnr vài phút), cần báo tiến độ và giữ HAN_GIAY.</t>
  </si>
  <si>
    <t xml:space="preserve">Số lời gọi mỗi lần từ RTL tới bitstream; tỉ lệ phiên xong mà không cần chia đề bằng tay</t>
  </si>
  <si>
    <t xml:space="preserve">M3-21</t>
  </si>
  <si>
    <t xml:space="preserve">Sửa lỗi dựa trên log + bài học (Reflexion)</t>
  </si>
  <si>
    <t xml:space="preserve">src/eide/tools/hdl.py:72 (_loi_chang: 10 lỗi đầu + 1500 ký tự đuôi log)</t>
  </si>
  <si>
    <t xml:space="preserve">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</si>
  <si>
    <t xml:space="preserve">Lỗi lặp lại giữa các phiên (sai cú pháp Gowin primitive, sai tên mô-đun đỉnh, quên $finish) lại tốn vòng lặp như lần đầu. Đuôi log 1500 ký tự có thể cắt mất lỗi gốc ở đầu log, nhất là với yosys.</t>
  </si>
  <si>
    <t xml:space="preserve">Reflexion, Memory-augmented</t>
  </si>
  <si>
    <t xml:space="preserve">(1)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</si>
  <si>
    <t xml:space="preserve">Giảm số vòng sửa cho lỗi đã gặp; lỗi gốc hiện ngay.</t>
  </si>
  <si>
    <t xml:space="preserve">Bài học sai hoặc lỗi thời lan sang phiên khác; cần cách gắn nguồn và hết hạn.</t>
  </si>
  <si>
    <t xml:space="preserve">Số vòng trung bình từ lần trượt đầu tới đạt cho cùng chữ ký lỗi; tỉ lệ trúng bài học</t>
  </si>
  <si>
    <t xml:space="preserve">M1-14, M5-14</t>
  </si>
  <si>
    <t xml:space="preserve">M3-22</t>
  </si>
  <si>
    <t xml:space="preserve">Đo trên mạch thật khép vòng với ERC</t>
  </si>
  <si>
    <t xml:space="preserve">src/eide/tools/mach_that.py (target.detect/flash/verify/screen/debug/log); compare.py:326 (cam_nguoc)</t>
  </si>
  <si>
    <t xml:space="preserve">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</si>
  <si>
    <t xml:space="preserve">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</si>
  <si>
    <t xml:space="preserve">Human-in-the-loop, Evaluator–Optimizer</t>
  </si>
  <si>
    <t xml:space="preserve">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</si>
  <si>
    <t xml:space="preserve">Khép vòng giữa thiết kế và mạch thật; bắt chập hay cắm ngược sớm.</t>
  </si>
  <si>
    <t xml:space="preserve">Chế độ tự động phụ thuộc phần cứng đo; chế độ HITL tốn công người.</t>
  </si>
  <si>
    <t xml:space="preserve">Tỉ lệ rail có số đo; chênh lệch dòng dự đoán so với dòng đo</t>
  </si>
  <si>
    <t xml:space="preserve">Hạ P2·L→P3·S khi kiểm lại mã (§10)</t>
  </si>
  <si>
    <t xml:space="preserve">M4-01</t>
  </si>
  <si>
    <t xml:space="preserve">Unit test trên máy chủ (test.run) — máy chấm</t>
  </si>
  <si>
    <t xml:space="preserve">src/eide/build/mo_phong.py::chay_test (dòng ~369-452), tools/xay_dung.py::test_run</t>
  </si>
  <si>
    <t xml:space="preserve">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</si>
  <si>
    <t xml:space="preserve">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</si>
  <si>
    <t xml:space="preserve">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</si>
  <si>
    <t xml:space="preserve">Bỏ được đường 'sửa test cho xanh'; kết luận unit test có cùng độ tin như sim; truy được REQ→ca kiểm.</t>
  </si>
  <si>
    <t xml:space="preserve">Tác tử phải viết test theo khuôn mới (thêm 1-2 lượt); phải giữ tương thích ngược với các test đã có.</t>
  </si>
  <si>
    <t xml:space="preserve">Tỉ lệ ca unit test do EIDE phán so với tự khai; số lần test xanh mà đột biến không bắt (giảm); số REQ có ít nhất 1 ca kiểm</t>
  </si>
  <si>
    <t xml:space="preserve">M4-02</t>
  </si>
  <si>
    <t xml:space="preserve">Bảo vệ tệp test khỏi bị sửa để ép đạt</t>
  </si>
  <si>
    <t xml:space="preserve">hooks/standard.py::doi_tieu_chi (dòng 185-222), policy/*.yaml POL G-QUAL (dòng ~155, ~201), subagent.py SUBAGENT['sim-runner'].cong_cu</t>
  </si>
  <si>
    <t xml:space="preserve">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</si>
  <si>
    <t xml:space="preserve">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</si>
  <si>
    <t xml:space="preserve">Human-in-the-loop, Prompt Chaining (cổng code)</t>
  </si>
  <si>
    <t xml:space="preserve">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</si>
  <si>
    <t xml:space="preserve">Chặn được kiểu đạt giả phổ biến nhất ở tầng test; tiêu chí và test cùng được bảo vệ.</t>
  </si>
  <si>
    <t xml:space="preserve">Báo động giả khi sửa test chính đáng (test sai thật), nên thẻ phải hiện diff assert trước/sau để người quyết nhanh.</t>
  </si>
  <si>
    <t xml:space="preserve">Số thẻ G-QUAL cho test/lượt; tỉ lệ thẻ người từ chối (tức là bắt được ép đạt); số ca bị xoá trong các phiên</t>
  </si>
  <si>
    <t xml:space="preserve">M4-03</t>
  </si>
  <si>
    <t xml:space="preserve">Tác tử tự sinh test (biên, fuzz, property-based)</t>
  </si>
  <si>
    <t xml:space="preserve">tools/xay_dung.py (chỉ có test.run, test.sensitivity), build/mo_phong.py::KHUON_RA</t>
  </si>
  <si>
    <t xml:space="preserve">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</si>
  <si>
    <t xml:space="preserve">Mô hình viết test 'đường đẹp', thiếu ca biên. Tài liệu DANH-GIA §5.5 ghi ca A→B→A 'xanh đúng về một câu hỏi khác câu cần'. Không có nguồn đầu vào có hệ thống nên độ phủ hành vi phụ thuộc may rủi.</t>
  </si>
  <si>
    <t xml:space="preserve">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</si>
  <si>
    <t xml:space="preserve">Bắt được lỗi tràn số, chia 0, UB mà test viết tay bỏ sót; ít phụ thuộc vào trí tưởng tượng của mô hình.</t>
  </si>
  <si>
    <t xml:space="preserve">Thời gian chạy fuzz dài, phải có trần thời gian; clang/libFuzzer trên macOS có thể thiếu; ca sinh ra nhiễu khi miền giá trị chưa rõ.</t>
  </si>
  <si>
    <t xml:space="preserve">Số lỗi UB/ASan bắt được mỗi dự án; số ca biên/hàm; điểm đột biến trước/sau khi thêm ca sinh</t>
  </si>
  <si>
    <t xml:space="preserve">M4-04</t>
  </si>
  <si>
    <t xml:space="preserve">Đột biến (mutation) — độ mịn và điểm đột biến</t>
  </si>
  <si>
    <t xml:space="preserve">build/dot_bien.py::dot_bien_van_ban, do_do_nhay (dòng 44-164)</t>
  </si>
  <si>
    <t xml:space="preserve">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</si>
  <si>
    <t xml:space="preserve">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</si>
  <si>
    <t xml:space="preserve">Evaluator–Optimizer</t>
  </si>
  <si>
    <t xml:space="preserve">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</si>
  <si>
    <t xml:space="preserve">Chỉ ra đúng dòng bộ kiểm không canh; có con số liên tục để theo dõi chất lượng test.</t>
  </si>
  <si>
    <t xml:space="preserve">Chi phí biên dịch K lần cho mỗi tệp (giảm được bằng biên dịch song song); đột biến tương đương gây báo động giả.</t>
  </si>
  <si>
    <t xml:space="preserve">Mutation score theo tệp; số đột biến sống/tệp; thời gian chạy test.sensitivity</t>
  </si>
  <si>
    <t xml:space="preserve">M4-05</t>
  </si>
  <si>
    <t xml:space="preserve">Đột biến không dịch được bị tính là 'bắt được'</t>
  </si>
  <si>
    <t xml:space="preserve">build/dot_bien.py::do_do_nhay dòng 145-153; tools/xay_dung.py::test_sensitivity::_chay</t>
  </si>
  <si>
    <t xml:space="preserve">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</si>
  <si>
    <t xml:space="preserve">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</si>
  <si>
    <t xml:space="preserve">Prompt Chaining (cổng kiểm bằng code)</t>
  </si>
  <si>
    <t xml:space="preserve">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</si>
  <si>
    <t xml:space="preserve">Bỏ được dương tính giả trong phép đo chất lượng test.</t>
  </si>
  <si>
    <t xml:space="preserve">Gần như không có; thêm 1 phép so chuỗi log.</t>
  </si>
  <si>
    <t xml:space="preserve">Tỉ lệ mutant stillborn; số tệp đổi trạng thái từ 'thay' sang 'khong_thay' sau khi sửa</t>
  </si>
  <si>
    <t xml:space="preserve">M4-06</t>
  </si>
  <si>
    <t xml:space="preserve">Vòng tự nâng test khi đột biến sống (Evaluator–Optimizer)</t>
  </si>
  <si>
    <t xml:space="preserve">tools/xay_dung.py::test_sensitivity (trả note_vi rồi dừng); không có hook nào gọi test.sensitivity</t>
  </si>
  <si>
    <t xml:space="preserve">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</si>
  <si>
    <t xml:space="preserve">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</si>
  <si>
    <t xml:space="preserve">(1)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</si>
  <si>
    <t xml:space="preserve">Mutation score tăng tự động; ô xanh giả bị lật trước khi báo người dùng.</t>
  </si>
  <si>
    <t xml:space="preserve">Tốn token/thời gian (mỗi vòng N lần biên dịch + 1-3 lời gọi LLM); cần trần cứng; có thể sinh ca dính chặt vào cài đặt hiện tại.</t>
  </si>
  <si>
    <t xml:space="preserve">Mutation score trước/sau harden; số vòng trung bình; tỉ lệ phiên có test.sensitivity trước khi báo xong</t>
  </si>
  <si>
    <t xml:space="preserve">M4-07</t>
  </si>
  <si>
    <t xml:space="preserve">Verifier độc lập — đề bài do tác tử chính soạn</t>
  </si>
  <si>
    <t xml:space="preserve">hooks/standard.py::kiem_viec_chua_ai_kiem (dòng 557-611), tools/dieu_phoi.py::task_run, subagent.py::viec_cho_verifier</t>
  </si>
  <si>
    <t xml:space="preserve">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</si>
  <si>
    <t xml:space="preserve">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</si>
  <si>
    <t xml:space="preserve">Debate (trọng tài độc lập), Supervisor–Workers (context sạch)</t>
  </si>
  <si>
    <t xml:space="preserve">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</si>
  <si>
    <t xml:space="preserve">Verifier độc lập thật; giảm xác nhận theo kỳ vọng.</t>
  </si>
  <si>
    <t xml:space="preserve">Gói bằng chứng có thể dài, phải cắt theo blob; có thể thiếu ngữ cảnh khi việc không ghi vào kho.</t>
  </si>
  <si>
    <t xml:space="preserve">Tỉ lệ verifier trả khong_dat/chua_du_du_kien; số ca verifier bác đúng trên bộ ca gài lỗi (seeded)</t>
  </si>
  <si>
    <t xml:space="preserve">M1-06, M4-08</t>
  </si>
  <si>
    <t xml:space="preserve">M4-08</t>
  </si>
  <si>
    <t xml:space="preserve">Verifier — cùng model, chỉ đọc, không chạy lại phép đo</t>
  </si>
  <si>
    <t xml:space="preserve">subagent.py SUBAGENT['verifier'] (dòng 140-160), tools/dieu_phoi.py::task_run (llm = ctx.agent.llm)</t>
  </si>
  <si>
    <t xml:space="preserve">Verifier dùng chung đối tượng llm với tác tử chính (cùng model Gemini, cùng nhiệt độ). Bộ công cụ chỉ đọc gồm fs.read, store.get, ledger.query, history.diff…; không có build.compile, test.run, sim.run hay target.verify để tự CHẠY LẠI. toi_da_goi=10.</t>
  </si>
  <si>
    <t xml:space="preserve">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</si>
  <si>
    <t xml:space="preserve">Debate (model khác), Routing (định tuyến model)</t>
  </si>
  <si>
    <t xml:space="preserve">(1)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</si>
  <si>
    <t xml:space="preserve">Kiểm chứng được tái lập (reproducible) thay vì chỉ đọc lại; giảm sai lệch tương quan giữa người làm và người kiểm.</t>
  </si>
  <si>
    <t xml:space="preserve">Chi phí model thứ hai; chạy lại mô phỏng tăng độ trễ; phải chống verifier ghi đè kết quả chính.</t>
  </si>
  <si>
    <t xml:space="preserve">Tỉ lệ bất đồng verifier-tác tử; số đạt giả bị bắt trên bộ ca gài lỗi; chi phí token/verifier</t>
  </si>
  <si>
    <t xml:space="preserve">M1-06, M4-07</t>
  </si>
  <si>
    <t xml:space="preserve">M4-09</t>
  </si>
  <si>
    <t xml:space="preserve">Stop hook coi MỌI task.run là đã kiểm</t>
  </si>
  <si>
    <t xml:space="preserve">hooks/standard.py::kiem_viec_chua_ai_kiem dòng 562-563</t>
  </si>
  <si>
    <t xml:space="preserve">`if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</si>
  <si>
    <t xml:space="preserve">Có đường lách N6: gọi task.run(firmware) xong là hook im. Ba chỗ cùng hỏi một câu 'verifier đã chạy chưa' nhưng trả lời không nhất quán.</t>
  </si>
  <si>
    <t xml:space="preserve">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</si>
  <si>
    <t xml:space="preserve">Đóng một đường lách kiểm chứng; logic nhất quán ở một nguồn.</t>
  </si>
  <si>
    <t xml:space="preserve">Không đáng kể.</t>
  </si>
  <si>
    <t xml:space="preserve">Số lượt kết thúc có ghi mà không có verifier (từ sổ cái) trước/sau sửa</t>
  </si>
  <si>
    <t xml:space="preserve">Kết luận khong_dat của verifier không kéo theo vòng sửa</t>
  </si>
  <si>
    <t xml:space="preserve">subagent.py::gop_kiem_chung, tools/dieu_phoi.py::task_run, hooks/standard.py injection 'NÓI RA điều đó'</t>
  </si>
  <si>
    <t xml:space="preserve">Verifier bác thì kết luận bị hạ và ghi vào chua_lam, rồi tác tử chính được dặn 'nói ra với người dùng'. ctx.da_tu_kiem=True khiến hook chỉ nổ một lần mỗi lượt. Không có vòng sinh → chấm → sửa có trần.</t>
  </si>
  <si>
    <t xml:space="preserve">Đánh giá tồn tại nhưng không có Optimizer: lỗi được báo mà không được sửa. Người dùng nhận một bản 'chưa đạt' trong khi phần sửa thường máy làm được (thiếu nối hàm, thiếu bằng chứng).</t>
  </si>
  <si>
    <t xml:space="preserve">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</si>
  <si>
    <t xml:space="preserve">Tăng tỉ lệ việc đạt thật mà không cần người; bài học tích luỹ qua phiên.</t>
  </si>
  <si>
    <t xml:space="preserve">Dễ thành vòng vô tận nếu verifier quá khắt, nên phải có trần vòng/token; tốn thêm 2 lần verifier.</t>
  </si>
  <si>
    <t xml:space="preserve">Tỉ lệ khong_dat → dat sau ≤2 vòng; số lượt/việc; chi phí token mỗi lần sửa</t>
  </si>
  <si>
    <t xml:space="preserve">Hồi quy tự động sau thay đổi mã</t>
  </si>
  <si>
    <t xml:space="preserve">history.py::ghi_tep → deps.danh_dau_stale (dòng 217); deps.py HA_NGUON 'code': ('build','sim_result','target')</t>
  </si>
  <si>
    <t xml:space="preserve">Mỗi lần ghi tệp, MỌI hiện vật loại build/sim_result/target bị đánh STALE (theo loại, không theo tệp). Không ai chạy lại test.run/sim.run/hdl.sim bị ảnh hưởng. Stop hook không kiểm 'còn kết quả test STALE mà tác tử tuyên xong'.</t>
  </si>
  <si>
    <t xml:space="preserve">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</si>
  <si>
    <t xml:space="preserve">Prompt Chaining, Plan-and-Execute (bước kiểm bắt buộc)</t>
  </si>
  <si>
    <t xml:space="preserve">(1)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</si>
  <si>
    <t xml:space="preserve">Bắt hồi quy ngay sau khi sửa; báo cáo luôn dựa trên kết quả mới.</t>
  </si>
  <si>
    <t xml:space="preserve">Độ trễ mỗi lần ghi; test chậm thì phải chạy nền hoặc gom theo lượt.</t>
  </si>
  <si>
    <t xml:space="preserve">Số lần tuyên xong với kết quả STALE (về 0); thời gian phát hiện hồi quy (số lượt từ khi sửa tới khi biết)</t>
  </si>
  <si>
    <t xml:space="preserve">M4-12</t>
  </si>
  <si>
    <t xml:space="preserve">Kiểm tiêu chí có khả năng ĐỎ không (đo cái đo ở tầng tiêu chí)</t>
  </si>
  <si>
    <t xml:space="preserve">build/tieu_chi.py::xet_ket_qua; tools/xay_dung.py::sim_criteria; docs/md/DANH-GIA-NGUOI-VS-AGENT-2-VIEC.md §4</t>
  </si>
  <si>
    <t xml:space="preserve">sim.criteria kiểm khuôn (ma, mo_ta, phep_so hợp lệ, có nguồn ngưỡng) và đòi người xác nhận. Không có phép thử 'assert này có bao giờ trượt được không'.</t>
  </si>
  <si>
    <t xml:space="preserve">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</si>
  <si>
    <t xml:space="preserve">Debate (phản biện tiêu chí), Evaluator–Optimizer</t>
  </si>
  <si>
    <t xml:space="preserve">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</si>
  <si>
    <t xml:space="preserve">Nâng chất lượng đề bài, đúng chỗ tài liệu đo được là quyết định chất lượng kết quả.</t>
  </si>
  <si>
    <t xml:space="preserve">Thêm 1 lần gọi LLM và N lần chạy sim cho mỗi tiêu chí; critic có thể kêu thừa.</t>
  </si>
  <si>
    <t xml:space="preserve">Số assert 'không thể đỏ' bị phát hiện; số REQ không có assert; số lần người sửa tiêu chí sau khi critic báo</t>
  </si>
  <si>
    <t xml:space="preserve">Kiểm 'nối' tĩnh — mã viết đúng nhưng không ai gọi</t>
  </si>
  <si>
    <t xml:space="preserve">docs/md/DANH-GIA-NGUOI-VS-AGENT-2-VIEC.md §3.1 (7 lần); tools/xay_dung.py::build_map, _tep_khong_vao_anh</t>
  </si>
  <si>
    <t xml:space="preserve">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</si>
  <si>
    <t xml:space="preserve">Tài liệu đánh giá gọi đây là 'điểm yếu lớn nhất', lặp 7 lần, 'không lần nào có lỗi báo ra'. Tất cả đều phát hiện được tĩnh từ ELF/map trước khi nạp bo.</t>
  </si>
  <si>
    <t xml:space="preserve">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</si>
  <si>
    <t xml:space="preserve">Bắt lỗi nối trước khi lên bo, tiết kiệm hàng giờ gỡ lỗi bo tối.</t>
  </si>
  <si>
    <t xml:space="preserve">Báo thừa với hàm callback qua con trỏ (cần danh sách loại trừ); khác biệt toolchain AVR/ARM/RISC-V.</t>
  </si>
  <si>
    <t xml:space="preserve">Số lỗi nối bắt được ở build so với bắt ở bo; số giờ phiên dành cho 'bo tối'</t>
  </si>
  <si>
    <t xml:space="preserve">M4-14</t>
  </si>
  <si>
    <t xml:space="preserve">HIL — kiểm thử trên bo thật có tiêu chí và máy chấm</t>
  </si>
  <si>
    <t xml:space="preserve">tools/mach_that.py::target_log (dòng 880-940), build/mach_that.py::doc_log; BAO-CAO-TONG TC053 'Cần thiết bị — HIL'</t>
  </si>
  <si>
    <t xml:space="preserve">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</si>
  <si>
    <t xml:space="preserve">DANH-GIA §5.2-5.3: đọc cổng 92s trước khi bitstream tồn tại; 173 byte rác của lượt trước có cả dấu kết thúc. Mọi việc chấm log hiện do mô hình đọc bằng mắt nên là đạt giả tiềm năng. TC053 (chạy lặp 20 lần) chưa làm được.</t>
  </si>
  <si>
    <t xml:space="preserve">Prompt Chaining, Evaluator–Optimizer</t>
  </si>
  <si>
    <t xml:space="preserve">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</si>
  <si>
    <t xml:space="preserve">Biến log UART thành bằng chứng chấm được bằng code; làm được TC053; phát hiện lỗi không ổn định.</t>
  </si>
  <si>
    <t xml:space="preserve">Phụ thuộc phần cứng; nạp nhiều lần làm mòn Flash; mỗi lần nạp cần thẻ HITL nên phải có chế độ duyệt một lần cho cả loạt.</t>
  </si>
  <si>
    <t xml:space="preserve">Số ca HIL tự động; tỉ lệ đạt/N lần; số lần đọc log bị từ chối do lệch mốc</t>
  </si>
  <si>
    <t xml:space="preserve">Đối chiếu mô phỏng ↔ bo thật (so sánh tín hiệu/đo đạc)</t>
  </si>
  <si>
    <t xml:space="preserve">tools/xay_dung.py::sim_run (note 'KHÔNG nói mạch thật sẽ chạy'); DANH-GIA §3.2 ('nhịp 1000 Hz' theo cấu hình, thật là 91 Hz)</t>
  </si>
  <si>
    <t xml:space="preserve">sim.run khai rõ giới hạn mô hình; target.debug đọc thanh ghi, lấy mẫu PC. Không có công cụ đo đại lượng thời gian thực trên bo (tần số nhịp, xung nhịp lõi qua DWT-&gt;CYCCNT) và so với số đo mô phỏng theo cùng mã assert.</t>
  </si>
  <si>
    <t xml:space="preserve">'Giá trị cấu hình không phải phép đo': tác tử suy nhịp từ LOAD của SysTick. Không có cầu nối khiến kết quả mô phỏng và bo được so trực tiếp, nên lệch mô hình không bị phát hiện.</t>
  </si>
  <si>
    <t xml:space="preserve">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</si>
  <si>
    <t xml:space="preserve">Bắt lỗi xung nhịp/cấu hình (ca 16 MHz HSI chậm 11,25 lần) bằng một phép đo; đo được độ trung thực của mô hình.</t>
  </si>
  <si>
    <t xml:space="preserve">Chỉ áp cho Cortex-M có DWT; AVR/RISC-V cần cách khác; dừng chip ảnh hưởng thời gian thực.</t>
  </si>
  <si>
    <t xml:space="preserve">Độ lệch sim–bo (%) theo assert; số lỗi cấu hình xung nhịp bắt được trước khi người phát hiện</t>
  </si>
  <si>
    <t xml:space="preserve">Mô phỏng HDL — PASS tự in và độ nhạy tự khai</t>
  </si>
  <si>
    <t xml:space="preserve">tools/hdl.py::hdl_sim (tham số do_nhay, dòng ~111-160), build/hdl.py dòng 497 (`"PASS" in tren`)</t>
  </si>
  <si>
    <t xml:space="preserve">hdl.sim đọc chuỗi PASS/FAIL do CHÍNH testbench in, khớp bằng chuỗi con ("BYPASS"/"PASSED" cũng khớp). `do_nhay={bat,tong}` là con số TÁC TỬ tự điền ('chỉ điền khi đã thật sự làm'), EIDE không tự đột biến Verilog. Không có coverage HDL.</t>
  </si>
  <si>
    <t xml:space="preserve">Độ nhạy HDL là lời khai, đúng loại 'mô tả phép đo thay vì chạy' mà DANH-GIA §3.2 bắt được (bảng phá mã FPGA viết như kết quả mà chưa chạy). Testbench tự phán ok, giống ca '24/96 ô không thể báo sai'.</t>
  </si>
  <si>
    <t xml:space="preserve">(1)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</si>
  <si>
    <t xml:space="preserve">Độ nhạy HDL thành số đo thật; có coverage để biết testbench chạm bao nhiêu RTL.</t>
  </si>
  <si>
    <t xml:space="preserve">Mô phỏng iverilog chậm × số đột biến; cần trần K đột biến.</t>
  </si>
  <si>
    <t xml:space="preserve">Mutation score RTL; % toggle/line coverage; số lần do_nhay tự khai bị thay bằng số đo</t>
  </si>
  <si>
    <t xml:space="preserve">M3-12, M3-13</t>
  </si>
  <si>
    <t xml:space="preserve">M4-17</t>
  </si>
  <si>
    <t xml:space="preserve">Độ phủ (coverage) C — gần như không đo được trên macOS</t>
  </si>
  <si>
    <t xml:space="preserve">build/mo_phong.py::chay_test dòng 396 (co_phu), ::_do_phu dòng 455-475</t>
  </si>
  <si>
    <t xml:space="preserve">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</si>
  <si>
    <t xml:space="preserve">Trên macOS mặc định (Xcode CLT) llvm-cov chỉ gọi được qua `xcrun llvm-cov`, nên độ phủ hầu như luôn là 'CHƯA đo được'. Không có dòng chưa phủ thì tác tử không biết viết ca gì, và đột biến không ưu tiên được vùng đã phủ.</t>
  </si>
  <si>
    <t xml:space="preserve">Evaluator–Optimizer (tín hiệu cho Optimizer)</t>
  </si>
  <si>
    <t xml:space="preserve">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</si>
  <si>
    <t xml:space="preserve">Độ phủ đo được thật; có danh sách đích cụ thể cho việc sinh test.</t>
  </si>
  <si>
    <t xml:space="preserve">Kết quả dài, phải cắt; phủ cao không đồng nghĩa test tốt (phải đi kèm đột biến).</t>
  </si>
  <si>
    <t xml:space="preserve">Tỉ lệ lần test.run đo được coverage; % nhánh trung bình mỗi dự án</t>
  </si>
  <si>
    <t xml:space="preserve">M4-18</t>
  </si>
  <si>
    <t xml:space="preserve">Công cụ kiểm thử bị ẩn (core=False)</t>
  </si>
  <si>
    <t xml:space="preserve">tools/xay_dung.py: test.run, test.sensitivity core=False; tools/hdl.py hdl.sim core=False; tools/dieu_phoi.py task.run core=False; subagent sim-runner thiếu test.sensitivity</t>
  </si>
  <si>
    <t xml:space="preserve">Phần lớn công cụ kiểm chứng chỉ hiện sau tool.search. Chính mã đã ghi lại hậu quả nhiều lần: Stop hook phải tự mở khoá task.run, và code.analyze phải nâng lên core=True vì 'không gọi lần nào'.</t>
  </si>
  <si>
    <t xml:space="preserve">Kiểm thử chủ động cần tác tử THẤY công cụ. Ẩn test.run/test.sensitivity thì vòng viết–kiểm đứt; sim-runner không có test.sensitivity thì không đo được chất lượng bộ test nó vừa chạy.</t>
  </si>
  <si>
    <t xml:space="preserve">Routing (bộ công cụ theo giai đoạn)</t>
  </si>
  <si>
    <t xml:space="preserve">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</si>
  <si>
    <t xml:space="preserve">Tăng tỉ lệ phiên có chạy test/đo độ nhạy mà không tăng danh sách công cụ cố định.</t>
  </si>
  <si>
    <t xml:space="preserve">Thêm vài khai báo công cụ vào ngữ cảnh (token nhỏ).</t>
  </si>
  <si>
    <t xml:space="preserve">Tỉ lệ phiên có ghi mã mà có gọi test.run; tỉ lệ có test.sensitivity</t>
  </si>
  <si>
    <t xml:space="preserve">M4-19</t>
  </si>
  <si>
    <t xml:space="preserve">Đột biến ghi đè trực tiếp tệp sản phẩm của người dùng</t>
  </si>
  <si>
    <t xml:space="preserve">build/dot_bien.py::do_do_nhay dòng 145-149 (p.write_text(moi_ma) … finally p.write_text(goc))</t>
  </si>
  <si>
    <t xml:space="preserve">Mã đột biến được ghi đè LÊN tệp thật trong dự án rồi khôi phục trong finally. Có test 'trả tệp về nguyên vẹn kể cả khi chạy nổ' (test_dot_bien.py:121) cho ngoại lệ Python.</t>
  </si>
  <si>
    <t xml:space="preserve">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</si>
  <si>
    <t xml:space="preserve">Human-in-the-loop (an toàn dữ liệu người)</t>
  </si>
  <si>
    <t xml:space="preserve">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</si>
  <si>
    <t xml:space="preserve">Không bao giờ làm hỏng mã người dùng; chạy song song được nhiều mutant.</t>
  </si>
  <si>
    <t xml:space="preserve">Cần sửa đường include tương đối khi sao chép.</t>
  </si>
  <si>
    <t xml:space="preserve">Số lần tệp sản phẩm bị đổi ngoài changeset (về 0)</t>
  </si>
  <si>
    <t xml:space="preserve">M4-20</t>
  </si>
  <si>
    <t xml:space="preserve">Bộ eval cho chính tác tử — cách chấm</t>
  </si>
  <si>
    <t xml:space="preserve">tests/kich_ban/tc001_007.yaml (7 ca), tools/chay_kich_ban.py::cham, tools/bo_usecase.py (76 ca, 'dau_hieu'), docs/review-v3/test/ket-qua-chay-lai/ket-qua.jsonl</t>
  </si>
  <si>
    <t xml:space="preserve">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</si>
  <si>
    <t xml:space="preserve">Máy chấm từ khoá dễ đạt giả (đếm từ đồng nghĩa của cùng một chủ đề), không đo được ca kỹ thuật (firmware chạy đúng?). Các ca kỹ thuật thì chỉ chạy một lần (không có pass^k), nên không biết độ ổn định.</t>
  </si>
  <si>
    <t xml:space="preserve">Evaluator–Optimizer (eval trước khi leo thang), Debate (LLM-judge có rubric)</t>
  </si>
  <si>
    <t xml:space="preserve">(1)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</si>
  <si>
    <t xml:space="preserve">Eval phản ánh đúng năng lực; phát hiện thoái lui thật khi đổi prompt/model.</t>
  </si>
  <si>
    <t xml:space="preserve">Tốn quota (k lần × 76 ca); LLM-judge có sai lệch riêng nên phải hiệu chuẩn trên mẫu chấm tay (doc-tay.json đã có).</t>
  </si>
  <si>
    <t xml:space="preserve">Độ đồng thuận máy chấm với chấm tay (doc-tay.json); pass^k; số ca đạt giả bị lật</t>
  </si>
  <si>
    <t xml:space="preserve">M1-20, M4-22</t>
  </si>
  <si>
    <t xml:space="preserve">M4-21</t>
  </si>
  <si>
    <t xml:space="preserve">Theo dõi eval qua phiên bản + CI</t>
  </si>
  <si>
    <t xml:space="preserve">tools/chay_usecase.py (bản ghi: ma, nhan, giay, goi, so_loi_cong_cu — không có token/model/commit); tools/so_ket_qua.py; llm/offline.py::ReplayGateway; thư mục gốc không có .github/ hay CI</t>
  </si>
  <si>
    <t xml:space="preserve">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</si>
  <si>
    <t xml:space="preserve">Không trả lời được 'phiên bản prompt/model mới tốt hơn hay tệ hơn, rẻ hơn hay đắt hơn'. Thoái lui hành vi tác tử chỉ lộ khi người chạy tay 76 ca thật (tốn quota). Nguyên tắc 'có eval trước khi leo thang' chưa có hạ tầng.</t>
  </si>
  <si>
    <t xml:space="preserve">Evaluator–Optimizer (eval harness)</t>
  </si>
  <si>
    <t xml:space="preserve">(1)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</si>
  <si>
    <t xml:space="preserve">Mỗi thay đổi lõi có tín hiệu thoái lui sau vài phút với 0 token; theo dõi được chi phí và số lời gọi qua phiên bản.</t>
  </si>
  <si>
    <t xml:space="preserve">Băng phát lại vỡ khi đổi khai báo công cụ (phải ghi lại định kỳ); CI không có toolchain nhúng hay bo, nên tách ca cần phần cứng ra.</t>
  </si>
  <si>
    <t xml:space="preserve">pass-rate và token/ca theo git_sha; thời gian từ commit tới khi phát hiện thoái lui; số ca vàng có băng</t>
  </si>
  <si>
    <t xml:space="preserve">M4-22</t>
  </si>
  <si>
    <t xml:space="preserve">Bộ ca eval kỹ thuật có lỗi gài sẵn cho verifier và kiểm thử</t>
  </si>
  <si>
    <t xml:space="preserve">tests/test_tu_phat_hien_sai.py (kiểm hook bằng _Ctx giả), tests/test_subagent.py; tools/phien_*.py (phiên thật, chấm tay)</t>
  </si>
  <si>
    <t xml:space="preserve">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</si>
  <si>
    <t xml:space="preserve">Không có con số 'verifier bắt được bao nhiêu % đạt giả' hay 'tác tử viết test bắt được bao nhiêu % lỗi gài'. Mọi cải tiến về kiểm chứng đều không đo được hiệu quả.</t>
  </si>
  <si>
    <t xml:space="preserve">Evaluator–Optimizer, Debate</t>
  </si>
  <si>
    <t xml:space="preserve">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</si>
  <si>
    <t xml:space="preserve">Có thước đo cho mọi đề xuất ở mảng này (verifier model khác, harden, kiểm nối…), nên có căn cứ trước khi leo thang độ phức tạp.</t>
  </si>
  <si>
    <t xml:space="preserve">Công dựng ca; tác tử có thể 'học thuộc' nếu ca lộ trong prompt hoặc memory.</t>
  </si>
  <si>
    <t xml:space="preserve">Recall của verifier trên lỗi gài; tỉ lệ tự phát hiện end-to-end; số lời gọi/ca</t>
  </si>
  <si>
    <t xml:space="preserve">M5-01</t>
  </si>
  <si>
    <t xml:space="preserve">Tìm kiếm trong tài liệu đã nạp (RAG)</t>
  </si>
  <si>
    <t xml:space="preserve">src/eide/tools/knowledge.py:385-455 (doc.read); src/eide/store/db.py (không có bảng chunk/FTS); docs/md/EIDE-MEM-42 §348, EIDE-GAP-44:89</t>
  </si>
  <si>
    <t xml:space="preserve">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</si>
  <si>
    <t xml:space="preserve">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</si>
  <si>
    <t xml:space="preserve">Agentic RAG (Adaptive RAG); Routing</t>
  </si>
  <si>
    <t xml:space="preserve">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</si>
  <si>
    <t xml:space="preserve">Recall tăng rõ với câu hỏi diễn đạt khác nguyên văn. Giảm số lời gọi doc.read mò từ khoá. Tìm được trên nhiều tài liệu. Mở lại dự án nhanh hơn vì không phải phân tích lại PDF.</t>
  </si>
  <si>
    <t xml:space="preserve">Thêm phụ thuộc embedding (mô hình cục bộ khoảng 500 MB hoặc tốn API). Chỉ mục phình với RM 1500 trang. Cần migration v3 cho db.</t>
  </si>
  <si>
    <t xml:space="preserve">recall@5 / MRR trên bộ hỏi-đáp vàng; số lời gọi doc.read mỗi câu hỏi; tỉ lệ 'không tìm thấy' sai</t>
  </si>
  <si>
    <t xml:space="preserve">M5-02</t>
  </si>
  <si>
    <t xml:space="preserve">Vòng Agentic RAG: định tuyến nguồn, chấm liên quan, viết lại truy vấn, kiểm bám trích dẫn</t>
  </si>
  <si>
    <t xml:space="preserve">src/eide/tools/knowledge.py:385-455, 1076-1125; src/eide/tools/builtin.py:237-255 (fact.query); src/eide/subagent.py (verifier)</t>
  </si>
  <si>
    <t xml:space="preserve">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</si>
  <si>
    <t xml:space="preserve">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</si>
  <si>
    <t xml:space="preserve">Agentic RAG (Self-RAG, CRAG, Adaptive RAG); Routing; Evaluator–Optimizer</t>
  </si>
  <si>
    <t xml:space="preserve">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</si>
  <si>
    <t xml:space="preserve">Câu trả lời tri thức có bảo đảm bám nguồn ở mức con số. Ít lượt mò hơn. Giảm ảo giác số liệu trong văn bản trả lời, chỗ N1 chưa phủ.</t>
  </si>
  <si>
    <t xml:space="preserve">Thêm 1-3 lời gọi LLM mỗi câu hỏi, tăng độ trễ khoảng 2-5 s. Luật định tuyến cần bảo trì.</t>
  </si>
  <si>
    <t xml:space="preserve">tỉ lệ con số trong câu trả lời có cite đúng (citation precision); số vòng viết lại trung bình; pass@1 trên bộ hỏi-đáp datasheet</t>
  </si>
  <si>
    <t xml:space="preserve">M5-03</t>
  </si>
  <si>
    <t xml:space="preserve">Nạp SVD (register map của hãng)</t>
  </si>
  <si>
    <t xml:space="preserve">src/eide/knowledge/ingest.py:324-326; src/eide/tools/knowledge.py:28-30, 95-136 (_nap_theo_loai)</t>
  </si>
  <si>
    <t xml:space="preserve">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</si>
  <si>
    <t xml:space="preserve">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</si>
  <si>
    <t xml:space="preserve">Agentic RAG (nguồn có cấu trúc); Memory-augmented (kho tri thức)</t>
  </si>
  <si>
    <t xml:space="preserve">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</si>
  <si>
    <t xml:space="preserve">Sinh mã truy cập thanh ghi có Fact VÀNG đứng sau. Kiểm được địa chỉ/bit trong mã nguồn bằng MÃ. Bỏ hàng chục lượt doc.read cho mỗi ngoại vi.</t>
  </si>
  <si>
    <t xml:space="preserve">SVD của một số hãng có lỗi hoặc lệch RM (phải ghi errata). Số Fact lớn (hàng chục nghìn), cần chỉ mục.</t>
  </si>
  <si>
    <t xml:space="preserve">số thanh ghi/trường nạp được trên STM32F469 SVD; tỉ lệ hằng địa chỉ trong mã nguồn có Fact VÀNG; số lời gọi tìm thanh ghi mỗi việc</t>
  </si>
  <si>
    <t xml:space="preserve">Trích bảng thông số từ PDF datasheet</t>
  </si>
  <si>
    <t xml:space="preserve">src/eide/knowledge/docs.py:160-187 (nap_tai_lieu), 372-421 (trich_fact_ung_vien)</t>
  </si>
  <si>
    <t xml:space="preserve">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</si>
  <si>
    <t xml:space="preserve">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</si>
  <si>
    <t xml:space="preserve">Prompt Chaining (trích bằng code + cổng kiểm); Agentic RAG</t>
  </si>
  <si>
    <t xml:space="preserve">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</si>
  <si>
    <t xml:space="preserve">Tỉ lệ trích đúng Fact từ datasheet PDF tăng mạnh. fact.extract_pinout chạy được trên PDF. Phân biệt abs-max và operating.</t>
  </si>
  <si>
    <t xml:space="preserve">Phát hiện bảng của PDF không hoàn hảo (ô gộp, bảng vắt trang). Thêm phụ thuộc pymupdf (giấy phép AGPL, cần cân nhắc) hoặc pdfplumber (MIT, chậm hơn).</t>
  </si>
  <si>
    <t xml:space="preserve">precision/recall trích Fact trên 3-5 datasheet có nhãn tay; số chân trích được từ pinout table PDF</t>
  </si>
  <si>
    <t xml:space="preserve">Kiểm đơn vị và khoảng giá trị của Fact trích</t>
  </si>
  <si>
    <t xml:space="preserve">src/eide/knowledge/docs.py:345-362 (_MAU_THONG_SO), 437-447 (PHAM_VI_HOP_LY), 507-514 (hop_ly), 526-593 (_tu_hang_bang)</t>
  </si>
  <si>
    <t xml:space="preserve">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</si>
  <si>
    <t xml:space="preserve">'VDD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</si>
  <si>
    <t xml:space="preserve">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</si>
  <si>
    <t xml:space="preserve">Chặn cả một lớp Fact sai trước khi vào kho và lan sang so sánh, hạn mức build, sinh mã. Công sức rất nhỏ.</t>
  </si>
  <si>
    <t xml:space="preserve">Có thể loại nhầm Fact đúng khi đơn vị viết lạ (cần bí danh đơn vị đầy đủ).</t>
  </si>
  <si>
    <t xml:space="preserve">số Fact sai thứ nguyên trong kho (0 là đạt); precision trích trên bộ vàng</t>
  </si>
  <si>
    <t xml:space="preserve">Giá trị tương đối và ngữ cảnh mục trong datasheet</t>
  </si>
  <si>
    <t xml:space="preserve">src/eide/knowledge/chuan_hoa.py:161 (chuan_hoa); src/eide/knowledge/docs.py:345-362</t>
  </si>
  <si>
    <t xml:space="preserve">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</si>
  <si>
    <t xml:space="preserve">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</si>
  <si>
    <t xml:space="preserve">Prompt Chaining (chuẩn hoá bằng code)</t>
  </si>
  <si>
    <t xml:space="preserve">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</si>
  <si>
    <t xml:space="preserve">muc_logic dùng được trên chip thật. Bớt mâu thuẫn giả trong cross_check. Phủ nhiều thông số timing/nguồn hơn.</t>
  </si>
  <si>
    <t xml:space="preserve">Biểu thức lạ hiếm gặp vẫn cần người xác nhận. Đổi lược đồ Fact (thêm trường).</t>
  </si>
  <si>
    <t xml:space="preserve">tỉ lệ VIH/VIL trích được trên 5 datasheet; số cảnh báo mâu thuẫn giả mỗi dự án</t>
  </si>
  <si>
    <t xml:space="preserve">M5-07</t>
  </si>
  <si>
    <t xml:space="preserve">fact.from_doc: kiểm giá trị có trong đoạn</t>
  </si>
  <si>
    <t xml:space="preserve">src/eide/tools/knowledge.py:866-960 (khối `_chuan(gt) in _chuan(noi_dung)`)</t>
  </si>
  <si>
    <t xml:space="preserve">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</si>
  <si>
    <t xml:space="preserve">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</si>
  <si>
    <t xml:space="preserve">Prompt Chaining (cổng kiểm bằng code); Agentic RAG (kiểm bám nguồn)</t>
  </si>
  <si>
    <t xml:space="preserve">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</si>
  <si>
    <t xml:space="preserve">Lời hứa 'MÃ đã đối chiếu' thành thật. Fact thủ công có trích đoạn chính xác để người duyệt lên VÀNG nhanh.</t>
  </si>
  <si>
    <t xml:space="preserve">Mô hình phải chép thêm một câu (tốn thêm vài token), có thể bị từ chối nhiều hơn lúc đầu.</t>
  </si>
  <si>
    <t xml:space="preserve">tỉ lệ fact.from_doc bị từ chối đúng trên bộ ca bẫy (số ngắn, số lân cận); số Fact thủ công bị người hạ ĐỒNG</t>
  </si>
  <si>
    <t xml:space="preserve">M5-08</t>
  </si>
  <si>
    <t xml:space="preserve">Phiên bản Fact, thay thế và hết hiệu lực</t>
  </si>
  <si>
    <t xml:space="preserve">src/eide/store/db.py:67-84 (cột supersedes/superseded_by), 480-511; src/eide/knowledge/docs.py:627-631 (fact_id có doc.hash); src/eide/tools/knowledge.py:200 (E2005 khi tệp đổi)</t>
  </si>
  <si>
    <t xml:space="preserve">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</si>
  <si>
    <t xml:space="preserve">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</si>
  <si>
    <t xml:space="preserve">Memory-augmented/MemGPT (sửa và thay bộ nhớ); Human-in-the-loop</t>
  </si>
  <si>
    <t xml:space="preserve">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</si>
  <si>
    <t xml:space="preserve">Tri thức không lỗi thời âm thầm. Mâu thuẫn có vòng đời rõ (phát hiện, người chọn, đóng). Truy vết lịch sử số liệu.</t>
  </si>
  <si>
    <t xml:space="preserve">Thêm thẻ duyệt làm phiền người dùng nếu diff lớn (cần gom nhóm).</t>
  </si>
  <si>
    <t xml:space="preserve">số cặp mâu thuẫn mở lâu quá 7 ngày; số Fact active trỏ tới doc hash không còn tồn tại</t>
  </si>
  <si>
    <t xml:space="preserve">M5-09</t>
  </si>
  <si>
    <t xml:space="preserve">So sánh và đối chiếu chéo Fact theo điều kiện và đơn vị</t>
  </si>
  <si>
    <t xml:space="preserve">src/eide/knowledge/compare.py:82-130 (doi_chieu_cheo), 169-174 (_so), 192-226 (muc_logic, qua_ap)</t>
  </si>
  <si>
    <t xml:space="preserve">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</si>
  <si>
    <t xml:space="preserve">Kết luận 'đạt' có thể dựa trên hai con số đo ở điều kiện khác nhau, hoặc trên một Fact sai đơn vị lọt từ khâu trích. Mâu thuẫn giả làm người dùng mệt và bỏ qua mâu thuẫn thật.</t>
  </si>
  <si>
    <t xml:space="preserve">Evaluator–Optimizer (luật chấm có kiểm điều kiện); Debate (đối chiếu nhiều nguồn)</t>
  </si>
  <si>
    <t xml:space="preserve">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</si>
  <si>
    <t xml:space="preserve">Kết luận so sánh đáng tin hơn. Giảm mâu thuẫn giả. Bắt lỗi giao tiếp mức biên.</t>
  </si>
  <si>
    <t xml:space="preserve">Điều kiện ghi không chuẩn có thể làm tăng 'chưa kiểm chứng'.</t>
  </si>
  <si>
    <t xml:space="preserve">tỉ lệ mâu thuẫn giả trong cross_check; số kết luận 'dat' sai trên bộ ca bẫy điều kiện</t>
  </si>
  <si>
    <t xml:space="preserve">M5-10</t>
  </si>
  <si>
    <t xml:space="preserve">Truy vấn Fact theo id và theo thực thể</t>
  </si>
  <si>
    <t xml:space="preserve">src/eide/tools/knowledge.py:962-1027 (fact.review, fact.compare dùng query_facts(limit=1000)); src/eide/store/db.py:496-511; src/eide/tools/builtin.py:237-255</t>
  </si>
  <si>
    <t xml:space="preserve">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</si>
  <si>
    <t xml:space="preserve">Lỗi im lặng khi kho lớn. Trộn Fact của hai chip họ gần nhau, đúng kiểu sai 'trông đúng' mà tim_kiem.py đã đo được với tên repo. Kết quả fact.query dài, tốn ngữ cảnh.</t>
  </si>
  <si>
    <t xml:space="preserve">Memory-augmented (truy xuất chính xác)</t>
  </si>
  <si>
    <t xml:space="preserve">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</si>
  <si>
    <t xml:space="preserve">Hết lỗi im lặng ở quy mô lớn. Không trộn chip. Kết quả gọn hơn 3-5 lần.</t>
  </si>
  <si>
    <t xml:space="preserve">Đổi ngữ nghĩa subject có thể làm vỡ test cũ dựa trên LIKE.</t>
  </si>
  <si>
    <t xml:space="preserve">test với 5000 Fact; số token trung bình của kết quả fact.query</t>
  </si>
  <si>
    <t xml:space="preserve">M5-11</t>
  </si>
  <si>
    <t xml:space="preserve">Đồ thị tri thức linh kiện–chân–ngoại vi–thanh ghi và truy vấn đa bước</t>
  </si>
  <si>
    <t xml:space="preserve">src/eide/knowledge/ckm.py:39-42 (LOAI_NUT, LOAI_CANH), 388-500 (chieu); src/eide/tools/ckm.py:813-854 (ckm.graph)</t>
  </si>
  <si>
    <t xml:space="preserve">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</si>
  <si>
    <t xml:space="preserve">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</si>
  <si>
    <t xml:space="preserve">Agentic RAG (GraphRAG); Plan-and-Execute</t>
  </si>
  <si>
    <t xml:space="preserve">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</si>
  <si>
    <t xml:space="preserve">Trả lời truy vấn đa bước bằng một lời gọi, có trích dẫn. Làm nền cho bộ kiểm 'thiếu bật clock / sai AF' trong mã.</t>
  </si>
  <si>
    <t xml:space="preserve">Đồ thị lớn (hàng chục nghìn nút) cần chỉ mục tốt. Bảng AF ở dạng PDF khó trích.</t>
  </si>
  <si>
    <t xml:space="preserve">số lời gọi để trả lời 10 câu hỏi đa bước chuẩn; tỉ lệ firmware sinh ra thiếu bật clock ngoại vi</t>
  </si>
  <si>
    <t xml:space="preserve">M5-12</t>
  </si>
  <si>
    <t xml:space="preserve">PDF scan và OCR khi nạp</t>
  </si>
  <si>
    <t xml:space="preserve">src/eide/knowledge/ingest.py:560-578 (_doc_pdf); src/eide/tools/knowledge.py:507-553 (doc.figures)</t>
  </si>
  <si>
    <t xml:space="preserve">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</si>
  <si>
    <t xml:space="preserve">Tài liệu cũ hoặc scan (rất phổ biến với linh kiện cũ, bảng tay) là ngõ cụt. Trang rỗng âm thầm khiến doc.read hay fact.extract kết luận 'không có' là sai.</t>
  </si>
  <si>
    <t xml:space="preserve">Routing (chọn bộ đọc theo nội dung); Human-in-the-loop</t>
  </si>
  <si>
    <t xml:space="preserve">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</si>
  <si>
    <t xml:space="preserve">Mở được lớp tài liệu đang bị chặn hoàn toàn. Không còn trang rỗng âm thầm.</t>
  </si>
  <si>
    <t xml:space="preserve">OCR chậm (300 trang mất vài phút, cần chạy nền). Số OCR sai trông như đúng (đã có trần tầng).</t>
  </si>
  <si>
    <t xml:space="preserve">số tài liệu bị từ chối vì scan; tỉ lệ ký tự đúng OCR trên mẫu</t>
  </si>
  <si>
    <t xml:space="preserve">Phong bì kết quả (envelope) cho công cụ tri thức</t>
  </si>
  <si>
    <t xml:space="preserve">src/eide/memory/envelope.py:254-268 (CHINH_SACH), 331-343 (_cat_chung); src/eide/tools/knowledge.py:441-448 (doc.read trả chu[:2000] × tối đa 40, tới 200)</t>
  </si>
  <si>
    <t xml:space="preserve">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</si>
  <si>
    <t xml:space="preserve">Một lời gọi doc.read rộng có thể nuốt 10-20 % cửa sổ, đẩy C1/C2 chạy sớm và làm loãng chú ý, đúng nguyên tắc 'lỗi thường nằm ở kết quả tool quá dài'.</t>
  </si>
  <si>
    <t xml:space="preserve">ReAct (vệ sinh quan sát); Memory-augmented (nén)</t>
  </si>
  <si>
    <t xml:space="preserve">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</si>
  <si>
    <t xml:space="preserve">Giảm token mỗi lượt có đọc tài liệu khoảng 60-80 %. C2 chạy ít hơn. Đúng đoạn cần đọc hiện ra trước.</t>
  </si>
  <si>
    <t xml:space="preserve">Cắt quá tay khiến phải gọi blob.read thêm.</t>
  </si>
  <si>
    <t xml:space="preserve">token trung bình mỗi kết quả doc.read; tần suất nén C2 mỗi phiên (memory.metrics)</t>
  </si>
  <si>
    <t xml:space="preserve">M5-14</t>
  </si>
  <si>
    <t xml:space="preserve">Bộ nhớ bài học kỹ thuật dài hạn (Reflexion/MemGPT)</t>
  </si>
  <si>
    <t xml:space="preserve">src/eide/tools/writing.py:229-276 (memory.note, section enum), 317-367 (memory.remember_user); src/eide/memory/nguoi_dung.py:28-35 (CHU_DE); src/eide/memory/summary.py:37 (loi_da_gap)</t>
  </si>
  <si>
    <t xml:space="preserve">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</si>
  <si>
    <t xml:space="preserve">Tác tử lặp lại cùng lỗi qua phiên và dự án: đoán nhánh main/master, lệch API driver v1/v2, nhầm địa chỉ thành giá trị, nạp sai toolchain. Mỗi lần mất nhiều lượt gọi để tự tìm ra lại.</t>
  </si>
  <si>
    <t xml:space="preserve">Reflexion; Memory-augmented/MemGPT</t>
  </si>
  <si>
    <t xml:space="preserve">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</si>
  <si>
    <t xml:space="preserve">Giảm lặp lỗi qua phiên. Ít lượt gọi hơn cho lỗi đã biết. Biến tri thức 'đo được' trong comment thành tri thức tác tử dùng được.</t>
  </si>
  <si>
    <t xml:space="preserve">Bài học sai hoặc quá khái quát sẽ lan sai (cần do_tin, hết hạn, người duyệt). Tốn token chèn gợi ý.</t>
  </si>
  <si>
    <t xml:space="preserve">số lần cùng ma_loi lặp lại qua phiên; số lời gọi để khắc phục lỗi đã có bài học; tỉ lệ bài học bị người bác</t>
  </si>
  <si>
    <t xml:space="preserve">M1-14, M3-21</t>
  </si>
  <si>
    <t xml:space="preserve">M5-15</t>
  </si>
  <si>
    <t xml:space="preserve">Làm mới, hết hạn và phát hiện mâu thuẫn trong EIDE.md</t>
  </si>
  <si>
    <t xml:space="preserve">src/eide/store/eide_md.py:135-147 (append_line), 168-198 (de_xuat_luoc); src/eide/tools/writing.py:229-276</t>
  </si>
  <si>
    <t xml:space="preserve">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</si>
  <si>
    <t xml:space="preserve">Bộ nhớ dài hạn tích luỹ giả định đã hết hiệu lực và quyết định trái nhau, mô hình đọc mỗi lượt và có thể theo dòng cũ. Không ai biết giả định nào còn đúng.</t>
  </si>
  <si>
    <t xml:space="preserve">Memory-augmented/MemGPT (sửa bộ nhớ); Evaluator–Optimizer</t>
  </si>
  <si>
    <t xml:space="preserve">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</si>
  <si>
    <t xml:space="preserve">Bộ nhớ dự án không mục ruỗng theo thời gian. Bớt hành vi theo quyết định đã bị thay.</t>
  </si>
  <si>
    <t xml:space="preserve">Heuristic mâu thuẫn có thể báo nhầm. Dòng dài hơn, tốn thêm token mỗi lượt.</t>
  </si>
  <si>
    <t xml:space="preserve">số cặp dòng mâu thuẫn phát hiện được; số giả định quá hạn chưa xử lý</t>
  </si>
  <si>
    <t xml:space="preserve">M5-16</t>
  </si>
  <si>
    <t xml:space="preserve">Đưa EIDE.md vào ngữ cảnh khi quá dài</t>
  </si>
  <si>
    <t xml:space="preserve">src/eide/store/eide_md.py:22-24 (SECTIONS), 229-242 (render)</t>
  </si>
  <si>
    <t xml:space="preserve">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</si>
  <si>
    <t xml:space="preserve">Khi EIDE.md vượt ngân sách (người chưa duyệt lược), ranh giới 'Đừng' do người đặt và các sửa tay gần nhất biến khỏi ngữ cảnh. Tác tử có thể đề xuất lại thứ người đã cấm. Mã trái với chính docstring của nó.</t>
  </si>
  <si>
    <t xml:space="preserve">Memory-augmented (ưu tiên bộ nhớ); Human-in-the-loop (tôn trọng ranh giới)</t>
  </si>
  <si>
    <t xml:space="preserve">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</si>
  <si>
    <t xml:space="preserve">Ranh giới của người không bao giờ rơi khỏi ngữ cảnh. Sửa nhanh, rủi ro thấp.</t>
  </si>
  <si>
    <t xml:space="preserve">test hồi quy; số lần tác tử đề xuất lại điều trong §Đừng</t>
  </si>
  <si>
    <t xml:space="preserve">M5-17</t>
  </si>
  <si>
    <t xml:space="preserve">Phục hồi phiên (resume): bản tóm tắt phiên trước</t>
  </si>
  <si>
    <t xml:space="preserve">src/eide/memory/nen.py:125-135 (BoNen.__init__ đặt tom_tat_hien_tai=None); src/eide/loop.py:211-226, 499-505; src/eide/memory/resume.py:34-41</t>
  </si>
  <si>
    <t xml:space="preserve">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</si>
  <si>
    <t xml:space="preserve">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</si>
  <si>
    <t xml:space="preserve">Memory-augmented/MemGPT; Plan-and-Execute (tiếp kế hoạch); Human-in-the-loop (checkpoint chạy tiếp)</t>
  </si>
  <si>
    <t xml:space="preserve">(1)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</si>
  <si>
    <t xml:space="preserve">Làm tiếp được ngay sau khi mở lại mà không phải hỏi lại. Giảm số lượt khởi động lại ngữ cảnh.</t>
  </si>
  <si>
    <t xml:space="preserve">Khối resume dài hơn (giới hạn khoảng 1.5k token).</t>
  </si>
  <si>
    <t xml:space="preserve">test hồi quy mở lại sau C2; số lời gọi ledger.query/ask_user ở lượt đầu sau mở lại; pass@1 nhiệm vụ 'làm tiếp' qua hai phiên</t>
  </si>
  <si>
    <t xml:space="preserve">M5-18</t>
  </si>
  <si>
    <t xml:space="preserve">Đo mất mát thông tin sau nén C2 (phiếu kiểm)</t>
  </si>
  <si>
    <t xml:space="preserve">src/eide/memory/summary.py:142-200 (lam_phieu_kiem), 127-140 (CauKiem.dung)</t>
  </si>
  <si>
    <t xml:space="preserve">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</si>
  <si>
    <t xml:space="preserve">Điểm '3/3' gần như vô nghĩa nên không đo được mất mát thông tin thật. Nén có thể làm mất ràng buộc hay số then chốt mà vẫn qua kiểm.</t>
  </si>
  <si>
    <t xml:space="preserve">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</si>
  <si>
    <t xml:space="preserve">Có chỉ số mất mát thông tin thật, chặn được bản nén làm rơi ràng buộc hay số liệu.</t>
  </si>
  <si>
    <t xml:space="preserve">Kiểm chặt hơn làm C2 bị huỷ nhiều hơn, cần ngưỡng hợp lý (ví dụ phủ ≥ 90 %).</t>
  </si>
  <si>
    <t xml:space="preserve">ty_le_phu id/số; tỉ lệ kiểm đạt lần đầu; số sự cố 'quên ràng buộc' sau nén</t>
  </si>
  <si>
    <t xml:space="preserve">M5-19</t>
  </si>
  <si>
    <t xml:space="preserve">Lược đồ và đầu vào của bản tóm tắt C2; PreCompact</t>
  </si>
  <si>
    <t xml:space="preserve">src/eide/memory/summary.py:27-38 (MUC), ~238-242 (prompt_tom_tat cắt `str(chu)[:1500]`); src/eide/memory/nen.py:87-112 (pre_compact)</t>
  </si>
  <si>
    <t xml:space="preserve">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</si>
  <si>
    <t xml:space="preserve">Ràng buộc người nói giữa chừng (không phải quyết định chính thức) và số nằm sau ký tự 1500 của một kết quả tool bị mất trước khi tóm tắt. Sự thật chưa vào M2 mất luôn khi đoạn bị nén.</t>
  </si>
  <si>
    <t xml:space="preserve">Memory-augmented/MemGPT; Prompt Chaining (cổng kiểm)</t>
  </si>
  <si>
    <t xml:space="preserve">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</si>
  <si>
    <t xml:space="preserve">Giữ được ràng buộc và số liệu qua nén. PreCompact thực sự bảo vệ sự thật.</t>
  </si>
  <si>
    <t xml:space="preserve">Bản tóm tắt dài thêm khoảng 300 token.</t>
  </si>
  <si>
    <t xml:space="preserve">ty_le_phu (mục phiếu kiểm); số id trong chua_co_trong_M2 bị mất sau nén</t>
  </si>
  <si>
    <t xml:space="preserve">M5-20</t>
  </si>
  <si>
    <t xml:space="preserve">Nén cơ học C1</t>
  </si>
  <si>
    <t xml:space="preserve">src/eide/memory/compact.py:5, 60-68 (_khoa_doc chỉ fs.read), 113-118 (stub quá 8 lượt)</t>
  </si>
  <si>
    <t xml:space="preserve">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</si>
  <si>
    <t xml:space="preserve">Một kết quả quan trọng (bảng chân, đoạn datasheet) vẫn đang được dùng có thể bị thay bằng dòng tóm tắt, mô hình phải gọi blob.read hoặc đọc lại. Đọc lặp doc.read cùng đoạn thì không được gộp, tốn ngữ cảnh.</t>
  </si>
  <si>
    <t xml:space="preserve">Memory-augmented (quản lý ngữ cảnh làm việc)</t>
  </si>
  <si>
    <t xml:space="preserve">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</si>
  <si>
    <t xml:space="preserve">Ít đọc lại hơn. Ngữ cảnh giữ đúng thứ đang dùng.</t>
  </si>
  <si>
    <t xml:space="preserve">Heuristic 'nhắc' có thể giữ quá nhiều.</t>
  </si>
  <si>
    <t xml:space="preserve">số lời gọi blob.read hoặc đọc lại cùng nội dung mỗi phiên; giam_phan_tram của C1</t>
  </si>
  <si>
    <t xml:space="preserve">Bộ đánh giá (eval) cho trích xuất, tìm kiếm và bộ nhớ</t>
  </si>
  <si>
    <t xml:space="preserve">tests/test_tri_thuc.py, test_doc_van_ban.py, test_ing_*.py, test_mem_*.py (khoảng 350 test đơn vị)</t>
  </si>
  <si>
    <t xml:space="preserve">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</si>
  <si>
    <t xml:space="preserve">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</si>
  <si>
    <t xml:space="preserve">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</si>
  <si>
    <t xml:space="preserve">Mọi đề xuất ở trên có số đo trước và sau. Bắt hồi quy chất lượng, không chỉ hồi quy hợp đồng.</t>
  </si>
  <si>
    <t xml:space="preserve">Công gán nhãn tay ban đầu. Phần eval có LLM tốn token (chạy định kỳ, không chạy mỗi commit).</t>
  </si>
  <si>
    <t xml:space="preserve">chính các chỉ số eval: P/R trích, recall@5, citation precision, ty_le_phu, pass@1 làm tiếp</t>
  </si>
  <si>
    <t xml:space="preserve">ĐỐI CHIẾU EIDE v3 VỚI 18 MẪU KIẾN TRÚC AGENT (+ HITL)</t>
  </si>
  <si>
    <t xml:space="preserve">Hiện trạng đánh giá từ mã; cột 'Số đề xuất liên quan' đếm tự động các dòng ở sheet Danh mục có nhắc tên mẫu.</t>
  </si>
  <si>
    <t xml:space="preserve">Nhóm</t>
  </si>
  <si>
    <t xml:space="preserve">Mẫu</t>
  </si>
  <si>
    <t xml:space="preserve">Hiện trạng trong EIDE</t>
  </si>
  <si>
    <t xml:space="preserve">Bằng chứng trong mã</t>
  </si>
  <si>
    <t xml:space="preserve">Hướng áp dụng cho EIDE</t>
  </si>
  <si>
    <t xml:space="preserve">Mức phù hợp</t>
  </si>
  <si>
    <t xml:space="preserve">Số đề xuất liên quan</t>
  </si>
  <si>
    <t xml:space="preserve">P0 liên quan</t>
  </si>
  <si>
    <t xml:space="preserve">A. Workflow</t>
  </si>
  <si>
    <t xml:space="preserve">Prompt Chaining</t>
  </si>
  <si>
    <t xml:space="preserve">Một phần</t>
  </si>
  <si>
    <t xml:space="preserve">Hook S0 (0 token), kiem_ke_hoach, constant_guard, cổng G-* là các cổng kiểm bằng mã.</t>
  </si>
  <si>
    <t xml:space="preserve">Chưa có chuỗi chặng có cổng cho HDL (lint→sim→độ nhạy→ràng buộc→synth→pnr) và cho sinh mã từng bước (mỗi bước phải build/test).</t>
  </si>
  <si>
    <t xml:space="preserve">Cao</t>
  </si>
  <si>
    <t xml:space="preserve">Routing</t>
  </si>
  <si>
    <t xml:space="preserve">S0 phân loại câu người dùng; công cụ core/ẩn + mở khoá theo ngữ cảnh (_mo_khoa_theo_ngu_canh).</t>
  </si>
  <si>
    <t xml:space="preserve">Định tuyến bộ công cụ theo loại việc (giảm 73→~20 công cụ hiện), định tuyến mức suy nghĩ (thinking) theo bước vì chỉ được dùng một model.</t>
  </si>
  <si>
    <t xml:space="preserve">Parallelization</t>
  </si>
  <si>
    <t xml:space="preserve">Chưa có</t>
  </si>
  <si>
    <t xml:space="preserve">Mọi lời gọi công cụ chạy tuần tự; không có bỏ phiếu.</t>
  </si>
  <si>
    <t xml:space="preserve">Song song các lời gọi chỉ-đọc trong một phản hồi; task.run_many cho nhiều worker chỉ-đọc; 2 verifier độc lập cho khẳng định R3/R4.</t>
  </si>
  <si>
    <t xml:space="preserve">Trung bình</t>
  </si>
  <si>
    <t xml:space="preserve">sim.criteria + xet_ket_qua (EIDE phán), subagent verifier, hook đòi tự kiểm.</t>
  </si>
  <si>
    <t xml:space="preserve">Thêm vòng sửa có trần: ERC delta sau mỗi ckm.*, test.harden khi đột biến sống, sửa sau khi verifier bác, phiếu kiểm nén C2 thật.</t>
  </si>
  <si>
    <t xml:space="preserve">Rất cao</t>
  </si>
  <si>
    <t xml:space="preserve">B. Single-agent</t>
  </si>
  <si>
    <t xml:space="preserve">ReAct</t>
  </si>
  <si>
    <t xml:space="preserve">Đã có (lõi)</t>
  </si>
  <si>
    <t xml:space="preserve">loop.py: vòng native tool-calling, ngân sách 40 lời gọi/300 s, phát hiện quay vòng, câu thay cho im lặng.</t>
  </si>
  <si>
    <t xml:space="preserve">Sửa toàn vẹn cặp gọi–trả, xử lý finish_reason, chống lời gọi trùng y hệt, thử temperature theo khuyến nghị Gemini 3.</t>
  </si>
  <si>
    <t xml:space="preserve">Plan-and-Execute</t>
  </si>
  <si>
    <t xml:space="preserve">Plan mode khoá công cụ ghi, kiểm kế hoạch bằng mã, G-SCOPE duyệt, plan.step_done đòi hiện vật.</t>
  </si>
  <si>
    <t xml:space="preserve">Thêm plan.revise (Replanner), phụ thuộc giữa bước, tiêu chí xong kiểm được bằng máy, ngân sách con theo bước.</t>
  </si>
  <si>
    <t xml:space="preserve">ReWOO</t>
  </si>
  <si>
    <t xml:space="preserve">—</t>
  </si>
  <si>
    <t xml:space="preserve">Phù hợp cho chuỗi tra cứu biết trước (nạp datasheet → trích khoá ERC → so sánh). Có thể gộp vào kb.ask / part.select thay vì làm riêng.</t>
  </si>
  <si>
    <t xml:space="preserve">Thấp</t>
  </si>
  <si>
    <t xml:space="preserve">LLMCompiler</t>
  </si>
  <si>
    <t xml:space="preserve">Bản nhẹ: DAG chỉ cho lời gọi đọc độc lập trong cùng phản hồi (pha kiểm quyền tuần tự, pha chạy song song).</t>
  </si>
  <si>
    <t xml:space="preserve">Reflexion</t>
  </si>
  <si>
    <t xml:space="preserve">Thất bại được ghi sổ cái nhưng không chưng cất thành bài học; bài học chỉ nằm trong chú thích mã.</t>
  </si>
  <si>
    <t xml:space="preserve">Hiện vật 'lesson' theo chữ ký lỗi (công cụ + mã lỗi + chip), sinh sau chuỗi lỗi→sửa thành công, tra lại khi gặp lỗi tương tự; mục Bài học trong EIDE.md.</t>
  </si>
  <si>
    <t xml:space="preserve">Tree of Thoughts / LATS</t>
  </si>
  <si>
    <t xml:space="preserve">Có option_create/option_choose nhưng do một mạch suy nghĩ sinh ra, không chấm điểm.</t>
  </si>
  <si>
    <t xml:space="preserve">Chỉ dùng cho quyết định kiến trúc: design.explore sinh ≤3 phương án độc lập + chấm theo rubric REQ. Không áp ToT cho vòng thường (quá đắt).</t>
  </si>
  <si>
    <t xml:space="preserve">tool.propose cho tác tử tự viết công cụ lâu dài (có test, có duyệt); 3 công thức đóng trong khoi_thu_vien.</t>
  </si>
  <si>
    <t xml:space="preserve">Thêm calc.eval (biểu thức có đơn vị, không eval tự do) và py.phan_tich chỉ-đọc trong sandbox cho phân tích dùng một lần.</t>
  </si>
  <si>
    <t xml:space="preserve">Agentic RAG</t>
  </si>
  <si>
    <t xml:space="preserve">doc.read khớp chuỗi con trong MỘT tài liệu, không xếp hạng; SVD được phân loại 'đầy đủ' nhưng không có bộ đọc; PDF không có cấu trúc bảng.</t>
  </si>
  <si>
    <t xml:space="preserve">doc.search lai (FTS5/BM25 + embedding + RRF), kb.ask có định tuyến nguồn – chấm liên quan – viết lại truy vấn – kiểm bám nguồn từng con số.</t>
  </si>
  <si>
    <t xml:space="preserve">Memory-augmented (MemGPT)</t>
  </si>
  <si>
    <t xml:space="preserve">EIDE.md theo dự án, bộ nhớ người dùng có duyệt, nén C1–C4 có blob, tombstone chống hồi sinh, khối resume.</t>
  </si>
  <si>
    <t xml:space="preserve">Sửa resume không nạp bản tóm tắt, render EIDE.md cắt mất §Đừng, supersede Fact, hết hạn/mâu thuẫn, phiếu kiểm nén thật.</t>
  </si>
  <si>
    <t xml:space="preserve">C. Multi-agent</t>
  </si>
  <si>
    <t xml:space="preserve">Supervisor–Workers</t>
  </si>
  <si>
    <t xml:space="preserve">task.run với 6+ loại tác tử con, ngữ cảnh sạch, công cụ lọc, báo cáo 6 trường.</t>
  </si>
  <si>
    <t xml:space="preserve">Đưa tác tử con qua cùng hook/policy, ngân sách theo lời gọi + giây, cắt kết quả, nộp báo cáo bằng function call, chạy song song worker chỉ-đọc.</t>
  </si>
  <si>
    <t xml:space="preserve">Hierarchical</t>
  </si>
  <si>
    <t xml:space="preserve">Chưa cần: một supervisor một tầng chưa được chứng minh là thiếu. Chỉ xét khi có dự án nhiều miền (mạch + FPGA + firmware) chạy dài nhiều ngày.</t>
  </si>
  <si>
    <t xml:space="preserve">Swarm / Handoff</t>
  </si>
  <si>
    <t xml:space="preserve">Không khuyến nghị: EIDE có một người dùng, một giao diện; chuyển giao ngang hàng làm mất bức tranh toàn cục.</t>
  </si>
  <si>
    <t xml:space="preserve">Debate</t>
  </si>
  <si>
    <t xml:space="preserve">design-review chỉ soi mạch và chỉ chạy khi tác tử chính tự giao.</t>
  </si>
  <si>
    <t xml:space="preserve">Phản biện tự động khi chốt ADR (phan-bien / sw-design-review), criteria-critic trước khi người duyệt tiêu chí, req-critic cho đặc tả. Trần 1 vòng phản biện + 1 vòng sửa.</t>
  </si>
  <si>
    <t xml:space="preserve">Blackboard</t>
  </si>
  <si>
    <t xml:space="preserve">Kho hiện vật + sổ cái + lan STALE (deps.py) đóng vai bảng trạng thái chung.</t>
  </si>
  <si>
    <t xml:space="preserve">Ghi deps.upstream thật (hiện luôn rỗng) để STALE đúng chỗ và có ma trận truy vết REQ→thiết kế→mã→test; address_map dùng chung RTL↔firmware.</t>
  </si>
  <si>
    <t xml:space="preserve">D. Cắt ngang</t>
  </si>
  <si>
    <t xml:space="preserve">Human-in-the-loop</t>
  </si>
  <si>
    <t xml:space="preserve">Đã có (mạnh)</t>
  </si>
  <si>
    <t xml:space="preserve">Policy R0–R4, thẻ cổng G-*, nhớ duyệt trong lượt (trừ không hoàn tác/never_auto/≥R4), soft-lock tệp, kiểm xuất xứ quyết định người.</t>
  </si>
  <si>
    <t xml:space="preserve">Thất bại an toàn khi luật policy lỗi; cổng G-QUAL cho việc sửa test sau khi đỏ; HITL cho đo mạch thật; tác tử con hiện đi vòng qua HITL.</t>
  </si>
  <si>
    <t xml:space="preserve">ĐIỂM MẠNH HIỆN CÓ — GIỮ NGUYÊN, KHÔNG ĐỀ XUẤT TRÙNG</t>
  </si>
  <si>
    <t xml:space="preserve">#</t>
  </si>
  <si>
    <t xml:space="preserve">Cơ chế</t>
  </si>
  <si>
    <t xml:space="preserve">Vị trí</t>
  </si>
  <si>
    <t xml:space="preserve">Vì sao giá trị</t>
  </si>
  <si>
    <t xml:space="preserve">Cách tận dụng khi tối ưu</t>
  </si>
  <si>
    <t xml:space="preserve">Ba lớp xác định quanh mọi lời gọi công cụ</t>
  </si>
  <si>
    <t xml:space="preserve">loop.py::_one_tool; hooks/; policy/engine.py</t>
  </si>
  <si>
    <t xml:space="preserve">Mô hình không có đường nào làm việc mà không qua pre_tool_use → policy → post_tool_use; lỗi quay về mô hình như dữ liệu kèm hướng dẫn.</t>
  </si>
  <si>
    <t xml:space="preserve">Tách thành hàm dùng chung để tác tử con cũng đi qua (M1-03).</t>
  </si>
  <si>
    <t xml:space="preserve">Transcript ghi trước (write-ahead)</t>
  </si>
  <si>
    <t xml:space="preserve">loop.py::DanhSachGhiDia; memory/transcript.py</t>
  </si>
  <si>
    <t xml:space="preserve">Mọi message xuống đĩa trước khi vào RAM; phát hiện phiên dừng giữa chừng và công cụ có tác dụng phụ chưa có kết quả.</t>
  </si>
  <si>
    <t xml:space="preserve">Nền cho checkpoint HITL và resume đầy đủ (M5-17).</t>
  </si>
  <si>
    <t xml:space="preserve">Thẻ cổng + nhớ duyệt trong lượt</t>
  </si>
  <si>
    <t xml:space="preserve">loop.py::_da_duyet_roi</t>
  </si>
  <si>
    <t xml:space="preserve">Bớt 16 thẻ G-DATA cho cùng một công cụ, nhưng vẫn hỏi lại với thao tác không hoàn tác, never_auto, ≥R4.</t>
  </si>
  <si>
    <t xml:space="preserve">Giữ quy tắc này khi thêm cổng G-QUAL cho sửa test (M4-02).</t>
  </si>
  <si>
    <t xml:space="preserve">Plan mode khoá công cụ ghi + kiểm kế hoạch bằng mã</t>
  </si>
  <si>
    <t xml:space="preserve">ke_hoach.py; loop.py::_khoa_khi_soan_ke_hoach</t>
  </si>
  <si>
    <t xml:space="preserve">Trình cách làm trước khi tiêu lời gọi; đòi bước chọn kiến trúc và code.analyze.</t>
  </si>
  <si>
    <t xml:space="preserve">Mở rộng bằng tiêu chí xong + plan.revise (M1-13, M2-06).</t>
  </si>
  <si>
    <t xml:space="preserve">Phát hiện quay vòng + câu thay cho im lặng / hết ngân sách</t>
  </si>
  <si>
    <t xml:space="preserve">loop.py::_nhac_neu_dang_quay_vong, _cau_im_lang, _cau_het_ngan_sach</t>
  </si>
  <si>
    <t xml:space="preserve">Biến chỗ mù của mô hình thành tín hiệu; luôn nói ra đã làm gì và cần gõ gì để đi tiếp.</t>
  </si>
  <si>
    <t xml:space="preserve">Bổ sung chống lời gọi trùng y hệt và leo thang (M1-17).</t>
  </si>
  <si>
    <t xml:space="preserve">Tiêu chí-trước cho mô phỏng, EIDE phán bằng mã</t>
  </si>
  <si>
    <t xml:space="preserve">build/tieu_chi.py::xet_ket_qua; tools/xay_dung.py::sim_run</t>
  </si>
  <si>
    <t xml:space="preserve">Chương trình chỉ đo, EIDE so ngưỡng có nguồn; ba trạng thái dat/khong_dat/chua_do_duoc; đổi ngưỡng sau kết quả phải qua G-QUAL.</t>
  </si>
  <si>
    <t xml:space="preserve">Dùng làm lõi chung cho unit test, HDL, HIL (M4-01, M4-14, M3-12).</t>
  </si>
  <si>
    <t xml:space="preserve">Đọc ngược Flash khi nạp</t>
  </si>
  <si>
    <t xml:space="preserve">tools/mach_that.py::target_verify</t>
  </si>
  <si>
    <t xml:space="preserve">So từng byte sau khi nạp, và nói thẳng khi công cụ nạp không hỗ trợ verify.</t>
  </si>
  <si>
    <t xml:space="preserve">Nối với hil.run để kiểm thử trên bo có máy chấm (M4-14).</t>
  </si>
  <si>
    <t xml:space="preserve">Tác tử tự viết công cụ có test và duyệt</t>
  </si>
  <si>
    <t xml:space="preserve">nang_luc.py; tools/nang_luc.py (tool.propose)</t>
  </si>
  <si>
    <t xml:space="preserve">Năng lực tự mở rộng có kiểm soát; công cụ đã duyệt được nạp lại khi mở dự án.</t>
  </si>
  <si>
    <t xml:space="preserve">Làm đích nâng cấp cho đoạn py.phan_tich dùng lại ≥3 lần (M1-21).</t>
  </si>
  <si>
    <t xml:space="preserve">Kiểm xuất xứ quyết định của người</t>
  </si>
  <si>
    <t xml:space="preserve">tools/design.py::_kiem_nguoi_that_su_chon</t>
  </si>
  <si>
    <t xml:space="preserve">Chặn tác tử tự nhận 'người đã chọn' mà không có câu trích thật trong sổ cái.</t>
  </si>
  <si>
    <t xml:space="preserve">Áp lại cho store.req_create/req_update (M2-19).</t>
  </si>
  <si>
    <t xml:space="preserve">Chốt hằng số không nguồn (constant_guard, N1)</t>
  </si>
  <si>
    <t xml:space="preserve">hooks/standard.py</t>
  </si>
  <si>
    <t xml:space="preserve">Số trong mã phải có Fact hoặc lời người; chặn số nhớ/bịa.</t>
  </si>
  <si>
    <t xml:space="preserve">Cần chạy cả cho tác tử con (M1-03) và cho câu trả lời văn xuôi (M5-02).</t>
  </si>
  <si>
    <t xml:space="preserve">Phong bì kết quả + blob</t>
  </si>
  <si>
    <t xml:space="preserve">memory/envelope.py; memory/compact.py (C1)</t>
  </si>
  <si>
    <t xml:space="preserve">Kết quả dài không đi nguyên văn vào transcript; mô hình đọc lại bằng blob.read.</t>
  </si>
  <si>
    <t xml:space="preserve">Thêm chính sách riêng cho doc.read / fact.* (M5-13) và cho tác tử con (M1-05).</t>
  </si>
  <si>
    <t xml:space="preserve">Bộ dò 'ok nhưng rỗng'</t>
  </si>
  <si>
    <t xml:space="preserve">ket_qua.py::khong_noi_gi</t>
  </si>
  <si>
    <t xml:space="preserve">Phân biệt lời gọi thành công với kết quả có nội dung; nhắc một lần mỗi công cụ.</t>
  </si>
  <si>
    <t xml:space="preserve">Dời lời nhắc ra sau message tool để không lệch cặp gọi–trả (M1-01).</t>
  </si>
  <si>
    <t xml:space="preserve">Bộ nhớ có tombstone + duyệt trước khi nhớ người dùng</t>
  </si>
  <si>
    <t xml:space="preserve">store/eide_md.py; memory/nguoi_dung.py</t>
  </si>
  <si>
    <t xml:space="preserve">Điều đã quên không hồi sinh; không ghi bộ nhớ người dùng khi chưa bấm đồng ý.</t>
  </si>
  <si>
    <t xml:space="preserve">Giữ khi thêm hiện vật 'lesson' (M5-14).</t>
  </si>
  <si>
    <t xml:space="preserve">Sơ đồ kiến trúc chỉ vẽ khi có cạnh thật</t>
  </si>
  <si>
    <t xml:space="preserve">kien_truc.py</t>
  </si>
  <si>
    <t xml:space="preserve">Không vẽ sơ đồ trang trí; nói rõ vì sao không vẽ được.</t>
  </si>
  <si>
    <t xml:space="preserve">Mở rộng kiểm phân tầng (M2-12).</t>
  </si>
  <si>
    <t xml:space="preserve">Bộ 76 ca + ReplayGateway/RecordingGateway</t>
  </si>
  <si>
    <t xml:space="preserve">tools/bo_usecase.py; llm/offline.py</t>
  </si>
  <si>
    <t xml:space="preserve">Đã có hạ tầng phát lại 0 token, chỉ chưa được dùng trong pytest/CI.</t>
  </si>
  <si>
    <t xml:space="preserve">Dựng eval phát lại + CI (M4-21).</t>
  </si>
  <si>
    <t xml:space="preserve">Tổng hợp điểm mạnh mảng kiểm thử (từ người rà soát mảng 4)</t>
  </si>
  <si>
    <t xml:space="preserve">build/tieu_chi.py::xet_ket_qua; tools/xay_dung.py::sim_run (E4008/E4009/E4023); ket_qua.py::khong_noi_gi; kiem_chung.py::co_viec_chua_kiem; tools/mach_that.py::target_verify; loop.py dòng ~1070 (đổi ngưỡng → STALE)</t>
  </si>
  <si>
    <t xml:space="preserve">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</si>
  <si>
    <t xml:space="preserve">Dùng lại tieu_chi.py (Assert/TieuChi/xet_ket_qua) làm lõi chung cho test.criteria, hil.criteria và khuôn {"do":…} của HDL, thay vì viết ba máy chấm. Giữ nguyên ngữ nghĩa ba trạng thái dat/khong_dat/chua_do_duoc ở mọi nơi.</t>
  </si>
  <si>
    <t xml:space="preserve">PHƯƠNG PHÁP RÀ SOÁT VÀ NGUỒN</t>
  </si>
  <si>
    <t xml:space="preserve">Phạm vi</t>
  </si>
  <si>
    <t xml:space="preserve">Thư mục EIDE_v3: src/eide (lõi Python), tests/ (69 tệp), tools/ (script phiên), docs/md (tài liệu thiết kế), ui/EIDEApp (Swift — chỉ tham khảo giao thức). Chỉ đọc, không sửa tệp nào của dự án.</t>
  </si>
  <si>
    <t xml:space="preserve">Thang đối chiếu</t>
  </si>
  <si>
    <t xml:space="preserve">Tài liệu 'Các mẫu kiến trúc AI Agent' (10/2026) của anh: 4 mẫu workflow, 9 mẫu single-agent (gồm ReAct), 5 mẫu multi-agent và Human-in-the-loop; nguyên tắc chọn mẫu đơn giản nhất, có trần bước/thời gian/token, có eval trước khi leo thang.</t>
  </si>
  <si>
    <t xml:space="preserve">Cách làm</t>
  </si>
  <si>
    <t xml:space="preserve">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</si>
  <si>
    <t xml:space="preserve">P0 đã kiểm lại bằng tay</t>
  </si>
  <si>
    <t xml:space="preserve">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</si>
  <si>
    <t xml:space="preserve">Số liệu đo trong mã</t>
  </si>
  <si>
    <t xml:space="preserve">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</si>
  <si>
    <t xml:space="preserve">Lưu ý</t>
  </si>
  <si>
    <t xml:space="preserve">Số dòng là tại ngày 06/10/2026, có thể lệch sau khi sửa mã. Khuyến nghị temperature cho dòng Gemini 3 cần kiểm lại riêng cho gemini-3.8-flash bằng A/B trên 76 ca (M1-09). Công sức là ước lượng thô cho một người quen mã.</t>
  </si>
  <si>
    <t xml:space="preserve">[1]</t>
  </si>
  <si>
    <t xml:space="preserve">Yao et al. (2022). ReAct: Synergizing Reasoning and Acting in Language Models. arXiv:2210.03629.</t>
  </si>
  <si>
    <t xml:space="preserve">[2]</t>
  </si>
  <si>
    <t xml:space="preserve">Wang et al. (2023). Plan-and-Solve Prompting. arXiv:2305.04091.</t>
  </si>
  <si>
    <t xml:space="preserve">[3]</t>
  </si>
  <si>
    <t xml:space="preserve">Xu et al. (2023). ReWOO. arXiv:2305.18323.</t>
  </si>
  <si>
    <t xml:space="preserve">[4]</t>
  </si>
  <si>
    <t xml:space="preserve">Kim et al. (2023). An LLM Compiler for Parallel Function Calling. arXiv:2312.04511.</t>
  </si>
  <si>
    <t xml:space="preserve">[5]</t>
  </si>
  <si>
    <t xml:space="preserve">Shinn et al. (2023). Reflexion: Language Agents with Verbal Reinforcement Learning. arXiv:2303.11366.</t>
  </si>
  <si>
    <t xml:space="preserve">[6]</t>
  </si>
  <si>
    <t xml:space="preserve">Yao et al. (2023). Tree of Thoughts. arXiv:2305.10601.</t>
  </si>
  <si>
    <t xml:space="preserve">[7]</t>
  </si>
  <si>
    <t xml:space="preserve">Zhou et al. (2023). Language Agent Tree Search (LATS). arXiv:2310.04406.</t>
  </si>
  <si>
    <t xml:space="preserve">[8]</t>
  </si>
  <si>
    <t xml:space="preserve">Wang et al. (2024). Executable Code Actions Elicit Better LLM Agents (CodeAct). arXiv:2402.01030.</t>
  </si>
  <si>
    <t xml:space="preserve">[9]</t>
  </si>
  <si>
    <t xml:space="preserve">Asai et al. (2023). Self-RAG. arXiv:2310.11511.</t>
  </si>
  <si>
    <t xml:space="preserve">[10]</t>
  </si>
  <si>
    <t xml:space="preserve">Packer et al. (2023). MemGPT: Towards LLMs as Operating Systems. arXiv:2310.08560.</t>
  </si>
  <si>
    <t xml:space="preserve">[11]</t>
  </si>
  <si>
    <t xml:space="preserve">Du et al. (2023). Improving Factuality and Reasoning through Multiagent Debate. arXiv:2305.14325.</t>
  </si>
  <si>
    <t xml:space="preserve">[12]</t>
  </si>
  <si>
    <t xml:space="preserve">Wu et al. (2023). AutoGen. arXiv:2308.08155.</t>
  </si>
  <si>
    <t xml:space="preserve">[13]</t>
  </si>
  <si>
    <t xml:space="preserve">Anthropic (2024). Building effective agents. anthropic.com/engineering/building-effective-agents.</t>
  </si>
  <si>
    <t xml:space="preserve">[14]</t>
  </si>
  <si>
    <t xml:space="preserve">Anthropic (2025). How we built our multi-agent research system. anthropic.com/engineering/multi-agent-research-system.</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</si>
</sst>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name val="Arial"/>
      <family val="0"/>
      <charset val="1"/>
    </font>
    <font>
      <b val="true"/>
      <sz val="10"/>
      <color rgb="FFFFFFFF"/>
      <name val="Arial"/>
      <family val="0"/>
      <charset val="1"/>
    </font>
    <font>
      <sz val="10"/>
      <name val="Arial"/>
      <family val="0"/>
      <charset val="1"/>
    </font>
    <font>
      <b val="true"/>
      <sz val="18"/>
      <color rgb="FF000000"/>
      <name val="Calibri"/>
      <family val="2"/>
    </font>
    <font>
      <sz val="10"/>
      <color rgb="FF000000"/>
      <name val="Calibri"/>
      <family val="2"/>
    </font>
  </fonts>
  <fills count="11">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5" fontId="6"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true" indent="0" shrinkToFit="false"/>
      <protection locked="true" hidden="false"/>
    </xf>
    <xf numFmtId="164" fontId="8" fillId="9" borderId="1" xfId="0" applyFont="true" applyBorder="true" applyAlignment="true" applyProtection="false">
      <alignment horizontal="center" vertical="top" textRotation="0" wrapText="true" indent="0" shrinkToFit="false"/>
      <protection locked="true" hidden="false"/>
    </xf>
    <xf numFmtId="164" fontId="8" fillId="1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Đề xuất theo mảng và ưu tiên</a:t>
            </a:r>
          </a:p>
        </c:rich>
      </c:tx>
      <c:overlay val="0"/>
      <c:spPr>
        <a:noFill/>
        <a:ln w="0">
          <a:noFill/>
        </a:ln>
      </c:spPr>
    </c:title>
    <c:autoTitleDeleted val="0"/>
    <c:plotArea>
      <c:barChart>
        <c:barDir val="bar"/>
        <c:grouping val="stacked"/>
        <c:varyColors val="0"/>
        <c:ser>
          <c:idx val="0"/>
          <c:order val="0"/>
          <c:tx>
            <c:strRef>
              <c:f>'Tổng quan'!B5</c:f>
              <c:strCache>
                <c:ptCount val="1"/>
                <c:pt idx="0">
                  <c:v>P0</c:v>
                </c:pt>
              </c:strCache>
            </c:strRef>
          </c:tx>
          <c:spPr>
            <a:solidFill>
              <a:srgbClr val="c0504d"/>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'Tổng quan'!$A$6:$A$10</c:f>
              <c:strCache>
                <c:ptCount val="5"/>
                <c:pt idx="0">
                  <c:v>1. Lõi tác tử</c:v>
                </c:pt>
                <c:pt idx="1">
                  <c:v>2. Phân tích &amp; thiết kế phần mềm</c:v>
                </c:pt>
                <c:pt idx="2">
                  <c:v>3. Mạch, ERC, HDL/FPGA</c:v>
                </c:pt>
                <c:pt idx="3">
                  <c:v>4. Kiểm thử &amp; kiểm chứng</c:v>
                </c:pt>
                <c:pt idx="4">
                  <c:v>5. Tri thức, RAG &amp; bộ nhớ</c:v>
                </c:pt>
              </c:strCache>
            </c:strRef>
          </c:cat>
          <c:val>
            <c:numRef>
              <c:f>'Tổng quan'!$B$6:$B$10</c:f>
              <c:numCache>
                <c:formatCode>General</c:formatCode>
                <c:ptCount val="5"/>
                <c:pt idx="0">
                  <c:v>3</c:v>
                </c:pt>
                <c:pt idx="1">
                  <c:v>5</c:v>
                </c:pt>
                <c:pt idx="2">
                  <c:v>8</c:v>
                </c:pt>
                <c:pt idx="3">
                  <c:v>7</c:v>
                </c:pt>
                <c:pt idx="4">
                  <c:v>7</c:v>
                </c:pt>
              </c:numCache>
            </c:numRef>
          </c:val>
        </c:ser>
        <c:ser>
          <c:idx val="1"/>
          <c:order val="1"/>
          <c:tx>
            <c:strRef>
              <c:f>'Tổng quan'!C5</c:f>
              <c:strCache>
                <c:ptCount val="1"/>
                <c:pt idx="0">
                  <c:v>P1</c:v>
                </c:pt>
              </c:strCache>
            </c:strRef>
          </c:tx>
          <c:spPr>
            <a:solidFill>
              <a:srgbClr val="f79646"/>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'Tổng quan'!$A$6:$A$10</c:f>
              <c:strCache>
                <c:ptCount val="5"/>
                <c:pt idx="0">
                  <c:v>1. Lõi tác tử</c:v>
                </c:pt>
                <c:pt idx="1">
                  <c:v>2. Phân tích &amp; thiết kế phần mềm</c:v>
                </c:pt>
                <c:pt idx="2">
                  <c:v>3. Mạch, ERC, HDL/FPGA</c:v>
                </c:pt>
                <c:pt idx="3">
                  <c:v>4. Kiểm thử &amp; kiểm chứng</c:v>
                </c:pt>
                <c:pt idx="4">
                  <c:v>5. Tri thức, RAG &amp; bộ nhớ</c:v>
                </c:pt>
              </c:strCache>
            </c:strRef>
          </c:cat>
          <c:val>
            <c:numRef>
              <c:f>'Tổng quan'!$C$6:$C$10</c:f>
              <c:numCache>
                <c:formatCode>General</c:formatCode>
                <c:ptCount val="5"/>
                <c:pt idx="0">
                  <c:v>14</c:v>
                </c:pt>
                <c:pt idx="1">
                  <c:v>9</c:v>
                </c:pt>
                <c:pt idx="2">
                  <c:v>8</c:v>
                </c:pt>
                <c:pt idx="3">
                  <c:v>12</c:v>
                </c:pt>
                <c:pt idx="4">
                  <c:v>11</c:v>
                </c:pt>
              </c:numCache>
            </c:numRef>
          </c:val>
        </c:ser>
        <c:ser>
          <c:idx val="2"/>
          <c:order val="2"/>
          <c:tx>
            <c:strRef>
              <c:f>'Tổng quan'!D5</c:f>
              <c:strCache>
                <c:ptCount val="1"/>
                <c:pt idx="0">
                  <c:v>P2</c:v>
                </c:pt>
              </c:strCache>
            </c:strRef>
          </c:tx>
          <c:spPr>
            <a:solidFill>
              <a:srgbClr val="ffc000"/>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'Tổng quan'!$A$6:$A$10</c:f>
              <c:strCache>
                <c:ptCount val="5"/>
                <c:pt idx="0">
                  <c:v>1. Lõi tác tử</c:v>
                </c:pt>
                <c:pt idx="1">
                  <c:v>2. Phân tích &amp; thiết kế phần mềm</c:v>
                </c:pt>
                <c:pt idx="2">
                  <c:v>3. Mạch, ERC, HDL/FPGA</c:v>
                </c:pt>
                <c:pt idx="3">
                  <c:v>4. Kiểm thử &amp; kiểm chứng</c:v>
                </c:pt>
                <c:pt idx="4">
                  <c:v>5. Tri thức, RAG &amp; bộ nhớ</c:v>
                </c:pt>
              </c:strCache>
            </c:strRef>
          </c:cat>
          <c:val>
            <c:numRef>
              <c:f>'Tổng quan'!$D$6:$D$10</c:f>
              <c:numCache>
                <c:formatCode>General</c:formatCode>
                <c:ptCount val="5"/>
                <c:pt idx="0">
                  <c:v>5</c:v>
                </c:pt>
                <c:pt idx="1">
                  <c:v>4</c:v>
                </c:pt>
                <c:pt idx="2">
                  <c:v>5</c:v>
                </c:pt>
                <c:pt idx="3">
                  <c:v>3</c:v>
                </c:pt>
                <c:pt idx="4">
                  <c:v>3</c:v>
                </c:pt>
              </c:numCache>
            </c:numRef>
          </c:val>
        </c:ser>
        <c:ser>
          <c:idx val="3"/>
          <c:order val="3"/>
          <c:tx>
            <c:strRef>
              <c:f>'Tổng quan'!E5</c:f>
              <c:strCache>
                <c:ptCount val="1"/>
                <c:pt idx="0">
                  <c:v>P3</c:v>
                </c:pt>
              </c:strCache>
            </c:strRef>
          </c:tx>
          <c:spPr>
            <a:solidFill>
              <a:srgbClr val="a5a5a5"/>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'Tổng quan'!$A$6:$A$10</c:f>
              <c:strCache>
                <c:ptCount val="5"/>
                <c:pt idx="0">
                  <c:v>1. Lõi tác tử</c:v>
                </c:pt>
                <c:pt idx="1">
                  <c:v>2. Phân tích &amp; thiết kế phần mềm</c:v>
                </c:pt>
                <c:pt idx="2">
                  <c:v>3. Mạch, ERC, HDL/FPGA</c:v>
                </c:pt>
                <c:pt idx="3">
                  <c:v>4. Kiểm thử &amp; kiểm chứng</c:v>
                </c:pt>
                <c:pt idx="4">
                  <c:v>5. Tri thức, RAG &amp; bộ nhớ</c:v>
                </c:pt>
              </c:strCache>
            </c:strRef>
          </c:cat>
          <c:val>
            <c:numRef>
              <c:f>'Tổng quan'!$E$6:$E$10</c:f>
              <c:numCache>
                <c:formatCode>General</c:formatCode>
                <c:ptCount val="5"/>
                <c:pt idx="0">
                  <c:v>0</c:v>
                </c:pt>
                <c:pt idx="1">
                  <c:v>1</c:v>
                </c:pt>
                <c:pt idx="2">
                  <c:v>1</c:v>
                </c:pt>
                <c:pt idx="3">
                  <c:v>0</c:v>
                </c:pt>
                <c:pt idx="4">
                  <c:v>0</c:v>
                </c:pt>
              </c:numCache>
            </c:numRef>
          </c:val>
        </c:ser>
        <c:gapWidth val="150"/>
        <c:overlap val="100"/>
        <c:axId val="36019414"/>
        <c:axId val="80819319"/>
      </c:barChart>
      <c:catAx>
        <c:axId val="3601941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819319"/>
        <c:crosses val="autoZero"/>
        <c:auto val="1"/>
        <c:lblAlgn val="ctr"/>
        <c:lblOffset val="100"/>
        <c:noMultiLvlLbl val="0"/>
      </c:catAx>
      <c:valAx>
        <c:axId val="80819319"/>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01941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131040</xdr:rowOff>
    </xdr:from>
    <xdr:to>
      <xdr:col>15</xdr:col>
      <xdr:colOff>507240</xdr:colOff>
      <xdr:row>16</xdr:row>
      <xdr:rowOff>163440</xdr:rowOff>
    </xdr:to>
    <xdr:graphicFrame>
      <xdr:nvGraphicFramePr>
        <xdr:cNvPr id="0" name="Chart 1"/>
        <xdr:cNvGraphicFramePr/>
      </xdr:nvGraphicFramePr>
      <xdr:xfrm>
        <a:off x="9163080" y="569160"/>
        <a:ext cx="5399280" cy="269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7" min="2" style="1" width="12"/>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15" hidden="false" customHeight="true" outlineLevel="0" collapsed="false">
      <c r="A5" s="5" t="s">
        <v>3</v>
      </c>
      <c r="B5" s="5" t="s">
        <v>4</v>
      </c>
      <c r="C5" s="5" t="s">
        <v>5</v>
      </c>
      <c r="D5" s="5" t="s">
        <v>6</v>
      </c>
      <c r="E5" s="5" t="s">
        <v>7</v>
      </c>
      <c r="F5" s="5" t="s">
        <v>8</v>
      </c>
    </row>
    <row r="6" customFormat="false" ht="15" hidden="false" customHeight="true" outlineLevel="0" collapsed="false">
      <c r="A6" s="6" t="s">
        <v>9</v>
      </c>
      <c r="B6" s="7" t="n">
        <f aca="false">COUNTIFS('Danh mục tối ưu'!$B$5:$B$110,$A6,'Danh mục tối ưu'!$K$5:$K$110,"P0")</f>
        <v>3</v>
      </c>
      <c r="C6" s="7" t="n">
        <f aca="false">COUNTIFS('Danh mục tối ưu'!$B$5:$B$110,$A6,'Danh mục tối ưu'!$K$5:$K$110,"P1")</f>
        <v>14</v>
      </c>
      <c r="D6" s="7" t="n">
        <f aca="false">COUNTIFS('Danh mục tối ưu'!$B$5:$B$110,$A6,'Danh mục tối ưu'!$K$5:$K$110,"P2")</f>
        <v>5</v>
      </c>
      <c r="E6" s="7" t="n">
        <f aca="false">COUNTIFS('Danh mục tối ưu'!$B$5:$B$110,$A6,'Danh mục tối ưu'!$K$5:$K$110,"P3")</f>
        <v>0</v>
      </c>
      <c r="F6" s="7" t="n">
        <f aca="false">SUM(B6:E6)</f>
        <v>22</v>
      </c>
    </row>
    <row r="7" customFormat="false" ht="15" hidden="false" customHeight="true" outlineLevel="0" collapsed="false">
      <c r="A7" s="6" t="s">
        <v>10</v>
      </c>
      <c r="B7" s="7" t="n">
        <f aca="false">COUNTIFS('Danh mục tối ưu'!$B$5:$B$110,$A7,'Danh mục tối ưu'!$K$5:$K$110,"P0")</f>
        <v>5</v>
      </c>
      <c r="C7" s="7" t="n">
        <f aca="false">COUNTIFS('Danh mục tối ưu'!$B$5:$B$110,$A7,'Danh mục tối ưu'!$K$5:$K$110,"P1")</f>
        <v>9</v>
      </c>
      <c r="D7" s="7" t="n">
        <f aca="false">COUNTIFS('Danh mục tối ưu'!$B$5:$B$110,$A7,'Danh mục tối ưu'!$K$5:$K$110,"P2")</f>
        <v>4</v>
      </c>
      <c r="E7" s="7" t="n">
        <f aca="false">COUNTIFS('Danh mục tối ưu'!$B$5:$B$110,$A7,'Danh mục tối ưu'!$K$5:$K$110,"P3")</f>
        <v>1</v>
      </c>
      <c r="F7" s="7" t="n">
        <f aca="false">SUM(B7:E7)</f>
        <v>19</v>
      </c>
    </row>
    <row r="8" customFormat="false" ht="15" hidden="false" customHeight="true" outlineLevel="0" collapsed="false">
      <c r="A8" s="6" t="s">
        <v>11</v>
      </c>
      <c r="B8" s="7" t="n">
        <f aca="false">COUNTIFS('Danh mục tối ưu'!$B$5:$B$110,$A8,'Danh mục tối ưu'!$K$5:$K$110,"P0")</f>
        <v>8</v>
      </c>
      <c r="C8" s="7" t="n">
        <f aca="false">COUNTIFS('Danh mục tối ưu'!$B$5:$B$110,$A8,'Danh mục tối ưu'!$K$5:$K$110,"P1")</f>
        <v>8</v>
      </c>
      <c r="D8" s="7" t="n">
        <f aca="false">COUNTIFS('Danh mục tối ưu'!$B$5:$B$110,$A8,'Danh mục tối ưu'!$K$5:$K$110,"P2")</f>
        <v>5</v>
      </c>
      <c r="E8" s="7" t="n">
        <f aca="false">COUNTIFS('Danh mục tối ưu'!$B$5:$B$110,$A8,'Danh mục tối ưu'!$K$5:$K$110,"P3")</f>
        <v>1</v>
      </c>
      <c r="F8" s="7" t="n">
        <f aca="false">SUM(B8:E8)</f>
        <v>22</v>
      </c>
    </row>
    <row r="9" customFormat="false" ht="15" hidden="false" customHeight="true" outlineLevel="0" collapsed="false">
      <c r="A9" s="6" t="s">
        <v>12</v>
      </c>
      <c r="B9" s="7" t="n">
        <f aca="false">COUNTIFS('Danh mục tối ưu'!$B$5:$B$110,$A9,'Danh mục tối ưu'!$K$5:$K$110,"P0")</f>
        <v>7</v>
      </c>
      <c r="C9" s="7" t="n">
        <f aca="false">COUNTIFS('Danh mục tối ưu'!$B$5:$B$110,$A9,'Danh mục tối ưu'!$K$5:$K$110,"P1")</f>
        <v>12</v>
      </c>
      <c r="D9" s="7" t="n">
        <f aca="false">COUNTIFS('Danh mục tối ưu'!$B$5:$B$110,$A9,'Danh mục tối ưu'!$K$5:$K$110,"P2")</f>
        <v>3</v>
      </c>
      <c r="E9" s="7" t="n">
        <f aca="false">COUNTIFS('Danh mục tối ưu'!$B$5:$B$110,$A9,'Danh mục tối ưu'!$K$5:$K$110,"P3")</f>
        <v>0</v>
      </c>
      <c r="F9" s="7" t="n">
        <f aca="false">SUM(B9:E9)</f>
        <v>22</v>
      </c>
    </row>
    <row r="10" customFormat="false" ht="15" hidden="false" customHeight="true" outlineLevel="0" collapsed="false">
      <c r="A10" s="6" t="s">
        <v>13</v>
      </c>
      <c r="B10" s="7" t="n">
        <f aca="false">COUNTIFS('Danh mục tối ưu'!$B$5:$B$110,$A10,'Danh mục tối ưu'!$K$5:$K$110,"P0")</f>
        <v>7</v>
      </c>
      <c r="C10" s="7" t="n">
        <f aca="false">COUNTIFS('Danh mục tối ưu'!$B$5:$B$110,$A10,'Danh mục tối ưu'!$K$5:$K$110,"P1")</f>
        <v>11</v>
      </c>
      <c r="D10" s="7" t="n">
        <f aca="false">COUNTIFS('Danh mục tối ưu'!$B$5:$B$110,$A10,'Danh mục tối ưu'!$K$5:$K$110,"P2")</f>
        <v>3</v>
      </c>
      <c r="E10" s="7" t="n">
        <f aca="false">COUNTIFS('Danh mục tối ưu'!$B$5:$B$110,$A10,'Danh mục tối ưu'!$K$5:$K$110,"P3")</f>
        <v>0</v>
      </c>
      <c r="F10" s="7" t="n">
        <f aca="false">SUM(B10:E10)</f>
        <v>21</v>
      </c>
    </row>
    <row r="11" customFormat="false" ht="15" hidden="false" customHeight="true" outlineLevel="0" collapsed="false">
      <c r="A11" s="8" t="s">
        <v>8</v>
      </c>
      <c r="B11" s="9" t="n">
        <f aca="false">SUM(B6:B10)</f>
        <v>30</v>
      </c>
      <c r="C11" s="9" t="n">
        <f aca="false">SUM(C6:C10)</f>
        <v>54</v>
      </c>
      <c r="D11" s="9" t="n">
        <f aca="false">SUM(D6:D10)</f>
        <v>20</v>
      </c>
      <c r="E11" s="9" t="n">
        <f aca="false">SUM(E6:E10)</f>
        <v>2</v>
      </c>
      <c r="F11" s="9" t="n">
        <f aca="false">SUM(F6:F10)</f>
        <v>106</v>
      </c>
    </row>
    <row r="13" customFormat="false" ht="15" hidden="false" customHeight="true" outlineLevel="0" collapsed="false">
      <c r="A13" s="4" t="s">
        <v>14</v>
      </c>
    </row>
    <row r="14" customFormat="false" ht="15" hidden="false" customHeight="true" outlineLevel="0" collapsed="false">
      <c r="A14" s="5" t="s">
        <v>15</v>
      </c>
      <c r="B14" s="5" t="s">
        <v>16</v>
      </c>
      <c r="C14" s="5" t="s">
        <v>17</v>
      </c>
      <c r="D14" s="5" t="s">
        <v>18</v>
      </c>
    </row>
    <row r="15" customFormat="false" ht="15" hidden="false" customHeight="true" outlineLevel="0" collapsed="false">
      <c r="A15" s="10" t="s">
        <v>19</v>
      </c>
      <c r="B15" s="7" t="n">
        <f aca="false">COUNTIF('Danh mục tối ưu'!$M$5:$M$110,"GĐ1")</f>
        <v>28</v>
      </c>
      <c r="C15" s="7" t="n">
        <f aca="false">COUNTIFS('Danh mục tối ưu'!$M$5:$M$110,"GĐ1",'Danh mục tối ưu'!$Q$5:$Q$110,"Xong")</f>
        <v>0</v>
      </c>
      <c r="D15" s="11" t="n">
        <f aca="false">IF(B15=0,0,C15/B15)</f>
        <v>0</v>
      </c>
    </row>
    <row r="16" customFormat="false" ht="15" hidden="false" customHeight="true" outlineLevel="0" collapsed="false">
      <c r="A16" s="10" t="s">
        <v>20</v>
      </c>
      <c r="B16" s="7" t="n">
        <f aca="false">COUNTIF('Danh mục tối ưu'!$M$5:$M$110,"GĐ2")</f>
        <v>21</v>
      </c>
      <c r="C16" s="7" t="n">
        <f aca="false">COUNTIFS('Danh mục tối ưu'!$M$5:$M$110,"GĐ2",'Danh mục tối ưu'!$Q$5:$Q$110,"Xong")</f>
        <v>0</v>
      </c>
      <c r="D16" s="11" t="n">
        <f aca="false">IF(B16=0,0,C16/B16)</f>
        <v>0</v>
      </c>
    </row>
    <row r="17" customFormat="false" ht="15" hidden="false" customHeight="true" outlineLevel="0" collapsed="false">
      <c r="A17" s="10" t="s">
        <v>21</v>
      </c>
      <c r="B17" s="7" t="n">
        <f aca="false">COUNTIF('Danh mục tối ưu'!$M$5:$M$110,"GĐ3")</f>
        <v>35</v>
      </c>
      <c r="C17" s="7" t="n">
        <f aca="false">COUNTIFS('Danh mục tối ưu'!$M$5:$M$110,"GĐ3",'Danh mục tối ưu'!$Q$5:$Q$110,"Xong")</f>
        <v>0</v>
      </c>
      <c r="D17" s="11" t="n">
        <f aca="false">IF(B17=0,0,C17/B17)</f>
        <v>0</v>
      </c>
    </row>
    <row r="18" customFormat="false" ht="15" hidden="false" customHeight="true" outlineLevel="0" collapsed="false">
      <c r="A18" s="10" t="s">
        <v>22</v>
      </c>
      <c r="B18" s="7" t="n">
        <f aca="false">COUNTIF('Danh mục tối ưu'!$M$5:$M$110,"GĐ4")</f>
        <v>22</v>
      </c>
      <c r="C18" s="7" t="n">
        <f aca="false">COUNTIFS('Danh mục tối ưu'!$M$5:$M$110,"GĐ4",'Danh mục tối ưu'!$Q$5:$Q$110,"Xong")</f>
        <v>0</v>
      </c>
      <c r="D18" s="11" t="n">
        <f aca="false">IF(B18=0,0,C18/B18)</f>
        <v>0</v>
      </c>
    </row>
    <row r="20" customFormat="false" ht="15" hidden="false" customHeight="true" outlineLevel="0" collapsed="false">
      <c r="A20" s="4" t="s">
        <v>23</v>
      </c>
    </row>
    <row r="21" customFormat="false" ht="15" hidden="false" customHeight="true" outlineLevel="0" collapsed="false">
      <c r="A21" s="5" t="s">
        <v>24</v>
      </c>
      <c r="B21" s="5" t="s">
        <v>16</v>
      </c>
      <c r="C21" s="5" t="s">
        <v>25</v>
      </c>
    </row>
    <row r="22" customFormat="false" ht="15" hidden="false" customHeight="true" outlineLevel="0" collapsed="false">
      <c r="A22" s="10" t="s">
        <v>26</v>
      </c>
      <c r="B22" s="7" t="n">
        <f aca="false">COUNTIF('Danh mục tối ưu'!$D$5:$D$110,$A22)</f>
        <v>6</v>
      </c>
      <c r="C22" s="7" t="n">
        <f aca="false">COUNTIFS('Danh mục tối ưu'!$D$5:$D$110,$A22,'Danh mục tối ưu'!$K$5:$K$110,"P0")</f>
        <v>1</v>
      </c>
    </row>
    <row r="23" customFormat="false" ht="15" hidden="false" customHeight="true" outlineLevel="0" collapsed="false">
      <c r="A23" s="10" t="s">
        <v>27</v>
      </c>
      <c r="B23" s="7" t="n">
        <f aca="false">COUNTIF('Danh mục tối ưu'!$D$5:$D$110,$A23)</f>
        <v>8</v>
      </c>
      <c r="C23" s="7" t="n">
        <f aca="false">COUNTIFS('Danh mục tối ưu'!$D$5:$D$110,$A23,'Danh mục tối ưu'!$K$5:$K$110,"P0")</f>
        <v>2</v>
      </c>
    </row>
    <row r="24" customFormat="false" ht="15" hidden="false" customHeight="true" outlineLevel="0" collapsed="false">
      <c r="A24" s="10" t="s">
        <v>28</v>
      </c>
      <c r="B24" s="7" t="n">
        <f aca="false">COUNTIF('Danh mục tối ưu'!$D$5:$D$110,$A24)</f>
        <v>5</v>
      </c>
      <c r="C24" s="7" t="n">
        <f aca="false">COUNTIFS('Danh mục tối ưu'!$D$5:$D$110,$A24,'Danh mục tối ưu'!$K$5:$K$110,"P0")</f>
        <v>1</v>
      </c>
    </row>
    <row r="25" customFormat="false" ht="15" hidden="false" customHeight="true" outlineLevel="0" collapsed="false">
      <c r="A25" s="10" t="s">
        <v>29</v>
      </c>
      <c r="B25" s="7" t="n">
        <f aca="false">COUNTIF('Danh mục tối ưu'!$D$5:$D$110,$A25)</f>
        <v>6</v>
      </c>
      <c r="C25" s="7" t="n">
        <f aca="false">COUNTIFS('Danh mục tối ưu'!$D$5:$D$110,$A25,'Danh mục tối ưu'!$K$5:$K$110,"P0")</f>
        <v>2</v>
      </c>
    </row>
    <row r="26" customFormat="false" ht="15" hidden="false" customHeight="true" outlineLevel="0" collapsed="false">
      <c r="A26" s="10" t="s">
        <v>30</v>
      </c>
      <c r="B26" s="7" t="n">
        <f aca="false">COUNTIF('Danh mục tối ưu'!$D$5:$D$110,$A26)</f>
        <v>5</v>
      </c>
      <c r="C26" s="7" t="n">
        <f aca="false">COUNTIFS('Danh mục tối ưu'!$D$5:$D$110,$A26,'Danh mục tối ưu'!$K$5:$K$110,"P0")</f>
        <v>1</v>
      </c>
    </row>
    <row r="27" customFormat="false" ht="15" hidden="false" customHeight="true" outlineLevel="0" collapsed="false">
      <c r="A27" s="10" t="s">
        <v>31</v>
      </c>
      <c r="B27" s="7" t="n">
        <f aca="false">COUNTIF('Danh mục tối ưu'!$D$5:$D$110,$A27)</f>
        <v>4</v>
      </c>
      <c r="C27" s="7" t="n">
        <f aca="false">COUNTIFS('Danh mục tối ưu'!$D$5:$D$110,$A27,'Danh mục tối ưu'!$K$5:$K$110,"P0")</f>
        <v>0</v>
      </c>
    </row>
    <row r="28" customFormat="false" ht="15" hidden="false" customHeight="true" outlineLevel="0" collapsed="false">
      <c r="A28" s="10" t="s">
        <v>32</v>
      </c>
      <c r="B28" s="7" t="n">
        <f aca="false">COUNTIF('Danh mục tối ưu'!$D$5:$D$110,$A28)</f>
        <v>4</v>
      </c>
      <c r="C28" s="7" t="n">
        <f aca="false">COUNTIFS('Danh mục tối ưu'!$D$5:$D$110,$A28,'Danh mục tối ưu'!$K$5:$K$110,"P0")</f>
        <v>0</v>
      </c>
    </row>
    <row r="29" customFormat="false" ht="15" hidden="false" customHeight="true" outlineLevel="0" collapsed="false">
      <c r="A29" s="10" t="s">
        <v>33</v>
      </c>
      <c r="B29" s="7" t="n">
        <f aca="false">COUNTIF('Danh mục tối ưu'!$D$5:$D$110,$A29)</f>
        <v>7</v>
      </c>
      <c r="C29" s="7" t="n">
        <f aca="false">COUNTIFS('Danh mục tối ưu'!$D$5:$D$110,$A29,'Danh mục tối ưu'!$K$5:$K$110,"P0")</f>
        <v>3</v>
      </c>
    </row>
    <row r="30" customFormat="false" ht="15" hidden="false" customHeight="true" outlineLevel="0" collapsed="false">
      <c r="A30" s="10" t="s">
        <v>34</v>
      </c>
      <c r="B30" s="7" t="n">
        <f aca="false">COUNTIF('Danh mục tối ưu'!$D$5:$D$110,$A30)</f>
        <v>8</v>
      </c>
      <c r="C30" s="7" t="n">
        <f aca="false">COUNTIFS('Danh mục tối ưu'!$D$5:$D$110,$A30,'Danh mục tối ưu'!$K$5:$K$110,"P0")</f>
        <v>2</v>
      </c>
    </row>
    <row r="31" customFormat="false" ht="15" hidden="false" customHeight="true" outlineLevel="0" collapsed="false">
      <c r="A31" s="10" t="s">
        <v>35</v>
      </c>
      <c r="B31" s="7" t="n">
        <f aca="false">COUNTIF('Danh mục tối ưu'!$D$5:$D$110,$A31)</f>
        <v>10</v>
      </c>
      <c r="C31" s="7" t="n">
        <f aca="false">COUNTIFS('Danh mục tối ưu'!$D$5:$D$110,$A31,'Danh mục tối ưu'!$K$5:$K$110,"P0")</f>
        <v>5</v>
      </c>
    </row>
    <row r="32" customFormat="false" ht="15" hidden="false" customHeight="true" outlineLevel="0" collapsed="false">
      <c r="A32" s="10" t="s">
        <v>36</v>
      </c>
      <c r="B32" s="7" t="n">
        <f aca="false">COUNTIF('Danh mục tối ưu'!$D$5:$D$110,$A32)</f>
        <v>9</v>
      </c>
      <c r="C32" s="7" t="n">
        <f aca="false">COUNTIFS('Danh mục tối ưu'!$D$5:$D$110,$A32,'Danh mục tối ưu'!$K$5:$K$110,"P0")</f>
        <v>3</v>
      </c>
    </row>
    <row r="33" customFormat="false" ht="15" hidden="false" customHeight="true" outlineLevel="0" collapsed="false">
      <c r="A33" s="10" t="s">
        <v>37</v>
      </c>
      <c r="B33" s="7" t="n">
        <f aca="false">COUNTIF('Danh mục tối ưu'!$D$5:$D$110,$A33)</f>
        <v>11</v>
      </c>
      <c r="C33" s="7" t="n">
        <f aca="false">COUNTIFS('Danh mục tối ưu'!$D$5:$D$110,$A33,'Danh mục tối ưu'!$K$5:$K$110,"P0")</f>
        <v>4</v>
      </c>
    </row>
    <row r="34" customFormat="false" ht="15" hidden="false" customHeight="true" outlineLevel="0" collapsed="false">
      <c r="A34" s="10" t="s">
        <v>38</v>
      </c>
      <c r="B34" s="7" t="n">
        <f aca="false">COUNTIF('Danh mục tối ưu'!$D$5:$D$110,$A34)</f>
        <v>12</v>
      </c>
      <c r="C34" s="7" t="n">
        <f aca="false">COUNTIFS('Danh mục tối ưu'!$D$5:$D$110,$A34,'Danh mục tối ưu'!$K$5:$K$110,"P0")</f>
        <v>5</v>
      </c>
    </row>
    <row r="35" customFormat="false" ht="15" hidden="false" customHeight="true" outlineLevel="0" collapsed="false">
      <c r="A35" s="10" t="s">
        <v>39</v>
      </c>
      <c r="B35" s="7" t="n">
        <f aca="false">COUNTIF('Danh mục tối ưu'!$D$5:$D$110,$A35)</f>
        <v>5</v>
      </c>
      <c r="C35" s="7" t="n">
        <f aca="false">COUNTIFS('Danh mục tối ưu'!$D$5:$D$110,$A35,'Danh mục tối ưu'!$K$5:$K$110,"P0")</f>
        <v>1</v>
      </c>
    </row>
    <row r="36" customFormat="false" ht="15" hidden="false" customHeight="true" outlineLevel="0" collapsed="false">
      <c r="A36" s="10" t="s">
        <v>40</v>
      </c>
      <c r="B36" s="7" t="n">
        <f aca="false">COUNTIF('Danh mục tối ưu'!$D$5:$D$110,$A36)</f>
        <v>6</v>
      </c>
      <c r="C36" s="7" t="n">
        <f aca="false">COUNTIFS('Danh mục tối ưu'!$D$5:$D$110,$A36,'Danh mục tối ưu'!$K$5:$K$110,"P0")</f>
        <v>0</v>
      </c>
    </row>
    <row r="38" customFormat="false" ht="15" hidden="false" customHeight="true" outlineLevel="0" collapsed="false">
      <c r="A38" s="4" t="s">
        <v>41</v>
      </c>
    </row>
    <row r="39" customFormat="false" ht="51.75" hidden="false" customHeight="true" outlineLevel="0" collapsed="false">
      <c r="A39" s="12" t="s">
        <v>42</v>
      </c>
      <c r="B39" s="12"/>
      <c r="C39" s="12"/>
      <c r="D39" s="12"/>
      <c r="E39" s="12"/>
      <c r="F39" s="12"/>
      <c r="G39" s="12"/>
    </row>
    <row r="40" customFormat="false" ht="51.75" hidden="false" customHeight="true" outlineLevel="0" collapsed="false">
      <c r="A40" s="12" t="s">
        <v>43</v>
      </c>
      <c r="B40" s="12"/>
      <c r="C40" s="12"/>
      <c r="D40" s="12"/>
      <c r="E40" s="12"/>
      <c r="F40" s="12"/>
      <c r="G40" s="12"/>
    </row>
    <row r="41" customFormat="false" ht="51.75" hidden="false" customHeight="true" outlineLevel="0" collapsed="false">
      <c r="A41" s="12" t="s">
        <v>44</v>
      </c>
      <c r="B41" s="12"/>
      <c r="C41" s="12"/>
      <c r="D41" s="12"/>
      <c r="E41" s="12"/>
      <c r="F41" s="12"/>
      <c r="G41" s="12"/>
    </row>
    <row r="42" customFormat="false" ht="51.75" hidden="false" customHeight="true" outlineLevel="0" collapsed="false">
      <c r="A42" s="12" t="s">
        <v>45</v>
      </c>
      <c r="B42" s="12"/>
      <c r="C42" s="12"/>
      <c r="D42" s="12"/>
      <c r="E42" s="12"/>
      <c r="F42" s="12"/>
      <c r="G42" s="12"/>
    </row>
    <row r="43" customFormat="false" ht="51.75" hidden="false" customHeight="true" outlineLevel="0" collapsed="false">
      <c r="A43" s="12" t="s">
        <v>46</v>
      </c>
      <c r="B43" s="12"/>
      <c r="C43" s="12"/>
      <c r="D43" s="12"/>
      <c r="E43" s="12"/>
      <c r="F43" s="12"/>
      <c r="G43" s="12"/>
    </row>
    <row r="44" customFormat="false" ht="51.75" hidden="false" customHeight="true" outlineLevel="0" collapsed="false">
      <c r="A44" s="12" t="s">
        <v>47</v>
      </c>
      <c r="B44" s="12"/>
      <c r="C44" s="12"/>
      <c r="D44" s="12"/>
      <c r="E44" s="12"/>
      <c r="F44" s="12"/>
      <c r="G44" s="12"/>
    </row>
    <row r="45" customFormat="false" ht="51.75" hidden="false" customHeight="true" outlineLevel="0" collapsed="false">
      <c r="A45" s="12" t="s">
        <v>48</v>
      </c>
      <c r="B45" s="12"/>
      <c r="C45" s="12"/>
      <c r="D45" s="12"/>
      <c r="E45" s="12"/>
      <c r="F45" s="12"/>
      <c r="G45" s="12"/>
    </row>
    <row r="47" customFormat="false" ht="15" hidden="false" customHeight="true" outlineLevel="0" collapsed="false">
      <c r="A47" s="4" t="s">
        <v>49</v>
      </c>
    </row>
    <row r="48" customFormat="false" ht="15" hidden="false" customHeight="true" outlineLevel="0" collapsed="false">
      <c r="A48" s="13" t="s">
        <v>4</v>
      </c>
      <c r="B48" s="14" t="s">
        <v>50</v>
      </c>
      <c r="C48" s="14"/>
      <c r="D48" s="14"/>
      <c r="E48" s="14"/>
      <c r="F48" s="14"/>
      <c r="G48" s="14"/>
    </row>
    <row r="49" customFormat="false" ht="15" hidden="false" customHeight="true" outlineLevel="0" collapsed="false">
      <c r="A49" s="15" t="s">
        <v>5</v>
      </c>
      <c r="B49" s="14" t="s">
        <v>51</v>
      </c>
      <c r="C49" s="14"/>
      <c r="D49" s="14"/>
      <c r="E49" s="14"/>
      <c r="F49" s="14"/>
      <c r="G49" s="14"/>
    </row>
    <row r="50" customFormat="false" ht="15" hidden="false" customHeight="true" outlineLevel="0" collapsed="false">
      <c r="A50" s="16" t="s">
        <v>6</v>
      </c>
      <c r="B50" s="14" t="s">
        <v>52</v>
      </c>
      <c r="C50" s="14"/>
      <c r="D50" s="14"/>
      <c r="E50" s="14"/>
      <c r="F50" s="14"/>
      <c r="G50" s="14"/>
    </row>
    <row r="51" customFormat="false" ht="15" hidden="false" customHeight="true" outlineLevel="0" collapsed="false">
      <c r="A51" s="17" t="s">
        <v>7</v>
      </c>
      <c r="B51" s="14" t="s">
        <v>53</v>
      </c>
      <c r="C51" s="14"/>
      <c r="D51" s="14"/>
      <c r="E51" s="14"/>
      <c r="F51" s="14"/>
      <c r="G51" s="14"/>
    </row>
    <row r="52" customFormat="false" ht="15" hidden="false" customHeight="true" outlineLevel="0" collapsed="false">
      <c r="A52" s="18" t="s">
        <v>54</v>
      </c>
      <c r="B52" s="14" t="s">
        <v>55</v>
      </c>
      <c r="C52" s="14"/>
      <c r="D52" s="14"/>
      <c r="E52" s="14"/>
      <c r="F52" s="14"/>
      <c r="G52" s="14"/>
    </row>
    <row r="53" customFormat="false" ht="15" hidden="false" customHeight="true" outlineLevel="0" collapsed="false">
      <c r="A53" s="18" t="s">
        <v>56</v>
      </c>
      <c r="B53" s="14" t="s">
        <v>57</v>
      </c>
      <c r="C53" s="14"/>
      <c r="D53" s="14"/>
      <c r="E53" s="14"/>
      <c r="F53" s="14"/>
      <c r="G53" s="14"/>
    </row>
  </sheetData>
  <mergeCells count="13">
    <mergeCell ref="A39:G39"/>
    <mergeCell ref="A40:G40"/>
    <mergeCell ref="A41:G41"/>
    <mergeCell ref="A42:G42"/>
    <mergeCell ref="A43:G43"/>
    <mergeCell ref="A44:G44"/>
    <mergeCell ref="A45:G45"/>
    <mergeCell ref="B48:G48"/>
    <mergeCell ref="B49:G49"/>
    <mergeCell ref="B50:G50"/>
    <mergeCell ref="B51:G51"/>
    <mergeCell ref="B52:G52"/>
    <mergeCell ref="B53:G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28"/>
    <col collapsed="false" customWidth="true" hidden="false" outlineLevel="0" max="4" min="4" style="1" width="26"/>
    <col collapsed="false" customWidth="true" hidden="false" outlineLevel="0" max="5" min="5" style="1" width="30"/>
    <col collapsed="false" customWidth="true" hidden="false" outlineLevel="0" max="7" min="6" style="1" width="50"/>
    <col collapsed="false" customWidth="true" hidden="false" outlineLevel="0" max="8" min="8" style="1" width="26"/>
    <col collapsed="false" customWidth="true" hidden="false" outlineLevel="0" max="9" min="9" style="1" width="60"/>
    <col collapsed="false" customWidth="true" hidden="false" outlineLevel="0" max="10" min="10" style="1" width="34"/>
    <col collapsed="false" customWidth="true" hidden="false" outlineLevel="0" max="12" min="11" style="1" width="8"/>
    <col collapsed="false" customWidth="true" hidden="false" outlineLevel="0" max="13" min="13" style="1" width="11"/>
    <col collapsed="false" customWidth="true" hidden="false" outlineLevel="0" max="15" min="14" style="1" width="34"/>
    <col collapsed="false" customWidth="true" hidden="false" outlineLevel="0" max="16" min="16" style="1" width="16"/>
    <col collapsed="false" customWidth="true" hidden="false" outlineLevel="0" max="17" min="17" style="1" width="13"/>
    <col collapsed="false" customWidth="true" hidden="false" outlineLevel="0" max="18" min="18" style="1" width="14"/>
    <col collapsed="false" customWidth="true" hidden="false" outlineLevel="0" max="19" min="19" style="1" width="20"/>
  </cols>
  <sheetData>
    <row r="1" customFormat="false" ht="19.5" hidden="false" customHeight="true" outlineLevel="0" collapsed="false">
      <c r="A1" s="2" t="s">
        <v>58</v>
      </c>
    </row>
    <row r="2" customFormat="false" ht="15" hidden="false" customHeight="true" outlineLevel="0" collapsed="false">
      <c r="A2" s="3" t="s">
        <v>59</v>
      </c>
    </row>
    <row r="4" customFormat="false" ht="31.5" hidden="false" customHeight="true" outlineLevel="0" collapsed="false">
      <c r="A4" s="5" t="s">
        <v>60</v>
      </c>
      <c r="B4" s="5" t="s">
        <v>3</v>
      </c>
      <c r="C4" s="5" t="s">
        <v>61</v>
      </c>
      <c r="D4" s="5" t="s">
        <v>62</v>
      </c>
      <c r="E4" s="5" t="s">
        <v>63</v>
      </c>
      <c r="F4" s="5" t="s">
        <v>64</v>
      </c>
      <c r="G4" s="5" t="s">
        <v>65</v>
      </c>
      <c r="H4" s="5" t="s">
        <v>66</v>
      </c>
      <c r="I4" s="5" t="s">
        <v>67</v>
      </c>
      <c r="J4" s="5" t="s">
        <v>68</v>
      </c>
      <c r="K4" s="5" t="s">
        <v>69</v>
      </c>
      <c r="L4" s="5" t="s">
        <v>70</v>
      </c>
      <c r="M4" s="5" t="s">
        <v>15</v>
      </c>
      <c r="N4" s="5" t="s">
        <v>71</v>
      </c>
      <c r="O4" s="5" t="s">
        <v>72</v>
      </c>
      <c r="P4" s="5" t="s">
        <v>73</v>
      </c>
      <c r="Q4" s="5" t="s">
        <v>74</v>
      </c>
      <c r="R4" s="5" t="s">
        <v>75</v>
      </c>
      <c r="S4" s="5" t="s">
        <v>76</v>
      </c>
    </row>
    <row r="5" customFormat="false" ht="135.75" hidden="false" customHeight="true" outlineLevel="0" collapsed="false">
      <c r="A5" s="19" t="s">
        <v>77</v>
      </c>
      <c r="B5" s="20" t="s">
        <v>9</v>
      </c>
      <c r="C5" s="20" t="s">
        <v>78</v>
      </c>
      <c r="D5" s="20" t="s">
        <v>26</v>
      </c>
      <c r="E5" s="20" t="s">
        <v>79</v>
      </c>
      <c r="F5" s="20" t="s">
        <v>80</v>
      </c>
      <c r="G5" s="20" t="s">
        <v>81</v>
      </c>
      <c r="H5" s="20" t="s">
        <v>82</v>
      </c>
      <c r="I5" s="20" t="s">
        <v>83</v>
      </c>
      <c r="J5" s="20" t="s">
        <v>84</v>
      </c>
      <c r="K5" s="21" t="s">
        <v>4</v>
      </c>
      <c r="L5" s="21" t="s">
        <v>85</v>
      </c>
      <c r="M5" s="21" t="str">
        <f aca="false">IF(K5="P0",IF(OR(L5="L",L5="XL"),"GĐ2","GĐ1"),IF(K5="P1",IF(L5="S","GĐ2","GĐ3"),"GĐ4"))</f>
        <v>GĐ1</v>
      </c>
      <c r="N5" s="20" t="s">
        <v>86</v>
      </c>
      <c r="O5" s="20" t="s">
        <v>87</v>
      </c>
      <c r="P5" s="20"/>
      <c r="Q5" s="21" t="s">
        <v>88</v>
      </c>
      <c r="R5" s="20"/>
      <c r="S5" s="20"/>
    </row>
    <row r="6" customFormat="false" ht="147" hidden="false" customHeight="true" outlineLevel="0" collapsed="false">
      <c r="A6" s="19" t="s">
        <v>89</v>
      </c>
      <c r="B6" s="20" t="s">
        <v>9</v>
      </c>
      <c r="C6" s="20" t="s">
        <v>90</v>
      </c>
      <c r="D6" s="20" t="s">
        <v>27</v>
      </c>
      <c r="E6" s="20" t="s">
        <v>91</v>
      </c>
      <c r="F6" s="20" t="s">
        <v>92</v>
      </c>
      <c r="G6" s="20" t="s">
        <v>93</v>
      </c>
      <c r="H6" s="20" t="s">
        <v>94</v>
      </c>
      <c r="I6" s="20" t="s">
        <v>95</v>
      </c>
      <c r="J6" s="20" t="s">
        <v>96</v>
      </c>
      <c r="K6" s="21" t="s">
        <v>4</v>
      </c>
      <c r="L6" s="21" t="s">
        <v>85</v>
      </c>
      <c r="M6" s="21" t="str">
        <f aca="false">IF(K6="P0",IF(OR(L6="L",L6="XL"),"GĐ2","GĐ1"),IF(K6="P1",IF(L6="S","GĐ2","GĐ3"),"GĐ4"))</f>
        <v>GĐ1</v>
      </c>
      <c r="N6" s="20" t="s">
        <v>97</v>
      </c>
      <c r="O6" s="20" t="s">
        <v>98</v>
      </c>
      <c r="P6" s="20" t="s">
        <v>99</v>
      </c>
      <c r="Q6" s="21" t="s">
        <v>88</v>
      </c>
      <c r="R6" s="20"/>
      <c r="S6" s="20"/>
    </row>
    <row r="7" customFormat="false" ht="90.75" hidden="false" customHeight="true" outlineLevel="0" collapsed="false">
      <c r="A7" s="19" t="s">
        <v>100</v>
      </c>
      <c r="B7" s="20" t="s">
        <v>9</v>
      </c>
      <c r="C7" s="20" t="s">
        <v>101</v>
      </c>
      <c r="D7" s="20" t="s">
        <v>28</v>
      </c>
      <c r="E7" s="20" t="s">
        <v>102</v>
      </c>
      <c r="F7" s="20" t="s">
        <v>103</v>
      </c>
      <c r="G7" s="20" t="s">
        <v>104</v>
      </c>
      <c r="H7" s="20" t="s">
        <v>105</v>
      </c>
      <c r="I7" s="20" t="s">
        <v>106</v>
      </c>
      <c r="J7" s="20" t="s">
        <v>107</v>
      </c>
      <c r="K7" s="21" t="s">
        <v>4</v>
      </c>
      <c r="L7" s="21" t="s">
        <v>85</v>
      </c>
      <c r="M7" s="21" t="str">
        <f aca="false">IF(K7="P0",IF(OR(L7="L",L7="XL"),"GĐ2","GĐ1"),IF(K7="P1",IF(L7="S","GĐ2","GĐ3"),"GĐ4"))</f>
        <v>GĐ1</v>
      </c>
      <c r="N7" s="20" t="s">
        <v>108</v>
      </c>
      <c r="O7" s="20" t="s">
        <v>109</v>
      </c>
      <c r="P7" s="20" t="s">
        <v>110</v>
      </c>
      <c r="Q7" s="21" t="s">
        <v>88</v>
      </c>
      <c r="R7" s="20"/>
      <c r="S7" s="20"/>
    </row>
    <row r="8" customFormat="false" ht="102" hidden="false" customHeight="true" outlineLevel="0" collapsed="false">
      <c r="A8" s="19" t="s">
        <v>111</v>
      </c>
      <c r="B8" s="20" t="s">
        <v>9</v>
      </c>
      <c r="C8" s="20" t="s">
        <v>112</v>
      </c>
      <c r="D8" s="20" t="s">
        <v>28</v>
      </c>
      <c r="E8" s="20" t="s">
        <v>113</v>
      </c>
      <c r="F8" s="20" t="s">
        <v>114</v>
      </c>
      <c r="G8" s="20" t="s">
        <v>115</v>
      </c>
      <c r="H8" s="20" t="s">
        <v>116</v>
      </c>
      <c r="I8" s="20" t="s">
        <v>117</v>
      </c>
      <c r="J8" s="20" t="s">
        <v>118</v>
      </c>
      <c r="K8" s="21" t="s">
        <v>5</v>
      </c>
      <c r="L8" s="21" t="s">
        <v>85</v>
      </c>
      <c r="M8" s="21" t="str">
        <f aca="false">IF(K8="P0",IF(OR(L8="L",L8="XL"),"GĐ2","GĐ1"),IF(K8="P1",IF(L8="S","GĐ2","GĐ3"),"GĐ4"))</f>
        <v>GĐ3</v>
      </c>
      <c r="N8" s="20" t="s">
        <v>119</v>
      </c>
      <c r="O8" s="20" t="s">
        <v>120</v>
      </c>
      <c r="P8" s="20" t="s">
        <v>121</v>
      </c>
      <c r="Q8" s="21" t="s">
        <v>88</v>
      </c>
      <c r="R8" s="20"/>
      <c r="S8" s="20"/>
    </row>
    <row r="9" customFormat="false" ht="102" hidden="false" customHeight="true" outlineLevel="0" collapsed="false">
      <c r="A9" s="19" t="s">
        <v>121</v>
      </c>
      <c r="B9" s="20" t="s">
        <v>9</v>
      </c>
      <c r="C9" s="20" t="s">
        <v>122</v>
      </c>
      <c r="D9" s="20" t="s">
        <v>28</v>
      </c>
      <c r="E9" s="20" t="s">
        <v>123</v>
      </c>
      <c r="F9" s="20" t="s">
        <v>124</v>
      </c>
      <c r="G9" s="20" t="s">
        <v>125</v>
      </c>
      <c r="H9" s="20" t="s">
        <v>126</v>
      </c>
      <c r="I9" s="20" t="s">
        <v>127</v>
      </c>
      <c r="J9" s="20" t="s">
        <v>128</v>
      </c>
      <c r="K9" s="21" t="s">
        <v>5</v>
      </c>
      <c r="L9" s="21" t="s">
        <v>85</v>
      </c>
      <c r="M9" s="21" t="str">
        <f aca="false">IF(K9="P0",IF(OR(L9="L",L9="XL"),"GĐ2","GĐ1"),IF(K9="P1",IF(L9="S","GĐ2","GĐ3"),"GĐ4"))</f>
        <v>GĐ3</v>
      </c>
      <c r="N9" s="20" t="s">
        <v>129</v>
      </c>
      <c r="O9" s="20" t="s">
        <v>130</v>
      </c>
      <c r="P9" s="20" t="s">
        <v>111</v>
      </c>
      <c r="Q9" s="21" t="s">
        <v>88</v>
      </c>
      <c r="R9" s="20"/>
      <c r="S9" s="20" t="s">
        <v>131</v>
      </c>
    </row>
    <row r="10" customFormat="false" ht="113.25" hidden="false" customHeight="true" outlineLevel="0" collapsed="false">
      <c r="A10" s="19" t="s">
        <v>132</v>
      </c>
      <c r="B10" s="20" t="s">
        <v>9</v>
      </c>
      <c r="C10" s="20" t="s">
        <v>133</v>
      </c>
      <c r="D10" s="20" t="s">
        <v>29</v>
      </c>
      <c r="E10" s="20" t="s">
        <v>134</v>
      </c>
      <c r="F10" s="20" t="s">
        <v>135</v>
      </c>
      <c r="G10" s="20" t="s">
        <v>136</v>
      </c>
      <c r="H10" s="20" t="s">
        <v>137</v>
      </c>
      <c r="I10" s="20" t="s">
        <v>138</v>
      </c>
      <c r="J10" s="20" t="s">
        <v>139</v>
      </c>
      <c r="K10" s="21" t="s">
        <v>5</v>
      </c>
      <c r="L10" s="21" t="s">
        <v>140</v>
      </c>
      <c r="M10" s="21" t="str">
        <f aca="false">IF(K10="P0",IF(OR(L10="L",L10="XL"),"GĐ2","GĐ1"),IF(K10="P1",IF(L10="S","GĐ2","GĐ3"),"GĐ4"))</f>
        <v>GĐ2</v>
      </c>
      <c r="N10" s="20" t="s">
        <v>141</v>
      </c>
      <c r="O10" s="20" t="s">
        <v>142</v>
      </c>
      <c r="P10" s="20" t="s">
        <v>143</v>
      </c>
      <c r="Q10" s="21" t="s">
        <v>88</v>
      </c>
      <c r="R10" s="20"/>
      <c r="S10" s="20"/>
    </row>
    <row r="11" customFormat="false" ht="90.75" hidden="false" customHeight="true" outlineLevel="0" collapsed="false">
      <c r="A11" s="19" t="s">
        <v>144</v>
      </c>
      <c r="B11" s="20" t="s">
        <v>9</v>
      </c>
      <c r="C11" s="20" t="s">
        <v>145</v>
      </c>
      <c r="D11" s="20" t="s">
        <v>28</v>
      </c>
      <c r="E11" s="20" t="s">
        <v>146</v>
      </c>
      <c r="F11" s="20" t="s">
        <v>147</v>
      </c>
      <c r="G11" s="20" t="s">
        <v>148</v>
      </c>
      <c r="H11" s="20" t="s">
        <v>149</v>
      </c>
      <c r="I11" s="20" t="s">
        <v>150</v>
      </c>
      <c r="J11" s="20" t="s">
        <v>151</v>
      </c>
      <c r="K11" s="21" t="s">
        <v>5</v>
      </c>
      <c r="L11" s="21" t="s">
        <v>140</v>
      </c>
      <c r="M11" s="21" t="str">
        <f aca="false">IF(K11="P0",IF(OR(L11="L",L11="XL"),"GĐ2","GĐ1"),IF(K11="P1",IF(L11="S","GĐ2","GĐ3"),"GĐ4"))</f>
        <v>GĐ2</v>
      </c>
      <c r="N11" s="20" t="s">
        <v>152</v>
      </c>
      <c r="O11" s="20" t="s">
        <v>153</v>
      </c>
      <c r="P11" s="20"/>
      <c r="Q11" s="21" t="s">
        <v>88</v>
      </c>
      <c r="R11" s="20"/>
      <c r="S11" s="20"/>
    </row>
    <row r="12" customFormat="false" ht="90.75" hidden="false" customHeight="true" outlineLevel="0" collapsed="false">
      <c r="A12" s="19" t="s">
        <v>154</v>
      </c>
      <c r="B12" s="20" t="s">
        <v>9</v>
      </c>
      <c r="C12" s="20" t="s">
        <v>155</v>
      </c>
      <c r="D12" s="20" t="s">
        <v>30</v>
      </c>
      <c r="E12" s="20" t="s">
        <v>156</v>
      </c>
      <c r="F12" s="20" t="s">
        <v>157</v>
      </c>
      <c r="G12" s="20" t="s">
        <v>158</v>
      </c>
      <c r="H12" s="20" t="s">
        <v>159</v>
      </c>
      <c r="I12" s="20" t="s">
        <v>160</v>
      </c>
      <c r="J12" s="20" t="s">
        <v>161</v>
      </c>
      <c r="K12" s="21" t="s">
        <v>5</v>
      </c>
      <c r="L12" s="21" t="s">
        <v>140</v>
      </c>
      <c r="M12" s="21" t="str">
        <f aca="false">IF(K12="P0",IF(OR(L12="L",L12="XL"),"GĐ2","GĐ1"),IF(K12="P1",IF(L12="S","GĐ2","GĐ3"),"GĐ4"))</f>
        <v>GĐ2</v>
      </c>
      <c r="N12" s="20" t="s">
        <v>162</v>
      </c>
      <c r="O12" s="20" t="s">
        <v>163</v>
      </c>
      <c r="P12" s="20"/>
      <c r="Q12" s="21" t="s">
        <v>88</v>
      </c>
      <c r="R12" s="20"/>
      <c r="S12" s="20"/>
    </row>
    <row r="13" customFormat="false" ht="79.5" hidden="false" customHeight="true" outlineLevel="0" collapsed="false">
      <c r="A13" s="19" t="s">
        <v>164</v>
      </c>
      <c r="B13" s="20" t="s">
        <v>9</v>
      </c>
      <c r="C13" s="20" t="s">
        <v>165</v>
      </c>
      <c r="D13" s="20" t="s">
        <v>26</v>
      </c>
      <c r="E13" s="20" t="s">
        <v>166</v>
      </c>
      <c r="F13" s="20" t="s">
        <v>167</v>
      </c>
      <c r="G13" s="20" t="s">
        <v>168</v>
      </c>
      <c r="H13" s="20" t="s">
        <v>169</v>
      </c>
      <c r="I13" s="20" t="s">
        <v>170</v>
      </c>
      <c r="J13" s="20" t="s">
        <v>171</v>
      </c>
      <c r="K13" s="21" t="s">
        <v>5</v>
      </c>
      <c r="L13" s="21" t="s">
        <v>140</v>
      </c>
      <c r="M13" s="21" t="str">
        <f aca="false">IF(K13="P0",IF(OR(L13="L",L13="XL"),"GĐ2","GĐ1"),IF(K13="P1",IF(L13="S","GĐ2","GĐ3"),"GĐ4"))</f>
        <v>GĐ2</v>
      </c>
      <c r="N13" s="20" t="s">
        <v>172</v>
      </c>
      <c r="O13" s="20" t="s">
        <v>173</v>
      </c>
      <c r="P13" s="20"/>
      <c r="Q13" s="21" t="s">
        <v>88</v>
      </c>
      <c r="R13" s="20"/>
      <c r="S13" s="20"/>
    </row>
    <row r="14" customFormat="false" ht="113.25" hidden="false" customHeight="true" outlineLevel="0" collapsed="false">
      <c r="A14" s="19" t="s">
        <v>174</v>
      </c>
      <c r="B14" s="20" t="s">
        <v>9</v>
      </c>
      <c r="C14" s="20" t="s">
        <v>175</v>
      </c>
      <c r="D14" s="20" t="s">
        <v>26</v>
      </c>
      <c r="E14" s="20" t="s">
        <v>176</v>
      </c>
      <c r="F14" s="20" t="s">
        <v>177</v>
      </c>
      <c r="G14" s="20" t="s">
        <v>178</v>
      </c>
      <c r="H14" s="20" t="s">
        <v>179</v>
      </c>
      <c r="I14" s="20" t="s">
        <v>180</v>
      </c>
      <c r="J14" s="20" t="s">
        <v>181</v>
      </c>
      <c r="K14" s="21" t="s">
        <v>5</v>
      </c>
      <c r="L14" s="21" t="s">
        <v>140</v>
      </c>
      <c r="M14" s="21" t="str">
        <f aca="false">IF(K14="P0",IF(OR(L14="L",L14="XL"),"GĐ2","GĐ1"),IF(K14="P1",IF(L14="S","GĐ2","GĐ3"),"GĐ4"))</f>
        <v>GĐ2</v>
      </c>
      <c r="N14" s="20" t="s">
        <v>182</v>
      </c>
      <c r="O14" s="20" t="s">
        <v>183</v>
      </c>
      <c r="P14" s="20"/>
      <c r="Q14" s="21" t="s">
        <v>88</v>
      </c>
      <c r="R14" s="20"/>
      <c r="S14" s="20"/>
    </row>
    <row r="15" customFormat="false" ht="79.5" hidden="false" customHeight="true" outlineLevel="0" collapsed="false">
      <c r="A15" s="19" t="s">
        <v>184</v>
      </c>
      <c r="B15" s="20" t="s">
        <v>9</v>
      </c>
      <c r="C15" s="20" t="s">
        <v>185</v>
      </c>
      <c r="D15" s="20" t="s">
        <v>27</v>
      </c>
      <c r="E15" s="20" t="s">
        <v>186</v>
      </c>
      <c r="F15" s="20" t="s">
        <v>187</v>
      </c>
      <c r="G15" s="20" t="s">
        <v>188</v>
      </c>
      <c r="H15" s="20" t="s">
        <v>189</v>
      </c>
      <c r="I15" s="20" t="s">
        <v>190</v>
      </c>
      <c r="J15" s="20" t="s">
        <v>191</v>
      </c>
      <c r="K15" s="21" t="s">
        <v>5</v>
      </c>
      <c r="L15" s="21" t="s">
        <v>140</v>
      </c>
      <c r="M15" s="21" t="str">
        <f aca="false">IF(K15="P0",IF(OR(L15="L",L15="XL"),"GĐ2","GĐ1"),IF(K15="P1",IF(L15="S","GĐ2","GĐ3"),"GĐ4"))</f>
        <v>GĐ2</v>
      </c>
      <c r="N15" s="20" t="s">
        <v>192</v>
      </c>
      <c r="O15" s="20" t="s">
        <v>193</v>
      </c>
      <c r="P15" s="20"/>
      <c r="Q15" s="21" t="s">
        <v>88</v>
      </c>
      <c r="R15" s="20"/>
      <c r="S15" s="20"/>
    </row>
    <row r="16" customFormat="false" ht="90.75" hidden="false" customHeight="true" outlineLevel="0" collapsed="false">
      <c r="A16" s="19" t="s">
        <v>194</v>
      </c>
      <c r="B16" s="20" t="s">
        <v>9</v>
      </c>
      <c r="C16" s="20" t="s">
        <v>195</v>
      </c>
      <c r="D16" s="20" t="s">
        <v>27</v>
      </c>
      <c r="E16" s="20" t="s">
        <v>196</v>
      </c>
      <c r="F16" s="20" t="s">
        <v>197</v>
      </c>
      <c r="G16" s="20" t="s">
        <v>198</v>
      </c>
      <c r="H16" s="20" t="s">
        <v>199</v>
      </c>
      <c r="I16" s="20" t="s">
        <v>200</v>
      </c>
      <c r="J16" s="20" t="s">
        <v>201</v>
      </c>
      <c r="K16" s="21" t="s">
        <v>5</v>
      </c>
      <c r="L16" s="21" t="s">
        <v>85</v>
      </c>
      <c r="M16" s="21" t="str">
        <f aca="false">IF(K16="P0",IF(OR(L16="L",L16="XL"),"GĐ2","GĐ1"),IF(K16="P1",IF(L16="S","GĐ2","GĐ3"),"GĐ4"))</f>
        <v>GĐ3</v>
      </c>
      <c r="N16" s="20" t="s">
        <v>202</v>
      </c>
      <c r="O16" s="20" t="s">
        <v>203</v>
      </c>
      <c r="P16" s="20" t="s">
        <v>204</v>
      </c>
      <c r="Q16" s="21" t="s">
        <v>88</v>
      </c>
      <c r="R16" s="20"/>
      <c r="S16" s="20"/>
    </row>
    <row r="17" customFormat="false" ht="124.5" hidden="false" customHeight="true" outlineLevel="0" collapsed="false">
      <c r="A17" s="19" t="s">
        <v>205</v>
      </c>
      <c r="B17" s="20" t="s">
        <v>9</v>
      </c>
      <c r="C17" s="20" t="s">
        <v>206</v>
      </c>
      <c r="D17" s="20" t="s">
        <v>30</v>
      </c>
      <c r="E17" s="20" t="s">
        <v>207</v>
      </c>
      <c r="F17" s="20" t="s">
        <v>208</v>
      </c>
      <c r="G17" s="20" t="s">
        <v>209</v>
      </c>
      <c r="H17" s="20" t="s">
        <v>210</v>
      </c>
      <c r="I17" s="20" t="s">
        <v>211</v>
      </c>
      <c r="J17" s="20" t="s">
        <v>212</v>
      </c>
      <c r="K17" s="21" t="s">
        <v>5</v>
      </c>
      <c r="L17" s="21" t="s">
        <v>213</v>
      </c>
      <c r="M17" s="21" t="str">
        <f aca="false">IF(K17="P0",IF(OR(L17="L",L17="XL"),"GĐ2","GĐ1"),IF(K17="P1",IF(L17="S","GĐ2","GĐ3"),"GĐ4"))</f>
        <v>GĐ3</v>
      </c>
      <c r="N17" s="20" t="s">
        <v>214</v>
      </c>
      <c r="O17" s="20" t="s">
        <v>215</v>
      </c>
      <c r="P17" s="20" t="s">
        <v>216</v>
      </c>
      <c r="Q17" s="21" t="s">
        <v>88</v>
      </c>
      <c r="R17" s="20"/>
      <c r="S17" s="20"/>
    </row>
    <row r="18" customFormat="false" ht="124.5" hidden="false" customHeight="true" outlineLevel="0" collapsed="false">
      <c r="A18" s="19" t="s">
        <v>217</v>
      </c>
      <c r="B18" s="20" t="s">
        <v>9</v>
      </c>
      <c r="C18" s="20" t="s">
        <v>218</v>
      </c>
      <c r="D18" s="20" t="s">
        <v>31</v>
      </c>
      <c r="E18" s="20" t="s">
        <v>219</v>
      </c>
      <c r="F18" s="20" t="s">
        <v>220</v>
      </c>
      <c r="G18" s="20" t="s">
        <v>221</v>
      </c>
      <c r="H18" s="20" t="s">
        <v>222</v>
      </c>
      <c r="I18" s="20" t="s">
        <v>223</v>
      </c>
      <c r="J18" s="20" t="s">
        <v>224</v>
      </c>
      <c r="K18" s="21" t="s">
        <v>5</v>
      </c>
      <c r="L18" s="21" t="s">
        <v>85</v>
      </c>
      <c r="M18" s="21" t="str">
        <f aca="false">IF(K18="P0",IF(OR(L18="L",L18="XL"),"GĐ2","GĐ1"),IF(K18="P1",IF(L18="S","GĐ2","GĐ3"),"GĐ4"))</f>
        <v>GĐ3</v>
      </c>
      <c r="N18" s="20" t="s">
        <v>225</v>
      </c>
      <c r="O18" s="20" t="s">
        <v>226</v>
      </c>
      <c r="P18" s="20" t="s">
        <v>227</v>
      </c>
      <c r="Q18" s="21" t="s">
        <v>88</v>
      </c>
      <c r="R18" s="20"/>
      <c r="S18" s="20"/>
    </row>
    <row r="19" customFormat="false" ht="79.5" hidden="false" customHeight="true" outlineLevel="0" collapsed="false">
      <c r="A19" s="19" t="s">
        <v>228</v>
      </c>
      <c r="B19" s="20" t="s">
        <v>9</v>
      </c>
      <c r="C19" s="20" t="s">
        <v>229</v>
      </c>
      <c r="D19" s="20" t="s">
        <v>29</v>
      </c>
      <c r="E19" s="20" t="s">
        <v>230</v>
      </c>
      <c r="F19" s="20" t="s">
        <v>231</v>
      </c>
      <c r="G19" s="20" t="s">
        <v>232</v>
      </c>
      <c r="H19" s="20" t="s">
        <v>233</v>
      </c>
      <c r="I19" s="20" t="s">
        <v>234</v>
      </c>
      <c r="J19" s="20" t="s">
        <v>235</v>
      </c>
      <c r="K19" s="21" t="s">
        <v>5</v>
      </c>
      <c r="L19" s="21" t="s">
        <v>140</v>
      </c>
      <c r="M19" s="21" t="str">
        <f aca="false">IF(K19="P0",IF(OR(L19="L",L19="XL"),"GĐ2","GĐ1"),IF(K19="P1",IF(L19="S","GĐ2","GĐ3"),"GĐ4"))</f>
        <v>GĐ2</v>
      </c>
      <c r="N19" s="20" t="s">
        <v>236</v>
      </c>
      <c r="O19" s="20" t="s">
        <v>237</v>
      </c>
      <c r="P19" s="20" t="s">
        <v>238</v>
      </c>
      <c r="Q19" s="21" t="s">
        <v>88</v>
      </c>
      <c r="R19" s="20"/>
      <c r="S19" s="20"/>
    </row>
    <row r="20" customFormat="false" ht="90.75" hidden="false" customHeight="true" outlineLevel="0" collapsed="false">
      <c r="A20" s="19" t="s">
        <v>239</v>
      </c>
      <c r="B20" s="20" t="s">
        <v>9</v>
      </c>
      <c r="C20" s="20" t="s">
        <v>240</v>
      </c>
      <c r="D20" s="20" t="s">
        <v>32</v>
      </c>
      <c r="E20" s="20" t="s">
        <v>241</v>
      </c>
      <c r="F20" s="20" t="s">
        <v>242</v>
      </c>
      <c r="G20" s="20" t="s">
        <v>243</v>
      </c>
      <c r="H20" s="20" t="s">
        <v>244</v>
      </c>
      <c r="I20" s="20" t="s">
        <v>245</v>
      </c>
      <c r="J20" s="20" t="s">
        <v>246</v>
      </c>
      <c r="K20" s="21" t="s">
        <v>6</v>
      </c>
      <c r="L20" s="21" t="s">
        <v>85</v>
      </c>
      <c r="M20" s="21" t="str">
        <f aca="false">IF(K20="P0",IF(OR(L20="L",L20="XL"),"GĐ2","GĐ1"),IF(K20="P1",IF(L20="S","GĐ2","GĐ3"),"GĐ4"))</f>
        <v>GĐ4</v>
      </c>
      <c r="N20" s="20" t="s">
        <v>247</v>
      </c>
      <c r="O20" s="20" t="s">
        <v>248</v>
      </c>
      <c r="P20" s="20" t="s">
        <v>249</v>
      </c>
      <c r="Q20" s="21" t="s">
        <v>88</v>
      </c>
      <c r="R20" s="20"/>
      <c r="S20" s="20"/>
    </row>
    <row r="21" customFormat="false" ht="90.75" hidden="false" customHeight="true" outlineLevel="0" collapsed="false">
      <c r="A21" s="19" t="s">
        <v>250</v>
      </c>
      <c r="B21" s="20" t="s">
        <v>9</v>
      </c>
      <c r="C21" s="20" t="s">
        <v>251</v>
      </c>
      <c r="D21" s="20" t="s">
        <v>26</v>
      </c>
      <c r="E21" s="20" t="s">
        <v>252</v>
      </c>
      <c r="F21" s="20" t="s">
        <v>253</v>
      </c>
      <c r="G21" s="20" t="s">
        <v>254</v>
      </c>
      <c r="H21" s="20" t="s">
        <v>255</v>
      </c>
      <c r="I21" s="20" t="s">
        <v>256</v>
      </c>
      <c r="J21" s="20" t="s">
        <v>257</v>
      </c>
      <c r="K21" s="21" t="s">
        <v>5</v>
      </c>
      <c r="L21" s="21" t="s">
        <v>140</v>
      </c>
      <c r="M21" s="21" t="str">
        <f aca="false">IF(K21="P0",IF(OR(L21="L",L21="XL"),"GĐ2","GĐ1"),IF(K21="P1",IF(L21="S","GĐ2","GĐ3"),"GĐ4"))</f>
        <v>GĐ2</v>
      </c>
      <c r="N21" s="20" t="s">
        <v>258</v>
      </c>
      <c r="O21" s="20" t="s">
        <v>259</v>
      </c>
      <c r="P21" s="20"/>
      <c r="Q21" s="21" t="s">
        <v>88</v>
      </c>
      <c r="R21" s="20"/>
      <c r="S21" s="20"/>
    </row>
    <row r="22" customFormat="false" ht="90.75" hidden="false" customHeight="true" outlineLevel="0" collapsed="false">
      <c r="A22" s="19" t="s">
        <v>260</v>
      </c>
      <c r="B22" s="20" t="s">
        <v>9</v>
      </c>
      <c r="C22" s="20" t="s">
        <v>261</v>
      </c>
      <c r="D22" s="20" t="s">
        <v>27</v>
      </c>
      <c r="E22" s="20" t="s">
        <v>262</v>
      </c>
      <c r="F22" s="20" t="s">
        <v>263</v>
      </c>
      <c r="G22" s="20" t="s">
        <v>264</v>
      </c>
      <c r="H22" s="20" t="s">
        <v>265</v>
      </c>
      <c r="I22" s="20" t="s">
        <v>266</v>
      </c>
      <c r="J22" s="20" t="s">
        <v>267</v>
      </c>
      <c r="K22" s="21" t="s">
        <v>6</v>
      </c>
      <c r="L22" s="21" t="s">
        <v>140</v>
      </c>
      <c r="M22" s="21" t="str">
        <f aca="false">IF(K22="P0",IF(OR(L22="L",L22="XL"),"GĐ2","GĐ1"),IF(K22="P1",IF(L22="S","GĐ2","GĐ3"),"GĐ4"))</f>
        <v>GĐ4</v>
      </c>
      <c r="N22" s="20" t="s">
        <v>268</v>
      </c>
      <c r="O22" s="20" t="s">
        <v>269</v>
      </c>
      <c r="P22" s="20" t="s">
        <v>89</v>
      </c>
      <c r="Q22" s="21" t="s">
        <v>88</v>
      </c>
      <c r="R22" s="20"/>
      <c r="S22" s="20"/>
    </row>
    <row r="23" customFormat="false" ht="68.25" hidden="false" customHeight="true" outlineLevel="0" collapsed="false">
      <c r="A23" s="19" t="s">
        <v>270</v>
      </c>
      <c r="B23" s="20" t="s">
        <v>9</v>
      </c>
      <c r="C23" s="20" t="s">
        <v>271</v>
      </c>
      <c r="D23" s="20" t="s">
        <v>26</v>
      </c>
      <c r="E23" s="20" t="s">
        <v>272</v>
      </c>
      <c r="F23" s="20" t="s">
        <v>273</v>
      </c>
      <c r="G23" s="20" t="s">
        <v>274</v>
      </c>
      <c r="H23" s="20" t="s">
        <v>275</v>
      </c>
      <c r="I23" s="20" t="s">
        <v>276</v>
      </c>
      <c r="J23" s="20" t="s">
        <v>277</v>
      </c>
      <c r="K23" s="21" t="s">
        <v>6</v>
      </c>
      <c r="L23" s="21" t="s">
        <v>140</v>
      </c>
      <c r="M23" s="21" t="str">
        <f aca="false">IF(K23="P0",IF(OR(L23="L",L23="XL"),"GĐ2","GĐ1"),IF(K23="P1",IF(L23="S","GĐ2","GĐ3"),"GĐ4"))</f>
        <v>GĐ4</v>
      </c>
      <c r="N23" s="20" t="s">
        <v>278</v>
      </c>
      <c r="O23" s="20" t="s">
        <v>279</v>
      </c>
      <c r="P23" s="20"/>
      <c r="Q23" s="21" t="s">
        <v>88</v>
      </c>
      <c r="R23" s="20"/>
      <c r="S23" s="20"/>
    </row>
    <row r="24" customFormat="false" ht="113.25" hidden="false" customHeight="true" outlineLevel="0" collapsed="false">
      <c r="A24" s="19" t="s">
        <v>280</v>
      </c>
      <c r="B24" s="20" t="s">
        <v>9</v>
      </c>
      <c r="C24" s="20" t="s">
        <v>281</v>
      </c>
      <c r="D24" s="20" t="s">
        <v>40</v>
      </c>
      <c r="E24" s="20" t="s">
        <v>282</v>
      </c>
      <c r="F24" s="20" t="s">
        <v>283</v>
      </c>
      <c r="G24" s="20" t="s">
        <v>284</v>
      </c>
      <c r="H24" s="20" t="s">
        <v>285</v>
      </c>
      <c r="I24" s="20" t="s">
        <v>286</v>
      </c>
      <c r="J24" s="20" t="s">
        <v>287</v>
      </c>
      <c r="K24" s="21" t="s">
        <v>5</v>
      </c>
      <c r="L24" s="21" t="s">
        <v>85</v>
      </c>
      <c r="M24" s="21" t="str">
        <f aca="false">IF(K24="P0",IF(OR(L24="L",L24="XL"),"GĐ2","GĐ1"),IF(K24="P1",IF(L24="S","GĐ2","GĐ3"),"GĐ4"))</f>
        <v>GĐ3</v>
      </c>
      <c r="N24" s="20" t="s">
        <v>288</v>
      </c>
      <c r="O24" s="20" t="s">
        <v>289</v>
      </c>
      <c r="P24" s="20" t="s">
        <v>290</v>
      </c>
      <c r="Q24" s="21" t="s">
        <v>88</v>
      </c>
      <c r="R24" s="20"/>
      <c r="S24" s="20" t="s">
        <v>131</v>
      </c>
    </row>
    <row r="25" customFormat="false" ht="79.5" hidden="false" customHeight="true" outlineLevel="0" collapsed="false">
      <c r="A25" s="19" t="s">
        <v>291</v>
      </c>
      <c r="B25" s="20" t="s">
        <v>9</v>
      </c>
      <c r="C25" s="20" t="s">
        <v>292</v>
      </c>
      <c r="D25" s="20" t="s">
        <v>34</v>
      </c>
      <c r="E25" s="20" t="s">
        <v>293</v>
      </c>
      <c r="F25" s="20" t="s">
        <v>294</v>
      </c>
      <c r="G25" s="20" t="s">
        <v>295</v>
      </c>
      <c r="H25" s="20" t="s">
        <v>296</v>
      </c>
      <c r="I25" s="20" t="s">
        <v>297</v>
      </c>
      <c r="J25" s="20" t="s">
        <v>298</v>
      </c>
      <c r="K25" s="21" t="s">
        <v>6</v>
      </c>
      <c r="L25" s="21" t="s">
        <v>213</v>
      </c>
      <c r="M25" s="21" t="str">
        <f aca="false">IF(K25="P0",IF(OR(L25="L",L25="XL"),"GĐ2","GĐ1"),IF(K25="P1",IF(L25="S","GĐ2","GĐ3"),"GĐ4"))</f>
        <v>GĐ4</v>
      </c>
      <c r="N25" s="20" t="s">
        <v>299</v>
      </c>
      <c r="O25" s="20" t="s">
        <v>300</v>
      </c>
      <c r="P25" s="20" t="s">
        <v>301</v>
      </c>
      <c r="Q25" s="21" t="s">
        <v>88</v>
      </c>
      <c r="R25" s="20"/>
      <c r="S25" s="20"/>
    </row>
    <row r="26" customFormat="false" ht="68.25" hidden="false" customHeight="true" outlineLevel="0" collapsed="false">
      <c r="A26" s="19" t="s">
        <v>302</v>
      </c>
      <c r="B26" s="20" t="s">
        <v>9</v>
      </c>
      <c r="C26" s="20" t="s">
        <v>303</v>
      </c>
      <c r="D26" s="20" t="s">
        <v>26</v>
      </c>
      <c r="E26" s="20" t="s">
        <v>304</v>
      </c>
      <c r="F26" s="20" t="s">
        <v>305</v>
      </c>
      <c r="G26" s="20" t="s">
        <v>306</v>
      </c>
      <c r="H26" s="20" t="s">
        <v>307</v>
      </c>
      <c r="I26" s="20" t="s">
        <v>308</v>
      </c>
      <c r="J26" s="20" t="s">
        <v>309</v>
      </c>
      <c r="K26" s="21" t="s">
        <v>6</v>
      </c>
      <c r="L26" s="21" t="s">
        <v>140</v>
      </c>
      <c r="M26" s="21" t="str">
        <f aca="false">IF(K26="P0",IF(OR(L26="L",L26="XL"),"GĐ2","GĐ1"),IF(K26="P1",IF(L26="S","GĐ2","GĐ3"),"GĐ4"))</f>
        <v>GĐ4</v>
      </c>
      <c r="N26" s="20" t="s">
        <v>310</v>
      </c>
      <c r="O26" s="20" t="s">
        <v>311</v>
      </c>
      <c r="P26" s="20"/>
      <c r="Q26" s="21" t="s">
        <v>88</v>
      </c>
      <c r="R26" s="20"/>
      <c r="S26" s="20"/>
    </row>
    <row r="27" customFormat="false" ht="113.25" hidden="false" customHeight="true" outlineLevel="0" collapsed="false">
      <c r="A27" s="19" t="s">
        <v>312</v>
      </c>
      <c r="B27" s="20" t="s">
        <v>10</v>
      </c>
      <c r="C27" s="20" t="s">
        <v>313</v>
      </c>
      <c r="D27" s="20" t="s">
        <v>33</v>
      </c>
      <c r="E27" s="20" t="s">
        <v>314</v>
      </c>
      <c r="F27" s="20" t="s">
        <v>315</v>
      </c>
      <c r="G27" s="20" t="s">
        <v>316</v>
      </c>
      <c r="H27" s="20" t="s">
        <v>317</v>
      </c>
      <c r="I27" s="20" t="s">
        <v>318</v>
      </c>
      <c r="J27" s="20" t="s">
        <v>319</v>
      </c>
      <c r="K27" s="21" t="s">
        <v>4</v>
      </c>
      <c r="L27" s="21" t="s">
        <v>85</v>
      </c>
      <c r="M27" s="21" t="str">
        <f aca="false">IF(K27="P0",IF(OR(L27="L",L27="XL"),"GĐ2","GĐ1"),IF(K27="P1",IF(L27="S","GĐ2","GĐ3"),"GĐ4"))</f>
        <v>GĐ1</v>
      </c>
      <c r="N27" s="20" t="s">
        <v>320</v>
      </c>
      <c r="O27" s="20" t="s">
        <v>321</v>
      </c>
      <c r="P27" s="20" t="s">
        <v>322</v>
      </c>
      <c r="Q27" s="21" t="s">
        <v>88</v>
      </c>
      <c r="R27" s="20"/>
      <c r="S27" s="20"/>
    </row>
    <row r="28" customFormat="false" ht="79.5" hidden="false" customHeight="true" outlineLevel="0" collapsed="false">
      <c r="A28" s="19" t="s">
        <v>323</v>
      </c>
      <c r="B28" s="20" t="s">
        <v>10</v>
      </c>
      <c r="C28" s="20" t="s">
        <v>324</v>
      </c>
      <c r="D28" s="20" t="s">
        <v>33</v>
      </c>
      <c r="E28" s="20" t="s">
        <v>325</v>
      </c>
      <c r="F28" s="20" t="s">
        <v>326</v>
      </c>
      <c r="G28" s="20" t="s">
        <v>327</v>
      </c>
      <c r="H28" s="20" t="s">
        <v>328</v>
      </c>
      <c r="I28" s="20" t="s">
        <v>329</v>
      </c>
      <c r="J28" s="20" t="s">
        <v>330</v>
      </c>
      <c r="K28" s="21" t="s">
        <v>4</v>
      </c>
      <c r="L28" s="21" t="s">
        <v>140</v>
      </c>
      <c r="M28" s="21" t="str">
        <f aca="false">IF(K28="P0",IF(OR(L28="L",L28="XL"),"GĐ2","GĐ1"),IF(K28="P1",IF(L28="S","GĐ2","GĐ3"),"GĐ4"))</f>
        <v>GĐ1</v>
      </c>
      <c r="N28" s="20" t="s">
        <v>331</v>
      </c>
      <c r="O28" s="20" t="s">
        <v>332</v>
      </c>
      <c r="P28" s="20"/>
      <c r="Q28" s="21" t="s">
        <v>88</v>
      </c>
      <c r="R28" s="20"/>
      <c r="S28" s="20"/>
    </row>
    <row r="29" customFormat="false" ht="124.5" hidden="false" customHeight="true" outlineLevel="0" collapsed="false">
      <c r="A29" s="19" t="s">
        <v>333</v>
      </c>
      <c r="B29" s="20" t="s">
        <v>10</v>
      </c>
      <c r="C29" s="20" t="s">
        <v>334</v>
      </c>
      <c r="D29" s="20" t="s">
        <v>33</v>
      </c>
      <c r="E29" s="20" t="s">
        <v>335</v>
      </c>
      <c r="F29" s="20" t="s">
        <v>336</v>
      </c>
      <c r="G29" s="20" t="s">
        <v>337</v>
      </c>
      <c r="H29" s="20" t="s">
        <v>338</v>
      </c>
      <c r="I29" s="20" t="s">
        <v>339</v>
      </c>
      <c r="J29" s="20" t="s">
        <v>340</v>
      </c>
      <c r="K29" s="21" t="s">
        <v>4</v>
      </c>
      <c r="L29" s="21" t="s">
        <v>85</v>
      </c>
      <c r="M29" s="21" t="str">
        <f aca="false">IF(K29="P0",IF(OR(L29="L",L29="XL"),"GĐ2","GĐ1"),IF(K29="P1",IF(L29="S","GĐ2","GĐ3"),"GĐ4"))</f>
        <v>GĐ1</v>
      </c>
      <c r="N29" s="20" t="s">
        <v>341</v>
      </c>
      <c r="O29" s="20" t="s">
        <v>342</v>
      </c>
      <c r="P29" s="20"/>
      <c r="Q29" s="21" t="s">
        <v>88</v>
      </c>
      <c r="R29" s="20"/>
      <c r="S29" s="20"/>
    </row>
    <row r="30" customFormat="false" ht="124.5" hidden="false" customHeight="true" outlineLevel="0" collapsed="false">
      <c r="A30" s="19" t="s">
        <v>343</v>
      </c>
      <c r="B30" s="20" t="s">
        <v>10</v>
      </c>
      <c r="C30" s="20" t="s">
        <v>344</v>
      </c>
      <c r="D30" s="20" t="s">
        <v>32</v>
      </c>
      <c r="E30" s="20" t="s">
        <v>345</v>
      </c>
      <c r="F30" s="20" t="s">
        <v>346</v>
      </c>
      <c r="G30" s="20" t="s">
        <v>347</v>
      </c>
      <c r="H30" s="20" t="s">
        <v>348</v>
      </c>
      <c r="I30" s="20" t="s">
        <v>349</v>
      </c>
      <c r="J30" s="20" t="s">
        <v>350</v>
      </c>
      <c r="K30" s="21" t="s">
        <v>5</v>
      </c>
      <c r="L30" s="21" t="s">
        <v>85</v>
      </c>
      <c r="M30" s="21" t="str">
        <f aca="false">IF(K30="P0",IF(OR(L30="L",L30="XL"),"GĐ2","GĐ1"),IF(K30="P1",IF(L30="S","GĐ2","GĐ3"),"GĐ4"))</f>
        <v>GĐ3</v>
      </c>
      <c r="N30" s="20" t="s">
        <v>351</v>
      </c>
      <c r="O30" s="20" t="s">
        <v>352</v>
      </c>
      <c r="P30" s="20" t="s">
        <v>239</v>
      </c>
      <c r="Q30" s="21" t="s">
        <v>88</v>
      </c>
      <c r="R30" s="20"/>
      <c r="S30" s="20"/>
    </row>
    <row r="31" customFormat="false" ht="57" hidden="false" customHeight="true" outlineLevel="0" collapsed="false">
      <c r="A31" s="19" t="s">
        <v>353</v>
      </c>
      <c r="B31" s="20" t="s">
        <v>10</v>
      </c>
      <c r="C31" s="20" t="s">
        <v>354</v>
      </c>
      <c r="D31" s="20" t="s">
        <v>33</v>
      </c>
      <c r="E31" s="20" t="s">
        <v>355</v>
      </c>
      <c r="F31" s="20" t="s">
        <v>356</v>
      </c>
      <c r="G31" s="20" t="s">
        <v>357</v>
      </c>
      <c r="H31" s="20" t="s">
        <v>358</v>
      </c>
      <c r="I31" s="20" t="s">
        <v>359</v>
      </c>
      <c r="J31" s="20" t="s">
        <v>360</v>
      </c>
      <c r="K31" s="21" t="s">
        <v>5</v>
      </c>
      <c r="L31" s="21" t="s">
        <v>140</v>
      </c>
      <c r="M31" s="21" t="str">
        <f aca="false">IF(K31="P0",IF(OR(L31="L",L31="XL"),"GĐ2","GĐ1"),IF(K31="P1",IF(L31="S","GĐ2","GĐ3"),"GĐ4"))</f>
        <v>GĐ2</v>
      </c>
      <c r="N31" s="20" t="s">
        <v>361</v>
      </c>
      <c r="O31" s="20" t="s">
        <v>362</v>
      </c>
      <c r="P31" s="20"/>
      <c r="Q31" s="21" t="s">
        <v>88</v>
      </c>
      <c r="R31" s="20"/>
      <c r="S31" s="20"/>
    </row>
    <row r="32" customFormat="false" ht="113.25" hidden="false" customHeight="true" outlineLevel="0" collapsed="false">
      <c r="A32" s="19" t="s">
        <v>363</v>
      </c>
      <c r="B32" s="20" t="s">
        <v>10</v>
      </c>
      <c r="C32" s="20" t="s">
        <v>364</v>
      </c>
      <c r="D32" s="20" t="s">
        <v>30</v>
      </c>
      <c r="E32" s="20" t="s">
        <v>365</v>
      </c>
      <c r="F32" s="20" t="s">
        <v>366</v>
      </c>
      <c r="G32" s="20" t="s">
        <v>367</v>
      </c>
      <c r="H32" s="20" t="s">
        <v>368</v>
      </c>
      <c r="I32" s="20" t="s">
        <v>369</v>
      </c>
      <c r="J32" s="20" t="s">
        <v>370</v>
      </c>
      <c r="K32" s="21" t="s">
        <v>4</v>
      </c>
      <c r="L32" s="21" t="s">
        <v>85</v>
      </c>
      <c r="M32" s="21" t="str">
        <f aca="false">IF(K32="P0",IF(OR(L32="L",L32="XL"),"GĐ2","GĐ1"),IF(K32="P1",IF(L32="S","GĐ2","GĐ3"),"GĐ4"))</f>
        <v>GĐ1</v>
      </c>
      <c r="N32" s="20" t="s">
        <v>371</v>
      </c>
      <c r="O32" s="20" t="s">
        <v>372</v>
      </c>
      <c r="P32" s="20" t="s">
        <v>205</v>
      </c>
      <c r="Q32" s="21" t="s">
        <v>88</v>
      </c>
      <c r="R32" s="20"/>
      <c r="S32" s="20"/>
    </row>
    <row r="33" customFormat="false" ht="57" hidden="false" customHeight="true" outlineLevel="0" collapsed="false">
      <c r="A33" s="19" t="s">
        <v>373</v>
      </c>
      <c r="B33" s="20" t="s">
        <v>10</v>
      </c>
      <c r="C33" s="20" t="s">
        <v>374</v>
      </c>
      <c r="D33" s="20" t="s">
        <v>30</v>
      </c>
      <c r="E33" s="20" t="s">
        <v>375</v>
      </c>
      <c r="F33" s="20" t="s">
        <v>376</v>
      </c>
      <c r="G33" s="20" t="s">
        <v>377</v>
      </c>
      <c r="H33" s="20" t="s">
        <v>378</v>
      </c>
      <c r="I33" s="20" t="s">
        <v>379</v>
      </c>
      <c r="J33" s="20" t="s">
        <v>380</v>
      </c>
      <c r="K33" s="21" t="s">
        <v>6</v>
      </c>
      <c r="L33" s="21" t="s">
        <v>85</v>
      </c>
      <c r="M33" s="21" t="str">
        <f aca="false">IF(K33="P0",IF(OR(L33="L",L33="XL"),"GĐ2","GĐ1"),IF(K33="P1",IF(L33="S","GĐ2","GĐ3"),"GĐ4"))</f>
        <v>GĐ4</v>
      </c>
      <c r="N33" s="20" t="s">
        <v>381</v>
      </c>
      <c r="O33" s="20" t="s">
        <v>382</v>
      </c>
      <c r="P33" s="20" t="s">
        <v>205</v>
      </c>
      <c r="Q33" s="21" t="s">
        <v>88</v>
      </c>
      <c r="R33" s="20"/>
      <c r="S33" s="20"/>
    </row>
    <row r="34" customFormat="false" ht="79.5" hidden="false" customHeight="true" outlineLevel="0" collapsed="false">
      <c r="A34" s="19" t="s">
        <v>383</v>
      </c>
      <c r="B34" s="20" t="s">
        <v>10</v>
      </c>
      <c r="C34" s="20" t="s">
        <v>384</v>
      </c>
      <c r="D34" s="20" t="s">
        <v>34</v>
      </c>
      <c r="E34" s="20" t="s">
        <v>385</v>
      </c>
      <c r="F34" s="20" t="s">
        <v>386</v>
      </c>
      <c r="G34" s="20" t="s">
        <v>387</v>
      </c>
      <c r="H34" s="20" t="s">
        <v>388</v>
      </c>
      <c r="I34" s="20" t="s">
        <v>389</v>
      </c>
      <c r="J34" s="20" t="s">
        <v>390</v>
      </c>
      <c r="K34" s="21" t="s">
        <v>4</v>
      </c>
      <c r="L34" s="21" t="s">
        <v>140</v>
      </c>
      <c r="M34" s="21" t="str">
        <f aca="false">IF(K34="P0",IF(OR(L34="L",L34="XL"),"GĐ2","GĐ1"),IF(K34="P1",IF(L34="S","GĐ2","GĐ3"),"GĐ4"))</f>
        <v>GĐ1</v>
      </c>
      <c r="N34" s="20" t="s">
        <v>391</v>
      </c>
      <c r="O34" s="20" t="s">
        <v>392</v>
      </c>
      <c r="P34" s="20"/>
      <c r="Q34" s="21" t="s">
        <v>88</v>
      </c>
      <c r="R34" s="20"/>
      <c r="S34" s="20"/>
    </row>
    <row r="35" customFormat="false" ht="124.5" hidden="false" customHeight="true" outlineLevel="0" collapsed="false">
      <c r="A35" s="19" t="s">
        <v>393</v>
      </c>
      <c r="B35" s="20" t="s">
        <v>10</v>
      </c>
      <c r="C35" s="20" t="s">
        <v>394</v>
      </c>
      <c r="D35" s="20" t="s">
        <v>34</v>
      </c>
      <c r="E35" s="20" t="s">
        <v>395</v>
      </c>
      <c r="F35" s="20" t="s">
        <v>396</v>
      </c>
      <c r="G35" s="20" t="s">
        <v>397</v>
      </c>
      <c r="H35" s="20" t="s">
        <v>398</v>
      </c>
      <c r="I35" s="20" t="s">
        <v>399</v>
      </c>
      <c r="J35" s="20" t="s">
        <v>400</v>
      </c>
      <c r="K35" s="21" t="s">
        <v>5</v>
      </c>
      <c r="L35" s="21" t="s">
        <v>213</v>
      </c>
      <c r="M35" s="21" t="str">
        <f aca="false">IF(K35="P0",IF(OR(L35="L",L35="XL"),"GĐ2","GĐ1"),IF(K35="P1",IF(L35="S","GĐ2","GĐ3"),"GĐ4"))</f>
        <v>GĐ3</v>
      </c>
      <c r="N35" s="20" t="s">
        <v>401</v>
      </c>
      <c r="O35" s="20" t="s">
        <v>402</v>
      </c>
      <c r="P35" s="20" t="s">
        <v>403</v>
      </c>
      <c r="Q35" s="21" t="s">
        <v>88</v>
      </c>
      <c r="R35" s="20"/>
      <c r="S35" s="20" t="s">
        <v>131</v>
      </c>
    </row>
    <row r="36" customFormat="false" ht="68.25" hidden="false" customHeight="true" outlineLevel="0" collapsed="false">
      <c r="A36" s="19" t="s">
        <v>404</v>
      </c>
      <c r="B36" s="20" t="s">
        <v>10</v>
      </c>
      <c r="C36" s="20" t="s">
        <v>405</v>
      </c>
      <c r="D36" s="20" t="s">
        <v>33</v>
      </c>
      <c r="E36" s="20" t="s">
        <v>406</v>
      </c>
      <c r="F36" s="20" t="s">
        <v>407</v>
      </c>
      <c r="G36" s="20" t="s">
        <v>408</v>
      </c>
      <c r="H36" s="20" t="s">
        <v>409</v>
      </c>
      <c r="I36" s="20" t="s">
        <v>410</v>
      </c>
      <c r="J36" s="20" t="s">
        <v>411</v>
      </c>
      <c r="K36" s="21" t="s">
        <v>5</v>
      </c>
      <c r="L36" s="21" t="s">
        <v>85</v>
      </c>
      <c r="M36" s="21" t="str">
        <f aca="false">IF(K36="P0",IF(OR(L36="L",L36="XL"),"GĐ2","GĐ1"),IF(K36="P1",IF(L36="S","GĐ2","GĐ3"),"GĐ4"))</f>
        <v>GĐ3</v>
      </c>
      <c r="N36" s="20" t="s">
        <v>412</v>
      </c>
      <c r="O36" s="20" t="s">
        <v>413</v>
      </c>
      <c r="P36" s="20"/>
      <c r="Q36" s="21" t="s">
        <v>88</v>
      </c>
      <c r="R36" s="20"/>
      <c r="S36" s="20"/>
    </row>
    <row r="37" customFormat="false" ht="57" hidden="false" customHeight="true" outlineLevel="0" collapsed="false">
      <c r="A37" s="19" t="s">
        <v>414</v>
      </c>
      <c r="B37" s="20" t="s">
        <v>10</v>
      </c>
      <c r="C37" s="20" t="s">
        <v>415</v>
      </c>
      <c r="D37" s="20" t="s">
        <v>27</v>
      </c>
      <c r="E37" s="20" t="s">
        <v>416</v>
      </c>
      <c r="F37" s="20" t="s">
        <v>417</v>
      </c>
      <c r="G37" s="20" t="s">
        <v>418</v>
      </c>
      <c r="H37" s="20" t="s">
        <v>419</v>
      </c>
      <c r="I37" s="20" t="s">
        <v>420</v>
      </c>
      <c r="J37" s="20" t="s">
        <v>421</v>
      </c>
      <c r="K37" s="21" t="s">
        <v>5</v>
      </c>
      <c r="L37" s="21" t="s">
        <v>140</v>
      </c>
      <c r="M37" s="21" t="str">
        <f aca="false">IF(K37="P0",IF(OR(L37="L",L37="XL"),"GĐ2","GĐ1"),IF(K37="P1",IF(L37="S","GĐ2","GĐ3"),"GĐ4"))</f>
        <v>GĐ2</v>
      </c>
      <c r="N37" s="20" t="s">
        <v>422</v>
      </c>
      <c r="O37" s="20" t="s">
        <v>423</v>
      </c>
      <c r="P37" s="20"/>
      <c r="Q37" s="21" t="s">
        <v>88</v>
      </c>
      <c r="R37" s="20"/>
      <c r="S37" s="20"/>
    </row>
    <row r="38" customFormat="false" ht="79.5" hidden="false" customHeight="true" outlineLevel="0" collapsed="false">
      <c r="A38" s="19" t="s">
        <v>424</v>
      </c>
      <c r="B38" s="20" t="s">
        <v>10</v>
      </c>
      <c r="C38" s="20" t="s">
        <v>425</v>
      </c>
      <c r="D38" s="20" t="s">
        <v>34</v>
      </c>
      <c r="E38" s="20" t="s">
        <v>426</v>
      </c>
      <c r="F38" s="20" t="s">
        <v>427</v>
      </c>
      <c r="G38" s="20" t="s">
        <v>428</v>
      </c>
      <c r="H38" s="20" t="s">
        <v>429</v>
      </c>
      <c r="I38" s="20" t="s">
        <v>430</v>
      </c>
      <c r="J38" s="20" t="s">
        <v>431</v>
      </c>
      <c r="K38" s="21" t="s">
        <v>6</v>
      </c>
      <c r="L38" s="21" t="s">
        <v>85</v>
      </c>
      <c r="M38" s="21" t="str">
        <f aca="false">IF(K38="P0",IF(OR(L38="L",L38="XL"),"GĐ2","GĐ1"),IF(K38="P1",IF(L38="S","GĐ2","GĐ3"),"GĐ4"))</f>
        <v>GĐ4</v>
      </c>
      <c r="N38" s="20" t="s">
        <v>432</v>
      </c>
      <c r="O38" s="20" t="s">
        <v>433</v>
      </c>
      <c r="P38" s="20"/>
      <c r="Q38" s="21" t="s">
        <v>88</v>
      </c>
      <c r="R38" s="20"/>
      <c r="S38" s="20"/>
    </row>
    <row r="39" customFormat="false" ht="90.75" hidden="false" customHeight="true" outlineLevel="0" collapsed="false">
      <c r="A39" s="19" t="s">
        <v>434</v>
      </c>
      <c r="B39" s="20" t="s">
        <v>10</v>
      </c>
      <c r="C39" s="20" t="s">
        <v>435</v>
      </c>
      <c r="D39" s="20" t="s">
        <v>32</v>
      </c>
      <c r="E39" s="20" t="s">
        <v>436</v>
      </c>
      <c r="F39" s="20" t="s">
        <v>437</v>
      </c>
      <c r="G39" s="20" t="s">
        <v>438</v>
      </c>
      <c r="H39" s="20" t="s">
        <v>439</v>
      </c>
      <c r="I39" s="20" t="s">
        <v>440</v>
      </c>
      <c r="J39" s="20" t="s">
        <v>441</v>
      </c>
      <c r="K39" s="21" t="s">
        <v>5</v>
      </c>
      <c r="L39" s="21" t="s">
        <v>140</v>
      </c>
      <c r="M39" s="21" t="str">
        <f aca="false">IF(K39="P0",IF(OR(L39="L",L39="XL"),"GĐ2","GĐ1"),IF(K39="P1",IF(L39="S","GĐ2","GĐ3"),"GĐ4"))</f>
        <v>GĐ2</v>
      </c>
      <c r="N39" s="20" t="s">
        <v>442</v>
      </c>
      <c r="O39" s="20" t="s">
        <v>443</v>
      </c>
      <c r="P39" s="20" t="s">
        <v>239</v>
      </c>
      <c r="Q39" s="21" t="s">
        <v>88</v>
      </c>
      <c r="R39" s="20"/>
      <c r="S39" s="20"/>
    </row>
    <row r="40" customFormat="false" ht="57" hidden="false" customHeight="true" outlineLevel="0" collapsed="false">
      <c r="A40" s="19" t="s">
        <v>110</v>
      </c>
      <c r="B40" s="20" t="s">
        <v>10</v>
      </c>
      <c r="C40" s="20" t="s">
        <v>444</v>
      </c>
      <c r="D40" s="20" t="s">
        <v>28</v>
      </c>
      <c r="E40" s="20" t="s">
        <v>445</v>
      </c>
      <c r="F40" s="20" t="s">
        <v>446</v>
      </c>
      <c r="G40" s="20" t="s">
        <v>447</v>
      </c>
      <c r="H40" s="20" t="s">
        <v>448</v>
      </c>
      <c r="I40" s="20" t="s">
        <v>449</v>
      </c>
      <c r="J40" s="20" t="s">
        <v>450</v>
      </c>
      <c r="K40" s="21" t="s">
        <v>5</v>
      </c>
      <c r="L40" s="21" t="s">
        <v>140</v>
      </c>
      <c r="M40" s="21" t="str">
        <f aca="false">IF(K40="P0",IF(OR(L40="L",L40="XL"),"GĐ2","GĐ1"),IF(K40="P1",IF(L40="S","GĐ2","GĐ3"),"GĐ4"))</f>
        <v>GĐ2</v>
      </c>
      <c r="N40" s="20" t="s">
        <v>451</v>
      </c>
      <c r="O40" s="20" t="s">
        <v>452</v>
      </c>
      <c r="P40" s="20" t="s">
        <v>453</v>
      </c>
      <c r="Q40" s="21" t="s">
        <v>88</v>
      </c>
      <c r="R40" s="20"/>
      <c r="S40" s="20"/>
    </row>
    <row r="41" customFormat="false" ht="102" hidden="false" customHeight="true" outlineLevel="0" collapsed="false">
      <c r="A41" s="19" t="s">
        <v>454</v>
      </c>
      <c r="B41" s="20" t="s">
        <v>10</v>
      </c>
      <c r="C41" s="20" t="s">
        <v>455</v>
      </c>
      <c r="D41" s="20" t="s">
        <v>33</v>
      </c>
      <c r="E41" s="20" t="s">
        <v>456</v>
      </c>
      <c r="F41" s="20" t="s">
        <v>457</v>
      </c>
      <c r="G41" s="20" t="s">
        <v>458</v>
      </c>
      <c r="H41" s="20" t="s">
        <v>459</v>
      </c>
      <c r="I41" s="20" t="s">
        <v>460</v>
      </c>
      <c r="J41" s="20" t="s">
        <v>461</v>
      </c>
      <c r="K41" s="21" t="s">
        <v>5</v>
      </c>
      <c r="L41" s="21" t="s">
        <v>85</v>
      </c>
      <c r="M41" s="21" t="str">
        <f aca="false">IF(K41="P0",IF(OR(L41="L",L41="XL"),"GĐ2","GĐ1"),IF(K41="P1",IF(L41="S","GĐ2","GĐ3"),"GĐ4"))</f>
        <v>GĐ3</v>
      </c>
      <c r="N41" s="20" t="s">
        <v>462</v>
      </c>
      <c r="O41" s="20" t="s">
        <v>463</v>
      </c>
      <c r="P41" s="20"/>
      <c r="Q41" s="21" t="s">
        <v>88</v>
      </c>
      <c r="R41" s="20"/>
      <c r="S41" s="20"/>
    </row>
    <row r="42" customFormat="false" ht="68.25" hidden="false" customHeight="true" outlineLevel="0" collapsed="false">
      <c r="A42" s="19" t="s">
        <v>464</v>
      </c>
      <c r="B42" s="20" t="s">
        <v>10</v>
      </c>
      <c r="C42" s="20" t="s">
        <v>465</v>
      </c>
      <c r="D42" s="20" t="s">
        <v>34</v>
      </c>
      <c r="E42" s="20" t="s">
        <v>466</v>
      </c>
      <c r="F42" s="20" t="s">
        <v>467</v>
      </c>
      <c r="G42" s="20" t="s">
        <v>468</v>
      </c>
      <c r="H42" s="20" t="s">
        <v>469</v>
      </c>
      <c r="I42" s="20" t="s">
        <v>470</v>
      </c>
      <c r="J42" s="20" t="s">
        <v>471</v>
      </c>
      <c r="K42" s="21" t="s">
        <v>7</v>
      </c>
      <c r="L42" s="21" t="s">
        <v>85</v>
      </c>
      <c r="M42" s="21" t="str">
        <f aca="false">IF(K42="P0",IF(OR(L42="L",L42="XL"),"GĐ2","GĐ1"),IF(K42="P1",IF(L42="S","GĐ2","GĐ3"),"GĐ4"))</f>
        <v>GĐ4</v>
      </c>
      <c r="N42" s="20" t="s">
        <v>472</v>
      </c>
      <c r="O42" s="20" t="s">
        <v>473</v>
      </c>
      <c r="P42" s="20"/>
      <c r="Q42" s="21" t="s">
        <v>88</v>
      </c>
      <c r="R42" s="20"/>
      <c r="S42" s="20"/>
    </row>
    <row r="43" customFormat="false" ht="79.5" hidden="false" customHeight="true" outlineLevel="0" collapsed="false">
      <c r="A43" s="19" t="s">
        <v>474</v>
      </c>
      <c r="B43" s="20" t="s">
        <v>10</v>
      </c>
      <c r="C43" s="20" t="s">
        <v>475</v>
      </c>
      <c r="D43" s="20" t="s">
        <v>34</v>
      </c>
      <c r="E43" s="20" t="s">
        <v>476</v>
      </c>
      <c r="F43" s="20" t="s">
        <v>477</v>
      </c>
      <c r="G43" s="20" t="s">
        <v>478</v>
      </c>
      <c r="H43" s="20" t="s">
        <v>296</v>
      </c>
      <c r="I43" s="20" t="s">
        <v>479</v>
      </c>
      <c r="J43" s="20" t="s">
        <v>480</v>
      </c>
      <c r="K43" s="21" t="s">
        <v>6</v>
      </c>
      <c r="L43" s="21" t="s">
        <v>85</v>
      </c>
      <c r="M43" s="21" t="str">
        <f aca="false">IF(K43="P0",IF(OR(L43="L",L43="XL"),"GĐ2","GĐ1"),IF(K43="P1",IF(L43="S","GĐ2","GĐ3"),"GĐ4"))</f>
        <v>GĐ4</v>
      </c>
      <c r="N43" s="20" t="s">
        <v>481</v>
      </c>
      <c r="O43" s="20" t="s">
        <v>482</v>
      </c>
      <c r="P43" s="20" t="s">
        <v>291</v>
      </c>
      <c r="Q43" s="21" t="s">
        <v>88</v>
      </c>
      <c r="R43" s="20"/>
      <c r="S43" s="20"/>
    </row>
    <row r="44" customFormat="false" ht="68.25" hidden="false" customHeight="true" outlineLevel="0" collapsed="false">
      <c r="A44" s="19" t="s">
        <v>483</v>
      </c>
      <c r="B44" s="20" t="s">
        <v>10</v>
      </c>
      <c r="C44" s="20" t="s">
        <v>484</v>
      </c>
      <c r="D44" s="20" t="s">
        <v>40</v>
      </c>
      <c r="E44" s="20" t="s">
        <v>485</v>
      </c>
      <c r="F44" s="20" t="s">
        <v>486</v>
      </c>
      <c r="G44" s="20" t="s">
        <v>487</v>
      </c>
      <c r="H44" s="20" t="s">
        <v>488</v>
      </c>
      <c r="I44" s="20" t="s">
        <v>489</v>
      </c>
      <c r="J44" s="20" t="s">
        <v>490</v>
      </c>
      <c r="K44" s="21" t="s">
        <v>5</v>
      </c>
      <c r="L44" s="21" t="s">
        <v>85</v>
      </c>
      <c r="M44" s="21" t="str">
        <f aca="false">IF(K44="P0",IF(OR(L44="L",L44="XL"),"GĐ2","GĐ1"),IF(K44="P1",IF(L44="S","GĐ2","GĐ3"),"GĐ4"))</f>
        <v>GĐ3</v>
      </c>
      <c r="N44" s="20" t="s">
        <v>491</v>
      </c>
      <c r="O44" s="20" t="s">
        <v>492</v>
      </c>
      <c r="P44" s="20" t="s">
        <v>493</v>
      </c>
      <c r="Q44" s="21" t="s">
        <v>88</v>
      </c>
      <c r="R44" s="20"/>
      <c r="S44" s="20"/>
    </row>
    <row r="45" customFormat="false" ht="79.5" hidden="false" customHeight="true" outlineLevel="0" collapsed="false">
      <c r="A45" s="19" t="s">
        <v>494</v>
      </c>
      <c r="B45" s="20" t="s">
        <v>10</v>
      </c>
      <c r="C45" s="20" t="s">
        <v>495</v>
      </c>
      <c r="D45" s="20" t="s">
        <v>33</v>
      </c>
      <c r="E45" s="20" t="s">
        <v>496</v>
      </c>
      <c r="F45" s="20" t="s">
        <v>497</v>
      </c>
      <c r="G45" s="20" t="s">
        <v>498</v>
      </c>
      <c r="H45" s="20" t="s">
        <v>499</v>
      </c>
      <c r="I45" s="20" t="s">
        <v>500</v>
      </c>
      <c r="J45" s="20" t="s">
        <v>501</v>
      </c>
      <c r="K45" s="21" t="s">
        <v>6</v>
      </c>
      <c r="L45" s="21" t="s">
        <v>140</v>
      </c>
      <c r="M45" s="21" t="str">
        <f aca="false">IF(K45="P0",IF(OR(L45="L",L45="XL"),"GĐ2","GĐ1"),IF(K45="P1",IF(L45="S","GĐ2","GĐ3"),"GĐ4"))</f>
        <v>GĐ4</v>
      </c>
      <c r="N45" s="20" t="s">
        <v>502</v>
      </c>
      <c r="O45" s="20" t="s">
        <v>503</v>
      </c>
      <c r="P45" s="20"/>
      <c r="Q45" s="21" t="s">
        <v>88</v>
      </c>
      <c r="R45" s="20"/>
      <c r="S45" s="20"/>
    </row>
    <row r="46" customFormat="false" ht="68.25" hidden="false" customHeight="true" outlineLevel="0" collapsed="false">
      <c r="A46" s="19" t="s">
        <v>504</v>
      </c>
      <c r="B46" s="20" t="s">
        <v>11</v>
      </c>
      <c r="C46" s="20" t="s">
        <v>505</v>
      </c>
      <c r="D46" s="20" t="s">
        <v>35</v>
      </c>
      <c r="E46" s="20" t="s">
        <v>506</v>
      </c>
      <c r="F46" s="20" t="s">
        <v>507</v>
      </c>
      <c r="G46" s="20" t="s">
        <v>508</v>
      </c>
      <c r="H46" s="20" t="s">
        <v>509</v>
      </c>
      <c r="I46" s="20" t="s">
        <v>510</v>
      </c>
      <c r="J46" s="20" t="s">
        <v>511</v>
      </c>
      <c r="K46" s="21" t="s">
        <v>4</v>
      </c>
      <c r="L46" s="21" t="s">
        <v>140</v>
      </c>
      <c r="M46" s="21" t="str">
        <f aca="false">IF(K46="P0",IF(OR(L46="L",L46="XL"),"GĐ2","GĐ1"),IF(K46="P1",IF(L46="S","GĐ2","GĐ3"),"GĐ4"))</f>
        <v>GĐ1</v>
      </c>
      <c r="N46" s="20" t="s">
        <v>512</v>
      </c>
      <c r="O46" s="20" t="s">
        <v>513</v>
      </c>
      <c r="P46" s="20"/>
      <c r="Q46" s="21" t="s">
        <v>88</v>
      </c>
      <c r="R46" s="20"/>
      <c r="S46" s="20"/>
    </row>
    <row r="47" customFormat="false" ht="57" hidden="false" customHeight="true" outlineLevel="0" collapsed="false">
      <c r="A47" s="19" t="s">
        <v>514</v>
      </c>
      <c r="B47" s="20" t="s">
        <v>11</v>
      </c>
      <c r="C47" s="20" t="s">
        <v>515</v>
      </c>
      <c r="D47" s="20" t="s">
        <v>35</v>
      </c>
      <c r="E47" s="20" t="s">
        <v>516</v>
      </c>
      <c r="F47" s="20" t="s">
        <v>517</v>
      </c>
      <c r="G47" s="20" t="s">
        <v>518</v>
      </c>
      <c r="H47" s="20" t="s">
        <v>519</v>
      </c>
      <c r="I47" s="20" t="s">
        <v>520</v>
      </c>
      <c r="J47" s="20" t="s">
        <v>521</v>
      </c>
      <c r="K47" s="21" t="s">
        <v>5</v>
      </c>
      <c r="L47" s="21" t="s">
        <v>140</v>
      </c>
      <c r="M47" s="21" t="str">
        <f aca="false">IF(K47="P0",IF(OR(L47="L",L47="XL"),"GĐ2","GĐ1"),IF(K47="P1",IF(L47="S","GĐ2","GĐ3"),"GĐ4"))</f>
        <v>GĐ2</v>
      </c>
      <c r="N47" s="20" t="s">
        <v>522</v>
      </c>
      <c r="O47" s="20" t="s">
        <v>523</v>
      </c>
      <c r="P47" s="20" t="s">
        <v>524</v>
      </c>
      <c r="Q47" s="21" t="s">
        <v>88</v>
      </c>
      <c r="R47" s="20"/>
      <c r="S47" s="20"/>
    </row>
    <row r="48" customFormat="false" ht="90.75" hidden="false" customHeight="true" outlineLevel="0" collapsed="false">
      <c r="A48" s="19" t="s">
        <v>525</v>
      </c>
      <c r="B48" s="20" t="s">
        <v>11</v>
      </c>
      <c r="C48" s="20" t="s">
        <v>526</v>
      </c>
      <c r="D48" s="20" t="s">
        <v>35</v>
      </c>
      <c r="E48" s="20" t="s">
        <v>527</v>
      </c>
      <c r="F48" s="20" t="s">
        <v>528</v>
      </c>
      <c r="G48" s="20" t="s">
        <v>529</v>
      </c>
      <c r="H48" s="20" t="s">
        <v>530</v>
      </c>
      <c r="I48" s="20" t="s">
        <v>531</v>
      </c>
      <c r="J48" s="20" t="s">
        <v>532</v>
      </c>
      <c r="K48" s="21" t="s">
        <v>4</v>
      </c>
      <c r="L48" s="21" t="s">
        <v>85</v>
      </c>
      <c r="M48" s="21" t="str">
        <f aca="false">IF(K48="P0",IF(OR(L48="L",L48="XL"),"GĐ2","GĐ1"),IF(K48="P1",IF(L48="S","GĐ2","GĐ3"),"GĐ4"))</f>
        <v>GĐ1</v>
      </c>
      <c r="N48" s="20" t="s">
        <v>533</v>
      </c>
      <c r="O48" s="20" t="s">
        <v>534</v>
      </c>
      <c r="P48" s="20"/>
      <c r="Q48" s="21" t="s">
        <v>88</v>
      </c>
      <c r="R48" s="20"/>
      <c r="S48" s="20"/>
    </row>
    <row r="49" customFormat="false" ht="68.25" hidden="false" customHeight="true" outlineLevel="0" collapsed="false">
      <c r="A49" s="19" t="s">
        <v>535</v>
      </c>
      <c r="B49" s="20" t="s">
        <v>11</v>
      </c>
      <c r="C49" s="20" t="s">
        <v>536</v>
      </c>
      <c r="D49" s="20" t="s">
        <v>35</v>
      </c>
      <c r="E49" s="20" t="s">
        <v>537</v>
      </c>
      <c r="F49" s="20" t="s">
        <v>538</v>
      </c>
      <c r="G49" s="20" t="s">
        <v>539</v>
      </c>
      <c r="H49" s="20" t="s">
        <v>540</v>
      </c>
      <c r="I49" s="20" t="s">
        <v>541</v>
      </c>
      <c r="J49" s="20" t="s">
        <v>542</v>
      </c>
      <c r="K49" s="21" t="s">
        <v>4</v>
      </c>
      <c r="L49" s="21" t="s">
        <v>140</v>
      </c>
      <c r="M49" s="21" t="str">
        <f aca="false">IF(K49="P0",IF(OR(L49="L",L49="XL"),"GĐ2","GĐ1"),IF(K49="P1",IF(L49="S","GĐ2","GĐ3"),"GĐ4"))</f>
        <v>GĐ1</v>
      </c>
      <c r="N49" s="20" t="s">
        <v>543</v>
      </c>
      <c r="O49" s="20" t="s">
        <v>544</v>
      </c>
      <c r="P49" s="20"/>
      <c r="Q49" s="21" t="s">
        <v>88</v>
      </c>
      <c r="R49" s="20"/>
      <c r="S49" s="20"/>
    </row>
    <row r="50" customFormat="false" ht="90.75" hidden="false" customHeight="true" outlineLevel="0" collapsed="false">
      <c r="A50" s="19" t="s">
        <v>545</v>
      </c>
      <c r="B50" s="20" t="s">
        <v>11</v>
      </c>
      <c r="C50" s="20" t="s">
        <v>546</v>
      </c>
      <c r="D50" s="20" t="s">
        <v>35</v>
      </c>
      <c r="E50" s="20" t="s">
        <v>547</v>
      </c>
      <c r="F50" s="20" t="s">
        <v>548</v>
      </c>
      <c r="G50" s="20" t="s">
        <v>549</v>
      </c>
      <c r="H50" s="20" t="s">
        <v>530</v>
      </c>
      <c r="I50" s="20" t="s">
        <v>550</v>
      </c>
      <c r="J50" s="20" t="s">
        <v>551</v>
      </c>
      <c r="K50" s="21" t="s">
        <v>5</v>
      </c>
      <c r="L50" s="21" t="s">
        <v>85</v>
      </c>
      <c r="M50" s="21" t="str">
        <f aca="false">IF(K50="P0",IF(OR(L50="L",L50="XL"),"GĐ2","GĐ1"),IF(K50="P1",IF(L50="S","GĐ2","GĐ3"),"GĐ4"))</f>
        <v>GĐ3</v>
      </c>
      <c r="N50" s="20" t="s">
        <v>552</v>
      </c>
      <c r="O50" s="20" t="s">
        <v>553</v>
      </c>
      <c r="P50" s="20"/>
      <c r="Q50" s="21" t="s">
        <v>88</v>
      </c>
      <c r="R50" s="20"/>
      <c r="S50" s="20"/>
    </row>
    <row r="51" customFormat="false" ht="68.25" hidden="false" customHeight="true" outlineLevel="0" collapsed="false">
      <c r="A51" s="19" t="s">
        <v>554</v>
      </c>
      <c r="B51" s="20" t="s">
        <v>11</v>
      </c>
      <c r="C51" s="20" t="s">
        <v>555</v>
      </c>
      <c r="D51" s="20" t="s">
        <v>35</v>
      </c>
      <c r="E51" s="20" t="s">
        <v>556</v>
      </c>
      <c r="F51" s="20" t="s">
        <v>557</v>
      </c>
      <c r="G51" s="20" t="s">
        <v>558</v>
      </c>
      <c r="H51" s="20" t="s">
        <v>540</v>
      </c>
      <c r="I51" s="20" t="s">
        <v>559</v>
      </c>
      <c r="J51" s="20" t="s">
        <v>560</v>
      </c>
      <c r="K51" s="21" t="s">
        <v>5</v>
      </c>
      <c r="L51" s="21" t="s">
        <v>140</v>
      </c>
      <c r="M51" s="21" t="str">
        <f aca="false">IF(K51="P0",IF(OR(L51="L",L51="XL"),"GĐ2","GĐ1"),IF(K51="P1",IF(L51="S","GĐ2","GĐ3"),"GĐ4"))</f>
        <v>GĐ2</v>
      </c>
      <c r="N51" s="20" t="s">
        <v>561</v>
      </c>
      <c r="O51" s="20" t="s">
        <v>562</v>
      </c>
      <c r="P51" s="20"/>
      <c r="Q51" s="21" t="s">
        <v>88</v>
      </c>
      <c r="R51" s="20"/>
      <c r="S51" s="20"/>
    </row>
    <row r="52" customFormat="false" ht="79.5" hidden="false" customHeight="true" outlineLevel="0" collapsed="false">
      <c r="A52" s="19" t="s">
        <v>563</v>
      </c>
      <c r="B52" s="20" t="s">
        <v>11</v>
      </c>
      <c r="C52" s="20" t="s">
        <v>564</v>
      </c>
      <c r="D52" s="20" t="s">
        <v>35</v>
      </c>
      <c r="E52" s="20" t="s">
        <v>565</v>
      </c>
      <c r="F52" s="20" t="s">
        <v>566</v>
      </c>
      <c r="G52" s="20" t="s">
        <v>567</v>
      </c>
      <c r="H52" s="20" t="s">
        <v>568</v>
      </c>
      <c r="I52" s="20" t="s">
        <v>569</v>
      </c>
      <c r="J52" s="20" t="s">
        <v>570</v>
      </c>
      <c r="K52" s="21" t="s">
        <v>4</v>
      </c>
      <c r="L52" s="21" t="s">
        <v>140</v>
      </c>
      <c r="M52" s="21" t="str">
        <f aca="false">IF(K52="P0",IF(OR(L52="L",L52="XL"),"GĐ2","GĐ1"),IF(K52="P1",IF(L52="S","GĐ2","GĐ3"),"GĐ4"))</f>
        <v>GĐ1</v>
      </c>
      <c r="N52" s="20" t="s">
        <v>571</v>
      </c>
      <c r="O52" s="20" t="s">
        <v>572</v>
      </c>
      <c r="P52" s="20" t="s">
        <v>573</v>
      </c>
      <c r="Q52" s="21" t="s">
        <v>88</v>
      </c>
      <c r="R52" s="20"/>
      <c r="S52" s="20"/>
    </row>
    <row r="53" customFormat="false" ht="90.75" hidden="false" customHeight="true" outlineLevel="0" collapsed="false">
      <c r="A53" s="19" t="s">
        <v>574</v>
      </c>
      <c r="B53" s="20" t="s">
        <v>11</v>
      </c>
      <c r="C53" s="20" t="s">
        <v>575</v>
      </c>
      <c r="D53" s="20" t="s">
        <v>34</v>
      </c>
      <c r="E53" s="20" t="s">
        <v>576</v>
      </c>
      <c r="F53" s="20" t="s">
        <v>577</v>
      </c>
      <c r="G53" s="20" t="s">
        <v>578</v>
      </c>
      <c r="H53" s="20" t="s">
        <v>296</v>
      </c>
      <c r="I53" s="20" t="s">
        <v>579</v>
      </c>
      <c r="J53" s="20" t="s">
        <v>580</v>
      </c>
      <c r="K53" s="21" t="s">
        <v>5</v>
      </c>
      <c r="L53" s="21" t="s">
        <v>85</v>
      </c>
      <c r="M53" s="21" t="str">
        <f aca="false">IF(K53="P0",IF(OR(L53="L",L53="XL"),"GĐ2","GĐ1"),IF(K53="P1",IF(L53="S","GĐ2","GĐ3"),"GĐ4"))</f>
        <v>GĐ3</v>
      </c>
      <c r="N53" s="20" t="s">
        <v>581</v>
      </c>
      <c r="O53" s="20" t="s">
        <v>582</v>
      </c>
      <c r="P53" s="20" t="s">
        <v>291</v>
      </c>
      <c r="Q53" s="21" t="s">
        <v>88</v>
      </c>
      <c r="R53" s="20"/>
      <c r="S53" s="20"/>
    </row>
    <row r="54" customFormat="false" ht="102" hidden="false" customHeight="true" outlineLevel="0" collapsed="false">
      <c r="A54" s="19" t="s">
        <v>583</v>
      </c>
      <c r="B54" s="20" t="s">
        <v>11</v>
      </c>
      <c r="C54" s="20" t="s">
        <v>584</v>
      </c>
      <c r="D54" s="20" t="s">
        <v>38</v>
      </c>
      <c r="E54" s="20" t="s">
        <v>585</v>
      </c>
      <c r="F54" s="20" t="s">
        <v>586</v>
      </c>
      <c r="G54" s="20" t="s">
        <v>587</v>
      </c>
      <c r="H54" s="20" t="s">
        <v>588</v>
      </c>
      <c r="I54" s="20" t="s">
        <v>589</v>
      </c>
      <c r="J54" s="20" t="s">
        <v>590</v>
      </c>
      <c r="K54" s="21" t="s">
        <v>5</v>
      </c>
      <c r="L54" s="21" t="s">
        <v>213</v>
      </c>
      <c r="M54" s="21" t="str">
        <f aca="false">IF(K54="P0",IF(OR(L54="L",L54="XL"),"GĐ2","GĐ1"),IF(K54="P1",IF(L54="S","GĐ2","GĐ3"),"GĐ4"))</f>
        <v>GĐ3</v>
      </c>
      <c r="N54" s="20" t="s">
        <v>591</v>
      </c>
      <c r="O54" s="20" t="s">
        <v>592</v>
      </c>
      <c r="P54" s="20" t="s">
        <v>593</v>
      </c>
      <c r="Q54" s="21" t="s">
        <v>88</v>
      </c>
      <c r="R54" s="20"/>
      <c r="S54" s="20"/>
    </row>
    <row r="55" customFormat="false" ht="90.75" hidden="false" customHeight="true" outlineLevel="0" collapsed="false">
      <c r="A55" s="19" t="s">
        <v>594</v>
      </c>
      <c r="B55" s="20" t="s">
        <v>11</v>
      </c>
      <c r="C55" s="20" t="s">
        <v>595</v>
      </c>
      <c r="D55" s="20" t="s">
        <v>35</v>
      </c>
      <c r="E55" s="20" t="s">
        <v>596</v>
      </c>
      <c r="F55" s="20" t="s">
        <v>597</v>
      </c>
      <c r="G55" s="20" t="s">
        <v>598</v>
      </c>
      <c r="H55" s="20" t="s">
        <v>599</v>
      </c>
      <c r="I55" s="20" t="s">
        <v>600</v>
      </c>
      <c r="J55" s="20" t="s">
        <v>601</v>
      </c>
      <c r="K55" s="21" t="s">
        <v>4</v>
      </c>
      <c r="L55" s="21" t="s">
        <v>85</v>
      </c>
      <c r="M55" s="21" t="str">
        <f aca="false">IF(K55="P0",IF(OR(L55="L",L55="XL"),"GĐ2","GĐ1"),IF(K55="P1",IF(L55="S","GĐ2","GĐ3"),"GĐ4"))</f>
        <v>GĐ1</v>
      </c>
      <c r="N55" s="20" t="s">
        <v>602</v>
      </c>
      <c r="O55" s="20" t="s">
        <v>603</v>
      </c>
      <c r="P55" s="20"/>
      <c r="Q55" s="21" t="s">
        <v>88</v>
      </c>
      <c r="R55" s="20"/>
      <c r="S55" s="20"/>
    </row>
    <row r="56" customFormat="false" ht="57" hidden="false" customHeight="true" outlineLevel="0" collapsed="false">
      <c r="A56" s="19" t="s">
        <v>604</v>
      </c>
      <c r="B56" s="20" t="s">
        <v>11</v>
      </c>
      <c r="C56" s="20" t="s">
        <v>605</v>
      </c>
      <c r="D56" s="20" t="s">
        <v>35</v>
      </c>
      <c r="E56" s="20" t="s">
        <v>606</v>
      </c>
      <c r="F56" s="20" t="s">
        <v>607</v>
      </c>
      <c r="G56" s="20" t="s">
        <v>608</v>
      </c>
      <c r="H56" s="20" t="s">
        <v>609</v>
      </c>
      <c r="I56" s="20" t="s">
        <v>610</v>
      </c>
      <c r="J56" s="20" t="s">
        <v>611</v>
      </c>
      <c r="K56" s="21" t="s">
        <v>6</v>
      </c>
      <c r="L56" s="21" t="s">
        <v>85</v>
      </c>
      <c r="M56" s="21" t="str">
        <f aca="false">IF(K56="P0",IF(OR(L56="L",L56="XL"),"GĐ2","GĐ1"),IF(K56="P1",IF(L56="S","GĐ2","GĐ3"),"GĐ4"))</f>
        <v>GĐ4</v>
      </c>
      <c r="N56" s="20" t="s">
        <v>612</v>
      </c>
      <c r="O56" s="20" t="s">
        <v>613</v>
      </c>
      <c r="P56" s="20"/>
      <c r="Q56" s="21" t="s">
        <v>88</v>
      </c>
      <c r="R56" s="20"/>
      <c r="S56" s="20"/>
    </row>
    <row r="57" customFormat="false" ht="79.5" hidden="false" customHeight="true" outlineLevel="0" collapsed="false">
      <c r="A57" s="19" t="s">
        <v>614</v>
      </c>
      <c r="B57" s="20" t="s">
        <v>11</v>
      </c>
      <c r="C57" s="20" t="s">
        <v>615</v>
      </c>
      <c r="D57" s="20" t="s">
        <v>36</v>
      </c>
      <c r="E57" s="20" t="s">
        <v>616</v>
      </c>
      <c r="F57" s="20" t="s">
        <v>617</v>
      </c>
      <c r="G57" s="20" t="s">
        <v>618</v>
      </c>
      <c r="H57" s="20" t="s">
        <v>619</v>
      </c>
      <c r="I57" s="20" t="s">
        <v>620</v>
      </c>
      <c r="J57" s="20" t="s">
        <v>621</v>
      </c>
      <c r="K57" s="21" t="s">
        <v>4</v>
      </c>
      <c r="L57" s="21" t="s">
        <v>140</v>
      </c>
      <c r="M57" s="21" t="str">
        <f aca="false">IF(K57="P0",IF(OR(L57="L",L57="XL"),"GĐ2","GĐ1"),IF(K57="P1",IF(L57="S","GĐ2","GĐ3"),"GĐ4"))</f>
        <v>GĐ1</v>
      </c>
      <c r="N57" s="20" t="s">
        <v>622</v>
      </c>
      <c r="O57" s="20" t="s">
        <v>623</v>
      </c>
      <c r="P57" s="20" t="s">
        <v>624</v>
      </c>
      <c r="Q57" s="21" t="s">
        <v>88</v>
      </c>
      <c r="R57" s="20"/>
      <c r="S57" s="20"/>
    </row>
    <row r="58" customFormat="false" ht="79.5" hidden="false" customHeight="true" outlineLevel="0" collapsed="false">
      <c r="A58" s="19" t="s">
        <v>625</v>
      </c>
      <c r="B58" s="20" t="s">
        <v>11</v>
      </c>
      <c r="C58" s="20" t="s">
        <v>626</v>
      </c>
      <c r="D58" s="20" t="s">
        <v>36</v>
      </c>
      <c r="E58" s="20" t="s">
        <v>627</v>
      </c>
      <c r="F58" s="20" t="s">
        <v>628</v>
      </c>
      <c r="G58" s="20" t="s">
        <v>629</v>
      </c>
      <c r="H58" s="20" t="s">
        <v>630</v>
      </c>
      <c r="I58" s="20" t="s">
        <v>631</v>
      </c>
      <c r="J58" s="20" t="s">
        <v>632</v>
      </c>
      <c r="K58" s="21" t="s">
        <v>4</v>
      </c>
      <c r="L58" s="21" t="s">
        <v>85</v>
      </c>
      <c r="M58" s="21" t="str">
        <f aca="false">IF(K58="P0",IF(OR(L58="L",L58="XL"),"GĐ2","GĐ1"),IF(K58="P1",IF(L58="S","GĐ2","GĐ3"),"GĐ4"))</f>
        <v>GĐ1</v>
      </c>
      <c r="N58" s="20" t="s">
        <v>633</v>
      </c>
      <c r="O58" s="20" t="s">
        <v>634</v>
      </c>
      <c r="P58" s="20" t="s">
        <v>624</v>
      </c>
      <c r="Q58" s="21" t="s">
        <v>88</v>
      </c>
      <c r="R58" s="20"/>
      <c r="S58" s="20"/>
    </row>
    <row r="59" customFormat="false" ht="90.75" hidden="false" customHeight="true" outlineLevel="0" collapsed="false">
      <c r="A59" s="19" t="s">
        <v>635</v>
      </c>
      <c r="B59" s="20" t="s">
        <v>11</v>
      </c>
      <c r="C59" s="20" t="s">
        <v>636</v>
      </c>
      <c r="D59" s="20" t="s">
        <v>36</v>
      </c>
      <c r="E59" s="20" t="s">
        <v>637</v>
      </c>
      <c r="F59" s="20" t="s">
        <v>638</v>
      </c>
      <c r="G59" s="20" t="s">
        <v>639</v>
      </c>
      <c r="H59" s="20" t="s">
        <v>640</v>
      </c>
      <c r="I59" s="20" t="s">
        <v>641</v>
      </c>
      <c r="J59" s="20" t="s">
        <v>642</v>
      </c>
      <c r="K59" s="21" t="s">
        <v>5</v>
      </c>
      <c r="L59" s="21" t="s">
        <v>213</v>
      </c>
      <c r="M59" s="21" t="str">
        <f aca="false">IF(K59="P0",IF(OR(L59="L",L59="XL"),"GĐ2","GĐ1"),IF(K59="P1",IF(L59="S","GĐ2","GĐ3"),"GĐ4"))</f>
        <v>GĐ3</v>
      </c>
      <c r="N59" s="20" t="s">
        <v>643</v>
      </c>
      <c r="O59" s="20" t="s">
        <v>644</v>
      </c>
      <c r="P59" s="20" t="s">
        <v>645</v>
      </c>
      <c r="Q59" s="21" t="s">
        <v>88</v>
      </c>
      <c r="R59" s="20"/>
      <c r="S59" s="20"/>
    </row>
    <row r="60" customFormat="false" ht="68.25" hidden="false" customHeight="true" outlineLevel="0" collapsed="false">
      <c r="A60" s="19" t="s">
        <v>646</v>
      </c>
      <c r="B60" s="20" t="s">
        <v>11</v>
      </c>
      <c r="C60" s="20" t="s">
        <v>647</v>
      </c>
      <c r="D60" s="20" t="s">
        <v>36</v>
      </c>
      <c r="E60" s="20" t="s">
        <v>648</v>
      </c>
      <c r="F60" s="20" t="s">
        <v>649</v>
      </c>
      <c r="G60" s="20" t="s">
        <v>650</v>
      </c>
      <c r="H60" s="20" t="s">
        <v>630</v>
      </c>
      <c r="I60" s="20" t="s">
        <v>651</v>
      </c>
      <c r="J60" s="20" t="s">
        <v>652</v>
      </c>
      <c r="K60" s="21" t="s">
        <v>5</v>
      </c>
      <c r="L60" s="21" t="s">
        <v>85</v>
      </c>
      <c r="M60" s="21" t="str">
        <f aca="false">IF(K60="P0",IF(OR(L60="L",L60="XL"),"GĐ2","GĐ1"),IF(K60="P1",IF(L60="S","GĐ2","GĐ3"),"GĐ4"))</f>
        <v>GĐ3</v>
      </c>
      <c r="N60" s="20" t="s">
        <v>653</v>
      </c>
      <c r="O60" s="20" t="s">
        <v>654</v>
      </c>
      <c r="P60" s="20"/>
      <c r="Q60" s="21" t="s">
        <v>88</v>
      </c>
      <c r="R60" s="20"/>
      <c r="S60" s="20"/>
    </row>
    <row r="61" customFormat="false" ht="68.25" hidden="false" customHeight="true" outlineLevel="0" collapsed="false">
      <c r="A61" s="19" t="s">
        <v>655</v>
      </c>
      <c r="B61" s="20" t="s">
        <v>11</v>
      </c>
      <c r="C61" s="20" t="s">
        <v>656</v>
      </c>
      <c r="D61" s="20" t="s">
        <v>36</v>
      </c>
      <c r="E61" s="20" t="s">
        <v>657</v>
      </c>
      <c r="F61" s="20" t="s">
        <v>658</v>
      </c>
      <c r="G61" s="20" t="s">
        <v>659</v>
      </c>
      <c r="H61" s="20" t="s">
        <v>609</v>
      </c>
      <c r="I61" s="20" t="s">
        <v>660</v>
      </c>
      <c r="J61" s="20" t="s">
        <v>661</v>
      </c>
      <c r="K61" s="21" t="s">
        <v>6</v>
      </c>
      <c r="L61" s="21" t="s">
        <v>140</v>
      </c>
      <c r="M61" s="21" t="str">
        <f aca="false">IF(K61="P0",IF(OR(L61="L",L61="XL"),"GĐ2","GĐ1"),IF(K61="P1",IF(L61="S","GĐ2","GĐ3"),"GĐ4"))</f>
        <v>GĐ4</v>
      </c>
      <c r="N61" s="20" t="s">
        <v>662</v>
      </c>
      <c r="O61" s="20" t="s">
        <v>663</v>
      </c>
      <c r="P61" s="20"/>
      <c r="Q61" s="21" t="s">
        <v>88</v>
      </c>
      <c r="R61" s="20"/>
      <c r="S61" s="20"/>
    </row>
    <row r="62" customFormat="false" ht="68.25" hidden="false" customHeight="true" outlineLevel="0" collapsed="false">
      <c r="A62" s="19" t="s">
        <v>664</v>
      </c>
      <c r="B62" s="20" t="s">
        <v>11</v>
      </c>
      <c r="C62" s="20" t="s">
        <v>665</v>
      </c>
      <c r="D62" s="20" t="s">
        <v>36</v>
      </c>
      <c r="E62" s="20" t="s">
        <v>666</v>
      </c>
      <c r="F62" s="20" t="s">
        <v>667</v>
      </c>
      <c r="G62" s="20" t="s">
        <v>668</v>
      </c>
      <c r="H62" s="20" t="s">
        <v>669</v>
      </c>
      <c r="I62" s="20" t="s">
        <v>670</v>
      </c>
      <c r="J62" s="20" t="s">
        <v>671</v>
      </c>
      <c r="K62" s="21" t="s">
        <v>6</v>
      </c>
      <c r="L62" s="21" t="s">
        <v>85</v>
      </c>
      <c r="M62" s="21" t="str">
        <f aca="false">IF(K62="P0",IF(OR(L62="L",L62="XL"),"GĐ2","GĐ1"),IF(K62="P1",IF(L62="S","GĐ2","GĐ3"),"GĐ4"))</f>
        <v>GĐ4</v>
      </c>
      <c r="N62" s="20" t="s">
        <v>672</v>
      </c>
      <c r="O62" s="20" t="s">
        <v>673</v>
      </c>
      <c r="P62" s="20"/>
      <c r="Q62" s="21" t="s">
        <v>88</v>
      </c>
      <c r="R62" s="20"/>
      <c r="S62" s="20" t="s">
        <v>674</v>
      </c>
    </row>
    <row r="63" customFormat="false" ht="90.75" hidden="false" customHeight="true" outlineLevel="0" collapsed="false">
      <c r="A63" s="19" t="s">
        <v>675</v>
      </c>
      <c r="B63" s="20" t="s">
        <v>11</v>
      </c>
      <c r="C63" s="20" t="s">
        <v>676</v>
      </c>
      <c r="D63" s="20" t="s">
        <v>36</v>
      </c>
      <c r="E63" s="20" t="s">
        <v>677</v>
      </c>
      <c r="F63" s="20" t="s">
        <v>678</v>
      </c>
      <c r="G63" s="20" t="s">
        <v>679</v>
      </c>
      <c r="H63" s="20" t="s">
        <v>619</v>
      </c>
      <c r="I63" s="20" t="s">
        <v>680</v>
      </c>
      <c r="J63" s="20" t="s">
        <v>681</v>
      </c>
      <c r="K63" s="21" t="s">
        <v>4</v>
      </c>
      <c r="L63" s="21" t="s">
        <v>85</v>
      </c>
      <c r="M63" s="21" t="str">
        <f aca="false">IF(K63="P0",IF(OR(L63="L",L63="XL"),"GĐ2","GĐ1"),IF(K63="P1",IF(L63="S","GĐ2","GĐ3"),"GĐ4"))</f>
        <v>GĐ1</v>
      </c>
      <c r="N63" s="20" t="s">
        <v>682</v>
      </c>
      <c r="O63" s="20" t="s">
        <v>683</v>
      </c>
      <c r="P63" s="20"/>
      <c r="Q63" s="21" t="s">
        <v>88</v>
      </c>
      <c r="R63" s="20"/>
      <c r="S63" s="20"/>
    </row>
    <row r="64" customFormat="false" ht="68.25" hidden="false" customHeight="true" outlineLevel="0" collapsed="false">
      <c r="A64" s="19" t="s">
        <v>684</v>
      </c>
      <c r="B64" s="20" t="s">
        <v>11</v>
      </c>
      <c r="C64" s="20" t="s">
        <v>685</v>
      </c>
      <c r="D64" s="20" t="s">
        <v>36</v>
      </c>
      <c r="E64" s="20" t="s">
        <v>686</v>
      </c>
      <c r="F64" s="20" t="s">
        <v>687</v>
      </c>
      <c r="G64" s="20" t="s">
        <v>688</v>
      </c>
      <c r="H64" s="20" t="s">
        <v>689</v>
      </c>
      <c r="I64" s="20" t="s">
        <v>690</v>
      </c>
      <c r="J64" s="20" t="s">
        <v>691</v>
      </c>
      <c r="K64" s="21" t="s">
        <v>6</v>
      </c>
      <c r="L64" s="21" t="s">
        <v>85</v>
      </c>
      <c r="M64" s="21" t="str">
        <f aca="false">IF(K64="P0",IF(OR(L64="L",L64="XL"),"GĐ2","GĐ1"),IF(K64="P1",IF(L64="S","GĐ2","GĐ3"),"GĐ4"))</f>
        <v>GĐ4</v>
      </c>
      <c r="N64" s="20" t="s">
        <v>692</v>
      </c>
      <c r="O64" s="20" t="s">
        <v>693</v>
      </c>
      <c r="P64" s="20"/>
      <c r="Q64" s="21" t="s">
        <v>88</v>
      </c>
      <c r="R64" s="20"/>
      <c r="S64" s="20"/>
    </row>
    <row r="65" customFormat="false" ht="68.25" hidden="false" customHeight="true" outlineLevel="0" collapsed="false">
      <c r="A65" s="19" t="s">
        <v>694</v>
      </c>
      <c r="B65" s="20" t="s">
        <v>11</v>
      </c>
      <c r="C65" s="20" t="s">
        <v>695</v>
      </c>
      <c r="D65" s="20" t="s">
        <v>30</v>
      </c>
      <c r="E65" s="20" t="s">
        <v>696</v>
      </c>
      <c r="F65" s="20" t="s">
        <v>697</v>
      </c>
      <c r="G65" s="20" t="s">
        <v>698</v>
      </c>
      <c r="H65" s="20" t="s">
        <v>368</v>
      </c>
      <c r="I65" s="20" t="s">
        <v>699</v>
      </c>
      <c r="J65" s="20" t="s">
        <v>700</v>
      </c>
      <c r="K65" s="21" t="s">
        <v>5</v>
      </c>
      <c r="L65" s="21" t="s">
        <v>85</v>
      </c>
      <c r="M65" s="21" t="str">
        <f aca="false">IF(K65="P0",IF(OR(L65="L",L65="XL"),"GĐ2","GĐ1"),IF(K65="P1",IF(L65="S","GĐ2","GĐ3"),"GĐ4"))</f>
        <v>GĐ3</v>
      </c>
      <c r="N65" s="20" t="s">
        <v>701</v>
      </c>
      <c r="O65" s="20" t="s">
        <v>702</v>
      </c>
      <c r="P65" s="20"/>
      <c r="Q65" s="21" t="s">
        <v>88</v>
      </c>
      <c r="R65" s="20"/>
      <c r="S65" s="20"/>
    </row>
    <row r="66" customFormat="false" ht="68.25" hidden="false" customHeight="true" outlineLevel="0" collapsed="false">
      <c r="A66" s="19" t="s">
        <v>703</v>
      </c>
      <c r="B66" s="20" t="s">
        <v>11</v>
      </c>
      <c r="C66" s="20" t="s">
        <v>704</v>
      </c>
      <c r="D66" s="20" t="s">
        <v>31</v>
      </c>
      <c r="E66" s="20" t="s">
        <v>705</v>
      </c>
      <c r="F66" s="20" t="s">
        <v>706</v>
      </c>
      <c r="G66" s="20" t="s">
        <v>707</v>
      </c>
      <c r="H66" s="20" t="s">
        <v>708</v>
      </c>
      <c r="I66" s="20" t="s">
        <v>709</v>
      </c>
      <c r="J66" s="20" t="s">
        <v>710</v>
      </c>
      <c r="K66" s="21" t="s">
        <v>6</v>
      </c>
      <c r="L66" s="21" t="s">
        <v>85</v>
      </c>
      <c r="M66" s="21" t="str">
        <f aca="false">IF(K66="P0",IF(OR(L66="L",L66="XL"),"GĐ2","GĐ1"),IF(K66="P1",IF(L66="S","GĐ2","GĐ3"),"GĐ4"))</f>
        <v>GĐ4</v>
      </c>
      <c r="N66" s="20" t="s">
        <v>711</v>
      </c>
      <c r="O66" s="20" t="s">
        <v>712</v>
      </c>
      <c r="P66" s="20" t="s">
        <v>713</v>
      </c>
      <c r="Q66" s="21" t="s">
        <v>88</v>
      </c>
      <c r="R66" s="20"/>
      <c r="S66" s="20"/>
    </row>
    <row r="67" customFormat="false" ht="68.25" hidden="false" customHeight="true" outlineLevel="0" collapsed="false">
      <c r="A67" s="19" t="s">
        <v>714</v>
      </c>
      <c r="B67" s="20" t="s">
        <v>11</v>
      </c>
      <c r="C67" s="20" t="s">
        <v>715</v>
      </c>
      <c r="D67" s="20" t="s">
        <v>35</v>
      </c>
      <c r="E67" s="20" t="s">
        <v>716</v>
      </c>
      <c r="F67" s="20" t="s">
        <v>717</v>
      </c>
      <c r="G67" s="20" t="s">
        <v>718</v>
      </c>
      <c r="H67" s="20" t="s">
        <v>719</v>
      </c>
      <c r="I67" s="20" t="s">
        <v>720</v>
      </c>
      <c r="J67" s="20" t="s">
        <v>721</v>
      </c>
      <c r="K67" s="21" t="s">
        <v>7</v>
      </c>
      <c r="L67" s="21" t="s">
        <v>140</v>
      </c>
      <c r="M67" s="21" t="str">
        <f aca="false">IF(K67="P0",IF(OR(L67="L",L67="XL"),"GĐ2","GĐ1"),IF(K67="P1",IF(L67="S","GĐ2","GĐ3"),"GĐ4"))</f>
        <v>GĐ4</v>
      </c>
      <c r="N67" s="20" t="s">
        <v>722</v>
      </c>
      <c r="O67" s="20" t="s">
        <v>723</v>
      </c>
      <c r="P67" s="20"/>
      <c r="Q67" s="21" t="s">
        <v>88</v>
      </c>
      <c r="R67" s="20"/>
      <c r="S67" s="20" t="s">
        <v>724</v>
      </c>
    </row>
    <row r="68" customFormat="false" ht="68.25" hidden="false" customHeight="true" outlineLevel="0" collapsed="false">
      <c r="A68" s="19" t="s">
        <v>725</v>
      </c>
      <c r="B68" s="20" t="s">
        <v>12</v>
      </c>
      <c r="C68" s="20" t="s">
        <v>726</v>
      </c>
      <c r="D68" s="20" t="s">
        <v>37</v>
      </c>
      <c r="E68" s="20" t="s">
        <v>727</v>
      </c>
      <c r="F68" s="20" t="s">
        <v>728</v>
      </c>
      <c r="G68" s="20" t="s">
        <v>729</v>
      </c>
      <c r="H68" s="20" t="s">
        <v>509</v>
      </c>
      <c r="I68" s="20" t="s">
        <v>730</v>
      </c>
      <c r="J68" s="20" t="s">
        <v>731</v>
      </c>
      <c r="K68" s="21" t="s">
        <v>4</v>
      </c>
      <c r="L68" s="21" t="s">
        <v>85</v>
      </c>
      <c r="M68" s="21" t="str">
        <f aca="false">IF(K68="P0",IF(OR(L68="L",L68="XL"),"GĐ2","GĐ1"),IF(K68="P1",IF(L68="S","GĐ2","GĐ3"),"GĐ4"))</f>
        <v>GĐ1</v>
      </c>
      <c r="N68" s="20" t="s">
        <v>732</v>
      </c>
      <c r="O68" s="20" t="s">
        <v>733</v>
      </c>
      <c r="P68" s="20"/>
      <c r="Q68" s="21" t="s">
        <v>88</v>
      </c>
      <c r="R68" s="20"/>
      <c r="S68" s="20"/>
    </row>
    <row r="69" customFormat="false" ht="79.5" hidden="false" customHeight="true" outlineLevel="0" collapsed="false">
      <c r="A69" s="19" t="s">
        <v>734</v>
      </c>
      <c r="B69" s="20" t="s">
        <v>12</v>
      </c>
      <c r="C69" s="20" t="s">
        <v>735</v>
      </c>
      <c r="D69" s="20" t="s">
        <v>37</v>
      </c>
      <c r="E69" s="20" t="s">
        <v>736</v>
      </c>
      <c r="F69" s="20" t="s">
        <v>737</v>
      </c>
      <c r="G69" s="20" t="s">
        <v>738</v>
      </c>
      <c r="H69" s="20" t="s">
        <v>739</v>
      </c>
      <c r="I69" s="20" t="s">
        <v>740</v>
      </c>
      <c r="J69" s="20" t="s">
        <v>741</v>
      </c>
      <c r="K69" s="21" t="s">
        <v>4</v>
      </c>
      <c r="L69" s="21" t="s">
        <v>85</v>
      </c>
      <c r="M69" s="21" t="str">
        <f aca="false">IF(K69="P0",IF(OR(L69="L",L69="XL"),"GĐ2","GĐ1"),IF(K69="P1",IF(L69="S","GĐ2","GĐ3"),"GĐ4"))</f>
        <v>GĐ1</v>
      </c>
      <c r="N69" s="20" t="s">
        <v>742</v>
      </c>
      <c r="O69" s="20" t="s">
        <v>743</v>
      </c>
      <c r="P69" s="20" t="s">
        <v>110</v>
      </c>
      <c r="Q69" s="21" t="s">
        <v>88</v>
      </c>
      <c r="R69" s="20"/>
      <c r="S69" s="20"/>
    </row>
    <row r="70" customFormat="false" ht="90.75" hidden="false" customHeight="true" outlineLevel="0" collapsed="false">
      <c r="A70" s="19" t="s">
        <v>744</v>
      </c>
      <c r="B70" s="20" t="s">
        <v>12</v>
      </c>
      <c r="C70" s="20" t="s">
        <v>745</v>
      </c>
      <c r="D70" s="20" t="s">
        <v>37</v>
      </c>
      <c r="E70" s="20" t="s">
        <v>746</v>
      </c>
      <c r="F70" s="20" t="s">
        <v>747</v>
      </c>
      <c r="G70" s="20" t="s">
        <v>748</v>
      </c>
      <c r="H70" s="20" t="s">
        <v>398</v>
      </c>
      <c r="I70" s="20" t="s">
        <v>749</v>
      </c>
      <c r="J70" s="20" t="s">
        <v>750</v>
      </c>
      <c r="K70" s="21" t="s">
        <v>5</v>
      </c>
      <c r="L70" s="21" t="s">
        <v>213</v>
      </c>
      <c r="M70" s="21" t="str">
        <f aca="false">IF(K70="P0",IF(OR(L70="L",L70="XL"),"GĐ2","GĐ1"),IF(K70="P1",IF(L70="S","GĐ2","GĐ3"),"GĐ4"))</f>
        <v>GĐ3</v>
      </c>
      <c r="N70" s="20" t="s">
        <v>751</v>
      </c>
      <c r="O70" s="20" t="s">
        <v>752</v>
      </c>
      <c r="P70" s="20"/>
      <c r="Q70" s="21" t="s">
        <v>88</v>
      </c>
      <c r="R70" s="20"/>
      <c r="S70" s="20"/>
    </row>
    <row r="71" customFormat="false" ht="68.25" hidden="false" customHeight="true" outlineLevel="0" collapsed="false">
      <c r="A71" s="19" t="s">
        <v>753</v>
      </c>
      <c r="B71" s="20" t="s">
        <v>12</v>
      </c>
      <c r="C71" s="20" t="s">
        <v>754</v>
      </c>
      <c r="D71" s="20" t="s">
        <v>37</v>
      </c>
      <c r="E71" s="20" t="s">
        <v>755</v>
      </c>
      <c r="F71" s="20" t="s">
        <v>756</v>
      </c>
      <c r="G71" s="20" t="s">
        <v>757</v>
      </c>
      <c r="H71" s="20" t="s">
        <v>758</v>
      </c>
      <c r="I71" s="20" t="s">
        <v>759</v>
      </c>
      <c r="J71" s="20" t="s">
        <v>760</v>
      </c>
      <c r="K71" s="21" t="s">
        <v>5</v>
      </c>
      <c r="L71" s="21" t="s">
        <v>85</v>
      </c>
      <c r="M71" s="21" t="str">
        <f aca="false">IF(K71="P0",IF(OR(L71="L",L71="XL"),"GĐ2","GĐ1"),IF(K71="P1",IF(L71="S","GĐ2","GĐ3"),"GĐ4"))</f>
        <v>GĐ3</v>
      </c>
      <c r="N71" s="20" t="s">
        <v>761</v>
      </c>
      <c r="O71" s="20" t="s">
        <v>762</v>
      </c>
      <c r="P71" s="20"/>
      <c r="Q71" s="21" t="s">
        <v>88</v>
      </c>
      <c r="R71" s="20"/>
      <c r="S71" s="20" t="s">
        <v>131</v>
      </c>
    </row>
    <row r="72" customFormat="false" ht="68.25" hidden="false" customHeight="true" outlineLevel="0" collapsed="false">
      <c r="A72" s="19" t="s">
        <v>763</v>
      </c>
      <c r="B72" s="20" t="s">
        <v>12</v>
      </c>
      <c r="C72" s="20" t="s">
        <v>764</v>
      </c>
      <c r="D72" s="20" t="s">
        <v>37</v>
      </c>
      <c r="E72" s="20" t="s">
        <v>765</v>
      </c>
      <c r="F72" s="20" t="s">
        <v>766</v>
      </c>
      <c r="G72" s="20" t="s">
        <v>767</v>
      </c>
      <c r="H72" s="20" t="s">
        <v>768</v>
      </c>
      <c r="I72" s="20" t="s">
        <v>769</v>
      </c>
      <c r="J72" s="20" t="s">
        <v>770</v>
      </c>
      <c r="K72" s="21" t="s">
        <v>5</v>
      </c>
      <c r="L72" s="21" t="s">
        <v>140</v>
      </c>
      <c r="M72" s="21" t="str">
        <f aca="false">IF(K72="P0",IF(OR(L72="L",L72="XL"),"GĐ2","GĐ1"),IF(K72="P1",IF(L72="S","GĐ2","GĐ3"),"GĐ4"))</f>
        <v>GĐ2</v>
      </c>
      <c r="N72" s="20" t="s">
        <v>771</v>
      </c>
      <c r="O72" s="20" t="s">
        <v>772</v>
      </c>
      <c r="P72" s="20"/>
      <c r="Q72" s="21" t="s">
        <v>88</v>
      </c>
      <c r="R72" s="20"/>
      <c r="S72" s="20" t="s">
        <v>131</v>
      </c>
    </row>
    <row r="73" customFormat="false" ht="90.75" hidden="false" customHeight="true" outlineLevel="0" collapsed="false">
      <c r="A73" s="19" t="s">
        <v>773</v>
      </c>
      <c r="B73" s="20" t="s">
        <v>12</v>
      </c>
      <c r="C73" s="20" t="s">
        <v>774</v>
      </c>
      <c r="D73" s="20" t="s">
        <v>37</v>
      </c>
      <c r="E73" s="20" t="s">
        <v>775</v>
      </c>
      <c r="F73" s="20" t="s">
        <v>776</v>
      </c>
      <c r="G73" s="20" t="s">
        <v>777</v>
      </c>
      <c r="H73" s="20" t="s">
        <v>530</v>
      </c>
      <c r="I73" s="20" t="s">
        <v>778</v>
      </c>
      <c r="J73" s="20" t="s">
        <v>779</v>
      </c>
      <c r="K73" s="21" t="s">
        <v>4</v>
      </c>
      <c r="L73" s="21" t="s">
        <v>85</v>
      </c>
      <c r="M73" s="21" t="str">
        <f aca="false">IF(K73="P0",IF(OR(L73="L",L73="XL"),"GĐ2","GĐ1"),IF(K73="P1",IF(L73="S","GĐ2","GĐ3"),"GĐ4"))</f>
        <v>GĐ1</v>
      </c>
      <c r="N73" s="20" t="s">
        <v>780</v>
      </c>
      <c r="O73" s="20" t="s">
        <v>781</v>
      </c>
      <c r="P73" s="20"/>
      <c r="Q73" s="21" t="s">
        <v>88</v>
      </c>
      <c r="R73" s="20"/>
      <c r="S73" s="20"/>
    </row>
    <row r="74" customFormat="false" ht="68.25" hidden="false" customHeight="true" outlineLevel="0" collapsed="false">
      <c r="A74" s="19" t="s">
        <v>782</v>
      </c>
      <c r="B74" s="20" t="s">
        <v>12</v>
      </c>
      <c r="C74" s="20" t="s">
        <v>783</v>
      </c>
      <c r="D74" s="20" t="s">
        <v>29</v>
      </c>
      <c r="E74" s="20" t="s">
        <v>784</v>
      </c>
      <c r="F74" s="20" t="s">
        <v>785</v>
      </c>
      <c r="G74" s="20" t="s">
        <v>786</v>
      </c>
      <c r="H74" s="20" t="s">
        <v>787</v>
      </c>
      <c r="I74" s="20" t="s">
        <v>788</v>
      </c>
      <c r="J74" s="20" t="s">
        <v>789</v>
      </c>
      <c r="K74" s="21" t="s">
        <v>4</v>
      </c>
      <c r="L74" s="21" t="s">
        <v>85</v>
      </c>
      <c r="M74" s="21" t="str">
        <f aca="false">IF(K74="P0",IF(OR(L74="L",L74="XL"),"GĐ2","GĐ1"),IF(K74="P1",IF(L74="S","GĐ2","GĐ3"),"GĐ4"))</f>
        <v>GĐ1</v>
      </c>
      <c r="N74" s="20" t="s">
        <v>790</v>
      </c>
      <c r="O74" s="20" t="s">
        <v>791</v>
      </c>
      <c r="P74" s="20" t="s">
        <v>792</v>
      </c>
      <c r="Q74" s="21" t="s">
        <v>88</v>
      </c>
      <c r="R74" s="20"/>
      <c r="S74" s="20"/>
    </row>
    <row r="75" customFormat="false" ht="79.5" hidden="false" customHeight="true" outlineLevel="0" collapsed="false">
      <c r="A75" s="19" t="s">
        <v>793</v>
      </c>
      <c r="B75" s="20" t="s">
        <v>12</v>
      </c>
      <c r="C75" s="20" t="s">
        <v>794</v>
      </c>
      <c r="D75" s="20" t="s">
        <v>29</v>
      </c>
      <c r="E75" s="20" t="s">
        <v>795</v>
      </c>
      <c r="F75" s="20" t="s">
        <v>796</v>
      </c>
      <c r="G75" s="20" t="s">
        <v>797</v>
      </c>
      <c r="H75" s="20" t="s">
        <v>798</v>
      </c>
      <c r="I75" s="20" t="s">
        <v>799</v>
      </c>
      <c r="J75" s="20" t="s">
        <v>800</v>
      </c>
      <c r="K75" s="21" t="s">
        <v>5</v>
      </c>
      <c r="L75" s="21" t="s">
        <v>85</v>
      </c>
      <c r="M75" s="21" t="str">
        <f aca="false">IF(K75="P0",IF(OR(L75="L",L75="XL"),"GĐ2","GĐ1"),IF(K75="P1",IF(L75="S","GĐ2","GĐ3"),"GĐ4"))</f>
        <v>GĐ3</v>
      </c>
      <c r="N75" s="20" t="s">
        <v>801</v>
      </c>
      <c r="O75" s="20" t="s">
        <v>802</v>
      </c>
      <c r="P75" s="20" t="s">
        <v>803</v>
      </c>
      <c r="Q75" s="21" t="s">
        <v>88</v>
      </c>
      <c r="R75" s="20"/>
      <c r="S75" s="20"/>
    </row>
    <row r="76" customFormat="false" ht="79.5" hidden="false" customHeight="true" outlineLevel="0" collapsed="false">
      <c r="A76" s="19" t="s">
        <v>804</v>
      </c>
      <c r="B76" s="20" t="s">
        <v>12</v>
      </c>
      <c r="C76" s="20" t="s">
        <v>805</v>
      </c>
      <c r="D76" s="20" t="s">
        <v>29</v>
      </c>
      <c r="E76" s="20" t="s">
        <v>806</v>
      </c>
      <c r="F76" s="20" t="s">
        <v>807</v>
      </c>
      <c r="G76" s="20" t="s">
        <v>808</v>
      </c>
      <c r="H76" s="20" t="s">
        <v>768</v>
      </c>
      <c r="I76" s="20" t="s">
        <v>809</v>
      </c>
      <c r="J76" s="20" t="s">
        <v>810</v>
      </c>
      <c r="K76" s="21" t="s">
        <v>4</v>
      </c>
      <c r="L76" s="21" t="s">
        <v>140</v>
      </c>
      <c r="M76" s="21" t="str">
        <f aca="false">IF(K76="P0",IF(OR(L76="L",L76="XL"),"GĐ2","GĐ1"),IF(K76="P1",IF(L76="S","GĐ2","GĐ3"),"GĐ4"))</f>
        <v>GĐ1</v>
      </c>
      <c r="N76" s="20" t="s">
        <v>811</v>
      </c>
      <c r="O76" s="20" t="s">
        <v>812</v>
      </c>
      <c r="P76" s="20"/>
      <c r="Q76" s="21" t="s">
        <v>88</v>
      </c>
      <c r="R76" s="20"/>
      <c r="S76" s="20"/>
    </row>
    <row r="77" customFormat="false" ht="57" hidden="false" customHeight="true" outlineLevel="0" collapsed="false">
      <c r="A77" s="19" t="s">
        <v>238</v>
      </c>
      <c r="B77" s="20" t="s">
        <v>12</v>
      </c>
      <c r="C77" s="20" t="s">
        <v>813</v>
      </c>
      <c r="D77" s="20" t="s">
        <v>29</v>
      </c>
      <c r="E77" s="20" t="s">
        <v>814</v>
      </c>
      <c r="F77" s="20" t="s">
        <v>815</v>
      </c>
      <c r="G77" s="20" t="s">
        <v>816</v>
      </c>
      <c r="H77" s="20" t="s">
        <v>669</v>
      </c>
      <c r="I77" s="20" t="s">
        <v>817</v>
      </c>
      <c r="J77" s="20" t="s">
        <v>818</v>
      </c>
      <c r="K77" s="21" t="s">
        <v>5</v>
      </c>
      <c r="L77" s="21" t="s">
        <v>85</v>
      </c>
      <c r="M77" s="21" t="str">
        <f aca="false">IF(K77="P0",IF(OR(L77="L",L77="XL"),"GĐ2","GĐ1"),IF(K77="P1",IF(L77="S","GĐ2","GĐ3"),"GĐ4"))</f>
        <v>GĐ3</v>
      </c>
      <c r="N77" s="20" t="s">
        <v>819</v>
      </c>
      <c r="O77" s="20" t="s">
        <v>820</v>
      </c>
      <c r="P77" s="20" t="s">
        <v>228</v>
      </c>
      <c r="Q77" s="21" t="s">
        <v>88</v>
      </c>
      <c r="R77" s="20"/>
      <c r="S77" s="20"/>
    </row>
    <row r="78" customFormat="false" ht="79.5" hidden="false" customHeight="true" outlineLevel="0" collapsed="false">
      <c r="A78" s="19" t="s">
        <v>322</v>
      </c>
      <c r="B78" s="20" t="s">
        <v>12</v>
      </c>
      <c r="C78" s="20" t="s">
        <v>821</v>
      </c>
      <c r="D78" s="20" t="s">
        <v>37</v>
      </c>
      <c r="E78" s="20" t="s">
        <v>822</v>
      </c>
      <c r="F78" s="20" t="s">
        <v>823</v>
      </c>
      <c r="G78" s="20" t="s">
        <v>824</v>
      </c>
      <c r="H78" s="20" t="s">
        <v>825</v>
      </c>
      <c r="I78" s="20" t="s">
        <v>826</v>
      </c>
      <c r="J78" s="20" t="s">
        <v>827</v>
      </c>
      <c r="K78" s="21" t="s">
        <v>4</v>
      </c>
      <c r="L78" s="21" t="s">
        <v>85</v>
      </c>
      <c r="M78" s="21" t="str">
        <f aca="false">IF(K78="P0",IF(OR(L78="L",L78="XL"),"GĐ2","GĐ1"),IF(K78="P1",IF(L78="S","GĐ2","GĐ3"),"GĐ4"))</f>
        <v>GĐ1</v>
      </c>
      <c r="N78" s="20" t="s">
        <v>828</v>
      </c>
      <c r="O78" s="20" t="s">
        <v>829</v>
      </c>
      <c r="P78" s="20" t="s">
        <v>312</v>
      </c>
      <c r="Q78" s="21" t="s">
        <v>88</v>
      </c>
      <c r="R78" s="20"/>
      <c r="S78" s="20"/>
    </row>
    <row r="79" customFormat="false" ht="68.25" hidden="false" customHeight="true" outlineLevel="0" collapsed="false">
      <c r="A79" s="19" t="s">
        <v>830</v>
      </c>
      <c r="B79" s="20" t="s">
        <v>12</v>
      </c>
      <c r="C79" s="20" t="s">
        <v>831</v>
      </c>
      <c r="D79" s="20" t="s">
        <v>32</v>
      </c>
      <c r="E79" s="20" t="s">
        <v>832</v>
      </c>
      <c r="F79" s="20" t="s">
        <v>833</v>
      </c>
      <c r="G79" s="20" t="s">
        <v>834</v>
      </c>
      <c r="H79" s="20" t="s">
        <v>835</v>
      </c>
      <c r="I79" s="20" t="s">
        <v>836</v>
      </c>
      <c r="J79" s="20" t="s">
        <v>837</v>
      </c>
      <c r="K79" s="21" t="s">
        <v>5</v>
      </c>
      <c r="L79" s="21" t="s">
        <v>85</v>
      </c>
      <c r="M79" s="21" t="str">
        <f aca="false">IF(K79="P0",IF(OR(L79="L",L79="XL"),"GĐ2","GĐ1"),IF(K79="P1",IF(L79="S","GĐ2","GĐ3"),"GĐ4"))</f>
        <v>GĐ3</v>
      </c>
      <c r="N79" s="20" t="s">
        <v>838</v>
      </c>
      <c r="O79" s="20" t="s">
        <v>839</v>
      </c>
      <c r="P79" s="20"/>
      <c r="Q79" s="21" t="s">
        <v>88</v>
      </c>
      <c r="R79" s="20"/>
      <c r="S79" s="20"/>
    </row>
    <row r="80" customFormat="false" ht="90.75" hidden="false" customHeight="true" outlineLevel="0" collapsed="false">
      <c r="A80" s="19" t="s">
        <v>403</v>
      </c>
      <c r="B80" s="20" t="s">
        <v>12</v>
      </c>
      <c r="C80" s="20" t="s">
        <v>840</v>
      </c>
      <c r="D80" s="20" t="s">
        <v>34</v>
      </c>
      <c r="E80" s="20" t="s">
        <v>841</v>
      </c>
      <c r="F80" s="20" t="s">
        <v>842</v>
      </c>
      <c r="G80" s="20" t="s">
        <v>843</v>
      </c>
      <c r="H80" s="20" t="s">
        <v>768</v>
      </c>
      <c r="I80" s="20" t="s">
        <v>844</v>
      </c>
      <c r="J80" s="20" t="s">
        <v>845</v>
      </c>
      <c r="K80" s="21" t="s">
        <v>4</v>
      </c>
      <c r="L80" s="21" t="s">
        <v>85</v>
      </c>
      <c r="M80" s="21" t="str">
        <f aca="false">IF(K80="P0",IF(OR(L80="L",L80="XL"),"GĐ2","GĐ1"),IF(K80="P1",IF(L80="S","GĐ2","GĐ3"),"GĐ4"))</f>
        <v>GĐ1</v>
      </c>
      <c r="N80" s="20" t="s">
        <v>846</v>
      </c>
      <c r="O80" s="20" t="s">
        <v>847</v>
      </c>
      <c r="P80" s="20" t="s">
        <v>393</v>
      </c>
      <c r="Q80" s="21" t="s">
        <v>88</v>
      </c>
      <c r="R80" s="20"/>
      <c r="S80" s="20"/>
    </row>
    <row r="81" customFormat="false" ht="68.25" hidden="false" customHeight="true" outlineLevel="0" collapsed="false">
      <c r="A81" s="19" t="s">
        <v>848</v>
      </c>
      <c r="B81" s="20" t="s">
        <v>12</v>
      </c>
      <c r="C81" s="20" t="s">
        <v>849</v>
      </c>
      <c r="D81" s="20" t="s">
        <v>37</v>
      </c>
      <c r="E81" s="20" t="s">
        <v>850</v>
      </c>
      <c r="F81" s="20" t="s">
        <v>851</v>
      </c>
      <c r="G81" s="20" t="s">
        <v>852</v>
      </c>
      <c r="H81" s="20" t="s">
        <v>853</v>
      </c>
      <c r="I81" s="20" t="s">
        <v>854</v>
      </c>
      <c r="J81" s="20" t="s">
        <v>855</v>
      </c>
      <c r="K81" s="21" t="s">
        <v>5</v>
      </c>
      <c r="L81" s="21" t="s">
        <v>213</v>
      </c>
      <c r="M81" s="21" t="str">
        <f aca="false">IF(K81="P0",IF(OR(L81="L",L81="XL"),"GĐ2","GĐ1"),IF(K81="P1",IF(L81="S","GĐ2","GĐ3"),"GĐ4"))</f>
        <v>GĐ3</v>
      </c>
      <c r="N81" s="20" t="s">
        <v>856</v>
      </c>
      <c r="O81" s="20" t="s">
        <v>857</v>
      </c>
      <c r="P81" s="20"/>
      <c r="Q81" s="21" t="s">
        <v>88</v>
      </c>
      <c r="R81" s="20"/>
      <c r="S81" s="20"/>
    </row>
    <row r="82" customFormat="false" ht="57" hidden="false" customHeight="true" outlineLevel="0" collapsed="false">
      <c r="A82" s="19" t="s">
        <v>645</v>
      </c>
      <c r="B82" s="20" t="s">
        <v>12</v>
      </c>
      <c r="C82" s="20" t="s">
        <v>858</v>
      </c>
      <c r="D82" s="20" t="s">
        <v>37</v>
      </c>
      <c r="E82" s="20" t="s">
        <v>859</v>
      </c>
      <c r="F82" s="20" t="s">
        <v>860</v>
      </c>
      <c r="G82" s="20" t="s">
        <v>861</v>
      </c>
      <c r="H82" s="20" t="s">
        <v>758</v>
      </c>
      <c r="I82" s="20" t="s">
        <v>862</v>
      </c>
      <c r="J82" s="20" t="s">
        <v>863</v>
      </c>
      <c r="K82" s="21" t="s">
        <v>6</v>
      </c>
      <c r="L82" s="21" t="s">
        <v>85</v>
      </c>
      <c r="M82" s="21" t="str">
        <f aca="false">IF(K82="P0",IF(OR(L82="L",L82="XL"),"GĐ2","GĐ1"),IF(K82="P1",IF(L82="S","GĐ2","GĐ3"),"GĐ4"))</f>
        <v>GĐ4</v>
      </c>
      <c r="N82" s="20" t="s">
        <v>864</v>
      </c>
      <c r="O82" s="20" t="s">
        <v>865</v>
      </c>
      <c r="P82" s="20" t="s">
        <v>635</v>
      </c>
      <c r="Q82" s="21" t="s">
        <v>88</v>
      </c>
      <c r="R82" s="20"/>
      <c r="S82" s="20"/>
    </row>
    <row r="83" customFormat="false" ht="57" hidden="false" customHeight="true" outlineLevel="0" collapsed="false">
      <c r="A83" s="19" t="s">
        <v>624</v>
      </c>
      <c r="B83" s="20" t="s">
        <v>12</v>
      </c>
      <c r="C83" s="20" t="s">
        <v>866</v>
      </c>
      <c r="D83" s="20" t="s">
        <v>36</v>
      </c>
      <c r="E83" s="20" t="s">
        <v>867</v>
      </c>
      <c r="F83" s="20" t="s">
        <v>868</v>
      </c>
      <c r="G83" s="20" t="s">
        <v>869</v>
      </c>
      <c r="H83" s="20" t="s">
        <v>530</v>
      </c>
      <c r="I83" s="20" t="s">
        <v>870</v>
      </c>
      <c r="J83" s="20" t="s">
        <v>871</v>
      </c>
      <c r="K83" s="21" t="s">
        <v>5</v>
      </c>
      <c r="L83" s="21" t="s">
        <v>85</v>
      </c>
      <c r="M83" s="21" t="str">
        <f aca="false">IF(K83="P0",IF(OR(L83="L",L83="XL"),"GĐ2","GĐ1"),IF(K83="P1",IF(L83="S","GĐ2","GĐ3"),"GĐ4"))</f>
        <v>GĐ3</v>
      </c>
      <c r="N83" s="20" t="s">
        <v>872</v>
      </c>
      <c r="O83" s="20" t="s">
        <v>873</v>
      </c>
      <c r="P83" s="20" t="s">
        <v>874</v>
      </c>
      <c r="Q83" s="21" t="s">
        <v>88</v>
      </c>
      <c r="R83" s="20"/>
      <c r="S83" s="20"/>
    </row>
    <row r="84" customFormat="false" ht="79.5" hidden="false" customHeight="true" outlineLevel="0" collapsed="false">
      <c r="A84" s="19" t="s">
        <v>875</v>
      </c>
      <c r="B84" s="20" t="s">
        <v>12</v>
      </c>
      <c r="C84" s="20" t="s">
        <v>876</v>
      </c>
      <c r="D84" s="20" t="s">
        <v>37</v>
      </c>
      <c r="E84" s="20" t="s">
        <v>877</v>
      </c>
      <c r="F84" s="20" t="s">
        <v>878</v>
      </c>
      <c r="G84" s="20" t="s">
        <v>879</v>
      </c>
      <c r="H84" s="20" t="s">
        <v>880</v>
      </c>
      <c r="I84" s="20" t="s">
        <v>881</v>
      </c>
      <c r="J84" s="20" t="s">
        <v>882</v>
      </c>
      <c r="K84" s="21" t="s">
        <v>5</v>
      </c>
      <c r="L84" s="21" t="s">
        <v>140</v>
      </c>
      <c r="M84" s="21" t="str">
        <f aca="false">IF(K84="P0",IF(OR(L84="L",L84="XL"),"GĐ2","GĐ1"),IF(K84="P1",IF(L84="S","GĐ2","GĐ3"),"GĐ4"))</f>
        <v>GĐ2</v>
      </c>
      <c r="N84" s="20" t="s">
        <v>883</v>
      </c>
      <c r="O84" s="20" t="s">
        <v>884</v>
      </c>
      <c r="P84" s="20"/>
      <c r="Q84" s="21" t="s">
        <v>88</v>
      </c>
      <c r="R84" s="20"/>
      <c r="S84" s="20"/>
    </row>
    <row r="85" customFormat="false" ht="68.25" hidden="false" customHeight="true" outlineLevel="0" collapsed="false">
      <c r="A85" s="19" t="s">
        <v>885</v>
      </c>
      <c r="B85" s="20" t="s">
        <v>12</v>
      </c>
      <c r="C85" s="20" t="s">
        <v>886</v>
      </c>
      <c r="D85" s="20" t="s">
        <v>27</v>
      </c>
      <c r="E85" s="20" t="s">
        <v>887</v>
      </c>
      <c r="F85" s="20" t="s">
        <v>888</v>
      </c>
      <c r="G85" s="20" t="s">
        <v>889</v>
      </c>
      <c r="H85" s="20" t="s">
        <v>890</v>
      </c>
      <c r="I85" s="20" t="s">
        <v>891</v>
      </c>
      <c r="J85" s="20" t="s">
        <v>892</v>
      </c>
      <c r="K85" s="21" t="s">
        <v>5</v>
      </c>
      <c r="L85" s="21" t="s">
        <v>140</v>
      </c>
      <c r="M85" s="21" t="str">
        <f aca="false">IF(K85="P0",IF(OR(L85="L",L85="XL"),"GĐ2","GĐ1"),IF(K85="P1",IF(L85="S","GĐ2","GĐ3"),"GĐ4"))</f>
        <v>GĐ2</v>
      </c>
      <c r="N85" s="20" t="s">
        <v>893</v>
      </c>
      <c r="O85" s="20" t="s">
        <v>894</v>
      </c>
      <c r="P85" s="20" t="s">
        <v>89</v>
      </c>
      <c r="Q85" s="21" t="s">
        <v>88</v>
      </c>
      <c r="R85" s="20"/>
      <c r="S85" s="20"/>
    </row>
    <row r="86" customFormat="false" ht="68.25" hidden="false" customHeight="true" outlineLevel="0" collapsed="false">
      <c r="A86" s="19" t="s">
        <v>895</v>
      </c>
      <c r="B86" s="20" t="s">
        <v>12</v>
      </c>
      <c r="C86" s="20" t="s">
        <v>896</v>
      </c>
      <c r="D86" s="20" t="s">
        <v>37</v>
      </c>
      <c r="E86" s="20" t="s">
        <v>897</v>
      </c>
      <c r="F86" s="20" t="s">
        <v>898</v>
      </c>
      <c r="G86" s="20" t="s">
        <v>899</v>
      </c>
      <c r="H86" s="20" t="s">
        <v>900</v>
      </c>
      <c r="I86" s="20" t="s">
        <v>901</v>
      </c>
      <c r="J86" s="20" t="s">
        <v>902</v>
      </c>
      <c r="K86" s="21" t="s">
        <v>6</v>
      </c>
      <c r="L86" s="21" t="s">
        <v>140</v>
      </c>
      <c r="M86" s="21" t="str">
        <f aca="false">IF(K86="P0",IF(OR(L86="L",L86="XL"),"GĐ2","GĐ1"),IF(K86="P1",IF(L86="S","GĐ2","GĐ3"),"GĐ4"))</f>
        <v>GĐ4</v>
      </c>
      <c r="N86" s="20" t="s">
        <v>903</v>
      </c>
      <c r="O86" s="20" t="s">
        <v>904</v>
      </c>
      <c r="P86" s="20"/>
      <c r="Q86" s="21" t="s">
        <v>88</v>
      </c>
      <c r="R86" s="20"/>
      <c r="S86" s="20" t="s">
        <v>131</v>
      </c>
    </row>
    <row r="87" customFormat="false" ht="79.5" hidden="false" customHeight="true" outlineLevel="0" collapsed="false">
      <c r="A87" s="19" t="s">
        <v>905</v>
      </c>
      <c r="B87" s="20" t="s">
        <v>12</v>
      </c>
      <c r="C87" s="20" t="s">
        <v>906</v>
      </c>
      <c r="D87" s="20" t="s">
        <v>40</v>
      </c>
      <c r="E87" s="20" t="s">
        <v>907</v>
      </c>
      <c r="F87" s="20" t="s">
        <v>908</v>
      </c>
      <c r="G87" s="20" t="s">
        <v>909</v>
      </c>
      <c r="H87" s="20" t="s">
        <v>910</v>
      </c>
      <c r="I87" s="20" t="s">
        <v>911</v>
      </c>
      <c r="J87" s="20" t="s">
        <v>912</v>
      </c>
      <c r="K87" s="21" t="s">
        <v>5</v>
      </c>
      <c r="L87" s="21" t="s">
        <v>85</v>
      </c>
      <c r="M87" s="21" t="str">
        <f aca="false">IF(K87="P0",IF(OR(L87="L",L87="XL"),"GĐ2","GĐ1"),IF(K87="P1",IF(L87="S","GĐ2","GĐ3"),"GĐ4"))</f>
        <v>GĐ3</v>
      </c>
      <c r="N87" s="20" t="s">
        <v>913</v>
      </c>
      <c r="O87" s="20" t="s">
        <v>914</v>
      </c>
      <c r="P87" s="20" t="s">
        <v>915</v>
      </c>
      <c r="Q87" s="21" t="s">
        <v>88</v>
      </c>
      <c r="R87" s="20"/>
      <c r="S87" s="20"/>
    </row>
    <row r="88" customFormat="false" ht="102" hidden="false" customHeight="true" outlineLevel="0" collapsed="false">
      <c r="A88" s="19" t="s">
        <v>916</v>
      </c>
      <c r="B88" s="20" t="s">
        <v>12</v>
      </c>
      <c r="C88" s="20" t="s">
        <v>917</v>
      </c>
      <c r="D88" s="20" t="s">
        <v>40</v>
      </c>
      <c r="E88" s="20" t="s">
        <v>918</v>
      </c>
      <c r="F88" s="20" t="s">
        <v>919</v>
      </c>
      <c r="G88" s="20" t="s">
        <v>920</v>
      </c>
      <c r="H88" s="20" t="s">
        <v>921</v>
      </c>
      <c r="I88" s="20" t="s">
        <v>922</v>
      </c>
      <c r="J88" s="20" t="s">
        <v>923</v>
      </c>
      <c r="K88" s="21" t="s">
        <v>5</v>
      </c>
      <c r="L88" s="21" t="s">
        <v>85</v>
      </c>
      <c r="M88" s="21" t="str">
        <f aca="false">IF(K88="P0",IF(OR(L88="L",L88="XL"),"GĐ2","GĐ1"),IF(K88="P1",IF(L88="S","GĐ2","GĐ3"),"GĐ4"))</f>
        <v>GĐ3</v>
      </c>
      <c r="N88" s="20" t="s">
        <v>924</v>
      </c>
      <c r="O88" s="20" t="s">
        <v>925</v>
      </c>
      <c r="P88" s="20" t="s">
        <v>280</v>
      </c>
      <c r="Q88" s="21" t="s">
        <v>88</v>
      </c>
      <c r="R88" s="20"/>
      <c r="S88" s="20"/>
    </row>
    <row r="89" customFormat="false" ht="79.5" hidden="false" customHeight="true" outlineLevel="0" collapsed="false">
      <c r="A89" s="19" t="s">
        <v>926</v>
      </c>
      <c r="B89" s="20" t="s">
        <v>12</v>
      </c>
      <c r="C89" s="20" t="s">
        <v>927</v>
      </c>
      <c r="D89" s="20" t="s">
        <v>40</v>
      </c>
      <c r="E89" s="20" t="s">
        <v>928</v>
      </c>
      <c r="F89" s="20" t="s">
        <v>929</v>
      </c>
      <c r="G89" s="20" t="s">
        <v>930</v>
      </c>
      <c r="H89" s="20" t="s">
        <v>931</v>
      </c>
      <c r="I89" s="20" t="s">
        <v>932</v>
      </c>
      <c r="J89" s="20" t="s">
        <v>933</v>
      </c>
      <c r="K89" s="21" t="s">
        <v>6</v>
      </c>
      <c r="L89" s="21" t="s">
        <v>213</v>
      </c>
      <c r="M89" s="21" t="str">
        <f aca="false">IF(K89="P0",IF(OR(L89="L",L89="XL"),"GĐ2","GĐ1"),IF(K89="P1",IF(L89="S","GĐ2","GĐ3"),"GĐ4"))</f>
        <v>GĐ4</v>
      </c>
      <c r="N89" s="20" t="s">
        <v>934</v>
      </c>
      <c r="O89" s="20" t="s">
        <v>935</v>
      </c>
      <c r="P89" s="20" t="s">
        <v>905</v>
      </c>
      <c r="Q89" s="21" t="s">
        <v>88</v>
      </c>
      <c r="R89" s="20"/>
      <c r="S89" s="20"/>
    </row>
    <row r="90" customFormat="false" ht="135.75" hidden="false" customHeight="true" outlineLevel="0" collapsed="false">
      <c r="A90" s="19" t="s">
        <v>936</v>
      </c>
      <c r="B90" s="20" t="s">
        <v>13</v>
      </c>
      <c r="C90" s="20" t="s">
        <v>937</v>
      </c>
      <c r="D90" s="20" t="s">
        <v>38</v>
      </c>
      <c r="E90" s="20" t="s">
        <v>938</v>
      </c>
      <c r="F90" s="20" t="s">
        <v>939</v>
      </c>
      <c r="G90" s="20" t="s">
        <v>940</v>
      </c>
      <c r="H90" s="20" t="s">
        <v>941</v>
      </c>
      <c r="I90" s="20" t="s">
        <v>942</v>
      </c>
      <c r="J90" s="20" t="s">
        <v>943</v>
      </c>
      <c r="K90" s="21" t="s">
        <v>4</v>
      </c>
      <c r="L90" s="21" t="s">
        <v>213</v>
      </c>
      <c r="M90" s="21" t="str">
        <f aca="false">IF(K90="P0",IF(OR(L90="L",L90="XL"),"GĐ2","GĐ1"),IF(K90="P1",IF(L90="S","GĐ2","GĐ3"),"GĐ4"))</f>
        <v>GĐ2</v>
      </c>
      <c r="N90" s="20" t="s">
        <v>944</v>
      </c>
      <c r="O90" s="20" t="s">
        <v>945</v>
      </c>
      <c r="P90" s="20"/>
      <c r="Q90" s="21" t="s">
        <v>88</v>
      </c>
      <c r="R90" s="20"/>
      <c r="S90" s="20"/>
    </row>
    <row r="91" customFormat="false" ht="113.25" hidden="false" customHeight="true" outlineLevel="0" collapsed="false">
      <c r="A91" s="19" t="s">
        <v>946</v>
      </c>
      <c r="B91" s="20" t="s">
        <v>13</v>
      </c>
      <c r="C91" s="20" t="s">
        <v>947</v>
      </c>
      <c r="D91" s="20" t="s">
        <v>38</v>
      </c>
      <c r="E91" s="20" t="s">
        <v>948</v>
      </c>
      <c r="F91" s="20" t="s">
        <v>949</v>
      </c>
      <c r="G91" s="20" t="s">
        <v>950</v>
      </c>
      <c r="H91" s="20" t="s">
        <v>951</v>
      </c>
      <c r="I91" s="20" t="s">
        <v>952</v>
      </c>
      <c r="J91" s="20" t="s">
        <v>953</v>
      </c>
      <c r="K91" s="21" t="s">
        <v>5</v>
      </c>
      <c r="L91" s="21" t="s">
        <v>85</v>
      </c>
      <c r="M91" s="21" t="str">
        <f aca="false">IF(K91="P0",IF(OR(L91="L",L91="XL"),"GĐ2","GĐ1"),IF(K91="P1",IF(L91="S","GĐ2","GĐ3"),"GĐ4"))</f>
        <v>GĐ3</v>
      </c>
      <c r="N91" s="20" t="s">
        <v>954</v>
      </c>
      <c r="O91" s="20" t="s">
        <v>955</v>
      </c>
      <c r="P91" s="20"/>
      <c r="Q91" s="21" t="s">
        <v>88</v>
      </c>
      <c r="R91" s="20"/>
      <c r="S91" s="20"/>
    </row>
    <row r="92" customFormat="false" ht="90.75" hidden="false" customHeight="true" outlineLevel="0" collapsed="false">
      <c r="A92" s="19" t="s">
        <v>956</v>
      </c>
      <c r="B92" s="20" t="s">
        <v>13</v>
      </c>
      <c r="C92" s="20" t="s">
        <v>957</v>
      </c>
      <c r="D92" s="20" t="s">
        <v>38</v>
      </c>
      <c r="E92" s="20" t="s">
        <v>958</v>
      </c>
      <c r="F92" s="20" t="s">
        <v>959</v>
      </c>
      <c r="G92" s="20" t="s">
        <v>960</v>
      </c>
      <c r="H92" s="20" t="s">
        <v>961</v>
      </c>
      <c r="I92" s="20" t="s">
        <v>962</v>
      </c>
      <c r="J92" s="20" t="s">
        <v>963</v>
      </c>
      <c r="K92" s="21" t="s">
        <v>4</v>
      </c>
      <c r="L92" s="21" t="s">
        <v>85</v>
      </c>
      <c r="M92" s="21" t="str">
        <f aca="false">IF(K92="P0",IF(OR(L92="L",L92="XL"),"GĐ2","GĐ1"),IF(K92="P1",IF(L92="S","GĐ2","GĐ3"),"GĐ4"))</f>
        <v>GĐ1</v>
      </c>
      <c r="N92" s="20" t="s">
        <v>964</v>
      </c>
      <c r="O92" s="20" t="s">
        <v>965</v>
      </c>
      <c r="P92" s="20"/>
      <c r="Q92" s="21" t="s">
        <v>88</v>
      </c>
      <c r="R92" s="20"/>
      <c r="S92" s="20"/>
    </row>
    <row r="93" customFormat="false" ht="79.5" hidden="false" customHeight="true" outlineLevel="0" collapsed="false">
      <c r="A93" s="19" t="s">
        <v>593</v>
      </c>
      <c r="B93" s="20" t="s">
        <v>13</v>
      </c>
      <c r="C93" s="20" t="s">
        <v>966</v>
      </c>
      <c r="D93" s="20" t="s">
        <v>38</v>
      </c>
      <c r="E93" s="20" t="s">
        <v>967</v>
      </c>
      <c r="F93" s="20" t="s">
        <v>968</v>
      </c>
      <c r="G93" s="20" t="s">
        <v>969</v>
      </c>
      <c r="H93" s="20" t="s">
        <v>970</v>
      </c>
      <c r="I93" s="20" t="s">
        <v>971</v>
      </c>
      <c r="J93" s="20" t="s">
        <v>972</v>
      </c>
      <c r="K93" s="21" t="s">
        <v>4</v>
      </c>
      <c r="L93" s="21" t="s">
        <v>213</v>
      </c>
      <c r="M93" s="21" t="str">
        <f aca="false">IF(K93="P0",IF(OR(L93="L",L93="XL"),"GĐ2","GĐ1"),IF(K93="P1",IF(L93="S","GĐ2","GĐ3"),"GĐ4"))</f>
        <v>GĐ2</v>
      </c>
      <c r="N93" s="20" t="s">
        <v>973</v>
      </c>
      <c r="O93" s="20" t="s">
        <v>974</v>
      </c>
      <c r="P93" s="20" t="s">
        <v>583</v>
      </c>
      <c r="Q93" s="21" t="s">
        <v>88</v>
      </c>
      <c r="R93" s="20"/>
      <c r="S93" s="20"/>
    </row>
    <row r="94" customFormat="false" ht="79.5" hidden="false" customHeight="true" outlineLevel="0" collapsed="false">
      <c r="A94" s="19" t="s">
        <v>573</v>
      </c>
      <c r="B94" s="20" t="s">
        <v>13</v>
      </c>
      <c r="C94" s="20" t="s">
        <v>975</v>
      </c>
      <c r="D94" s="20" t="s">
        <v>38</v>
      </c>
      <c r="E94" s="20" t="s">
        <v>976</v>
      </c>
      <c r="F94" s="20" t="s">
        <v>977</v>
      </c>
      <c r="G94" s="20" t="s">
        <v>978</v>
      </c>
      <c r="H94" s="20" t="s">
        <v>768</v>
      </c>
      <c r="I94" s="20" t="s">
        <v>979</v>
      </c>
      <c r="J94" s="20" t="s">
        <v>980</v>
      </c>
      <c r="K94" s="21" t="s">
        <v>4</v>
      </c>
      <c r="L94" s="21" t="s">
        <v>140</v>
      </c>
      <c r="M94" s="21" t="str">
        <f aca="false">IF(K94="P0",IF(OR(L94="L",L94="XL"),"GĐ2","GĐ1"),IF(K94="P1",IF(L94="S","GĐ2","GĐ3"),"GĐ4"))</f>
        <v>GĐ1</v>
      </c>
      <c r="N94" s="20" t="s">
        <v>981</v>
      </c>
      <c r="O94" s="20" t="s">
        <v>982</v>
      </c>
      <c r="P94" s="20" t="s">
        <v>563</v>
      </c>
      <c r="Q94" s="21" t="s">
        <v>88</v>
      </c>
      <c r="R94" s="20"/>
      <c r="S94" s="20"/>
    </row>
    <row r="95" customFormat="false" ht="68.25" hidden="false" customHeight="true" outlineLevel="0" collapsed="false">
      <c r="A95" s="19" t="s">
        <v>524</v>
      </c>
      <c r="B95" s="20" t="s">
        <v>13</v>
      </c>
      <c r="C95" s="20" t="s">
        <v>983</v>
      </c>
      <c r="D95" s="20" t="s">
        <v>38</v>
      </c>
      <c r="E95" s="20" t="s">
        <v>984</v>
      </c>
      <c r="F95" s="20" t="s">
        <v>985</v>
      </c>
      <c r="G95" s="20" t="s">
        <v>986</v>
      </c>
      <c r="H95" s="20" t="s">
        <v>987</v>
      </c>
      <c r="I95" s="20" t="s">
        <v>988</v>
      </c>
      <c r="J95" s="20" t="s">
        <v>989</v>
      </c>
      <c r="K95" s="21" t="s">
        <v>5</v>
      </c>
      <c r="L95" s="21" t="s">
        <v>85</v>
      </c>
      <c r="M95" s="21" t="str">
        <f aca="false">IF(K95="P0",IF(OR(L95="L",L95="XL"),"GĐ2","GĐ1"),IF(K95="P1",IF(L95="S","GĐ2","GĐ3"),"GĐ4"))</f>
        <v>GĐ3</v>
      </c>
      <c r="N95" s="20" t="s">
        <v>990</v>
      </c>
      <c r="O95" s="20" t="s">
        <v>991</v>
      </c>
      <c r="P95" s="20" t="s">
        <v>514</v>
      </c>
      <c r="Q95" s="21" t="s">
        <v>88</v>
      </c>
      <c r="R95" s="20"/>
      <c r="S95" s="20"/>
    </row>
    <row r="96" customFormat="false" ht="68.25" hidden="false" customHeight="true" outlineLevel="0" collapsed="false">
      <c r="A96" s="19" t="s">
        <v>992</v>
      </c>
      <c r="B96" s="20" t="s">
        <v>13</v>
      </c>
      <c r="C96" s="20" t="s">
        <v>993</v>
      </c>
      <c r="D96" s="20" t="s">
        <v>38</v>
      </c>
      <c r="E96" s="20" t="s">
        <v>994</v>
      </c>
      <c r="F96" s="20" t="s">
        <v>995</v>
      </c>
      <c r="G96" s="20" t="s">
        <v>996</v>
      </c>
      <c r="H96" s="20" t="s">
        <v>997</v>
      </c>
      <c r="I96" s="20" t="s">
        <v>998</v>
      </c>
      <c r="J96" s="20" t="s">
        <v>999</v>
      </c>
      <c r="K96" s="21" t="s">
        <v>4</v>
      </c>
      <c r="L96" s="21" t="s">
        <v>140</v>
      </c>
      <c r="M96" s="21" t="str">
        <f aca="false">IF(K96="P0",IF(OR(L96="L",L96="XL"),"GĐ2","GĐ1"),IF(K96="P1",IF(L96="S","GĐ2","GĐ3"),"GĐ4"))</f>
        <v>GĐ1</v>
      </c>
      <c r="N96" s="20" t="s">
        <v>1000</v>
      </c>
      <c r="O96" s="20" t="s">
        <v>1001</v>
      </c>
      <c r="P96" s="20"/>
      <c r="Q96" s="21" t="s">
        <v>88</v>
      </c>
      <c r="R96" s="20"/>
      <c r="S96" s="20"/>
    </row>
    <row r="97" customFormat="false" ht="79.5" hidden="false" customHeight="true" outlineLevel="0" collapsed="false">
      <c r="A97" s="19" t="s">
        <v>1002</v>
      </c>
      <c r="B97" s="20" t="s">
        <v>13</v>
      </c>
      <c r="C97" s="20" t="s">
        <v>1003</v>
      </c>
      <c r="D97" s="20" t="s">
        <v>39</v>
      </c>
      <c r="E97" s="20" t="s">
        <v>1004</v>
      </c>
      <c r="F97" s="20" t="s">
        <v>1005</v>
      </c>
      <c r="G97" s="20" t="s">
        <v>1006</v>
      </c>
      <c r="H97" s="20" t="s">
        <v>1007</v>
      </c>
      <c r="I97" s="20" t="s">
        <v>1008</v>
      </c>
      <c r="J97" s="20" t="s">
        <v>1009</v>
      </c>
      <c r="K97" s="21" t="s">
        <v>5</v>
      </c>
      <c r="L97" s="21" t="s">
        <v>85</v>
      </c>
      <c r="M97" s="21" t="str">
        <f aca="false">IF(K97="P0",IF(OR(L97="L",L97="XL"),"GĐ2","GĐ1"),IF(K97="P1",IF(L97="S","GĐ2","GĐ3"),"GĐ4"))</f>
        <v>GĐ3</v>
      </c>
      <c r="N97" s="20" t="s">
        <v>1010</v>
      </c>
      <c r="O97" s="20" t="s">
        <v>1011</v>
      </c>
      <c r="P97" s="20"/>
      <c r="Q97" s="21" t="s">
        <v>88</v>
      </c>
      <c r="R97" s="20"/>
      <c r="S97" s="20"/>
    </row>
    <row r="98" customFormat="false" ht="79.5" hidden="false" customHeight="true" outlineLevel="0" collapsed="false">
      <c r="A98" s="19" t="s">
        <v>1012</v>
      </c>
      <c r="B98" s="20" t="s">
        <v>13</v>
      </c>
      <c r="C98" s="20" t="s">
        <v>1013</v>
      </c>
      <c r="D98" s="20" t="s">
        <v>38</v>
      </c>
      <c r="E98" s="20" t="s">
        <v>1014</v>
      </c>
      <c r="F98" s="20" t="s">
        <v>1015</v>
      </c>
      <c r="G98" s="20" t="s">
        <v>1016</v>
      </c>
      <c r="H98" s="20" t="s">
        <v>1017</v>
      </c>
      <c r="I98" s="20" t="s">
        <v>1018</v>
      </c>
      <c r="J98" s="20" t="s">
        <v>1019</v>
      </c>
      <c r="K98" s="21" t="s">
        <v>5</v>
      </c>
      <c r="L98" s="21" t="s">
        <v>85</v>
      </c>
      <c r="M98" s="21" t="str">
        <f aca="false">IF(K98="P0",IF(OR(L98="L",L98="XL"),"GĐ2","GĐ1"),IF(K98="P1",IF(L98="S","GĐ2","GĐ3"),"GĐ4"))</f>
        <v>GĐ3</v>
      </c>
      <c r="N98" s="20" t="s">
        <v>1020</v>
      </c>
      <c r="O98" s="20" t="s">
        <v>1021</v>
      </c>
      <c r="P98" s="20"/>
      <c r="Q98" s="21" t="s">
        <v>88</v>
      </c>
      <c r="R98" s="20"/>
      <c r="S98" s="20"/>
    </row>
    <row r="99" customFormat="false" ht="79.5" hidden="false" customHeight="true" outlineLevel="0" collapsed="false">
      <c r="A99" s="19" t="s">
        <v>1022</v>
      </c>
      <c r="B99" s="20" t="s">
        <v>13</v>
      </c>
      <c r="C99" s="20" t="s">
        <v>1023</v>
      </c>
      <c r="D99" s="20" t="s">
        <v>38</v>
      </c>
      <c r="E99" s="20" t="s">
        <v>1024</v>
      </c>
      <c r="F99" s="20" t="s">
        <v>1025</v>
      </c>
      <c r="G99" s="20" t="s">
        <v>1026</v>
      </c>
      <c r="H99" s="20" t="s">
        <v>1027</v>
      </c>
      <c r="I99" s="20" t="s">
        <v>1028</v>
      </c>
      <c r="J99" s="20" t="s">
        <v>1029</v>
      </c>
      <c r="K99" s="21" t="s">
        <v>5</v>
      </c>
      <c r="L99" s="21" t="s">
        <v>140</v>
      </c>
      <c r="M99" s="21" t="str">
        <f aca="false">IF(K99="P0",IF(OR(L99="L",L99="XL"),"GĐ2","GĐ1"),IF(K99="P1",IF(L99="S","GĐ2","GĐ3"),"GĐ4"))</f>
        <v>GĐ2</v>
      </c>
      <c r="N99" s="20" t="s">
        <v>1030</v>
      </c>
      <c r="O99" s="20" t="s">
        <v>1031</v>
      </c>
      <c r="P99" s="20"/>
      <c r="Q99" s="21" t="s">
        <v>88</v>
      </c>
      <c r="R99" s="20"/>
      <c r="S99" s="20"/>
    </row>
    <row r="100" customFormat="false" ht="90.75" hidden="false" customHeight="true" outlineLevel="0" collapsed="false">
      <c r="A100" s="19" t="s">
        <v>1032</v>
      </c>
      <c r="B100" s="20" t="s">
        <v>13</v>
      </c>
      <c r="C100" s="20" t="s">
        <v>1033</v>
      </c>
      <c r="D100" s="20" t="s">
        <v>38</v>
      </c>
      <c r="E100" s="20" t="s">
        <v>1034</v>
      </c>
      <c r="F100" s="20" t="s">
        <v>1035</v>
      </c>
      <c r="G100" s="20" t="s">
        <v>1036</v>
      </c>
      <c r="H100" s="20" t="s">
        <v>1037</v>
      </c>
      <c r="I100" s="20" t="s">
        <v>1038</v>
      </c>
      <c r="J100" s="20" t="s">
        <v>1039</v>
      </c>
      <c r="K100" s="21" t="s">
        <v>5</v>
      </c>
      <c r="L100" s="21" t="s">
        <v>213</v>
      </c>
      <c r="M100" s="21" t="str">
        <f aca="false">IF(K100="P0",IF(OR(L100="L",L100="XL"),"GĐ2","GĐ1"),IF(K100="P1",IF(L100="S","GĐ2","GĐ3"),"GĐ4"))</f>
        <v>GĐ3</v>
      </c>
      <c r="N100" s="20" t="s">
        <v>1040</v>
      </c>
      <c r="O100" s="20" t="s">
        <v>1041</v>
      </c>
      <c r="P100" s="20"/>
      <c r="Q100" s="21" t="s">
        <v>88</v>
      </c>
      <c r="R100" s="20"/>
      <c r="S100" s="20"/>
    </row>
    <row r="101" customFormat="false" ht="68.25" hidden="false" customHeight="true" outlineLevel="0" collapsed="false">
      <c r="A101" s="19" t="s">
        <v>1042</v>
      </c>
      <c r="B101" s="20" t="s">
        <v>13</v>
      </c>
      <c r="C101" s="20" t="s">
        <v>1043</v>
      </c>
      <c r="D101" s="20" t="s">
        <v>38</v>
      </c>
      <c r="E101" s="20" t="s">
        <v>1044</v>
      </c>
      <c r="F101" s="20" t="s">
        <v>1045</v>
      </c>
      <c r="G101" s="20" t="s">
        <v>1046</v>
      </c>
      <c r="H101" s="20" t="s">
        <v>1047</v>
      </c>
      <c r="I101" s="20" t="s">
        <v>1048</v>
      </c>
      <c r="J101" s="20" t="s">
        <v>1049</v>
      </c>
      <c r="K101" s="21" t="s">
        <v>6</v>
      </c>
      <c r="L101" s="21" t="s">
        <v>85</v>
      </c>
      <c r="M101" s="21" t="str">
        <f aca="false">IF(K101="P0",IF(OR(L101="L",L101="XL"),"GĐ2","GĐ1"),IF(K101="P1",IF(L101="S","GĐ2","GĐ3"),"GĐ4"))</f>
        <v>GĐ4</v>
      </c>
      <c r="N101" s="20" t="s">
        <v>1050</v>
      </c>
      <c r="O101" s="20" t="s">
        <v>1051</v>
      </c>
      <c r="P101" s="20"/>
      <c r="Q101" s="21" t="s">
        <v>88</v>
      </c>
      <c r="R101" s="20"/>
      <c r="S101" s="20"/>
    </row>
    <row r="102" customFormat="false" ht="68.25" hidden="false" customHeight="true" outlineLevel="0" collapsed="false">
      <c r="A102" s="19" t="s">
        <v>204</v>
      </c>
      <c r="B102" s="20" t="s">
        <v>13</v>
      </c>
      <c r="C102" s="20" t="s">
        <v>1052</v>
      </c>
      <c r="D102" s="20" t="s">
        <v>27</v>
      </c>
      <c r="E102" s="20" t="s">
        <v>1053</v>
      </c>
      <c r="F102" s="20" t="s">
        <v>1054</v>
      </c>
      <c r="G102" s="20" t="s">
        <v>1055</v>
      </c>
      <c r="H102" s="20" t="s">
        <v>1056</v>
      </c>
      <c r="I102" s="20" t="s">
        <v>1057</v>
      </c>
      <c r="J102" s="20" t="s">
        <v>1058</v>
      </c>
      <c r="K102" s="21" t="s">
        <v>4</v>
      </c>
      <c r="L102" s="21" t="s">
        <v>140</v>
      </c>
      <c r="M102" s="21" t="str">
        <f aca="false">IF(K102="P0",IF(OR(L102="L",L102="XL"),"GĐ2","GĐ1"),IF(K102="P1",IF(L102="S","GĐ2","GĐ3"),"GĐ4"))</f>
        <v>GĐ1</v>
      </c>
      <c r="N102" s="20" t="s">
        <v>1059</v>
      </c>
      <c r="O102" s="20" t="s">
        <v>1060</v>
      </c>
      <c r="P102" s="20" t="s">
        <v>194</v>
      </c>
      <c r="Q102" s="21" t="s">
        <v>88</v>
      </c>
      <c r="R102" s="20"/>
      <c r="S102" s="20"/>
    </row>
    <row r="103" customFormat="false" ht="102" hidden="false" customHeight="true" outlineLevel="0" collapsed="false">
      <c r="A103" s="19" t="s">
        <v>1061</v>
      </c>
      <c r="B103" s="20" t="s">
        <v>13</v>
      </c>
      <c r="C103" s="20" t="s">
        <v>1062</v>
      </c>
      <c r="D103" s="20" t="s">
        <v>31</v>
      </c>
      <c r="E103" s="20" t="s">
        <v>1063</v>
      </c>
      <c r="F103" s="20" t="s">
        <v>1064</v>
      </c>
      <c r="G103" s="20" t="s">
        <v>1065</v>
      </c>
      <c r="H103" s="20" t="s">
        <v>1066</v>
      </c>
      <c r="I103" s="20" t="s">
        <v>1067</v>
      </c>
      <c r="J103" s="20" t="s">
        <v>1068</v>
      </c>
      <c r="K103" s="21" t="s">
        <v>5</v>
      </c>
      <c r="L103" s="21" t="s">
        <v>85</v>
      </c>
      <c r="M103" s="21" t="str">
        <f aca="false">IF(K103="P0",IF(OR(L103="L",L103="XL"),"GĐ2","GĐ1"),IF(K103="P1",IF(L103="S","GĐ2","GĐ3"),"GĐ4"))</f>
        <v>GĐ3</v>
      </c>
      <c r="N103" s="20" t="s">
        <v>1069</v>
      </c>
      <c r="O103" s="20" t="s">
        <v>1070</v>
      </c>
      <c r="P103" s="20" t="s">
        <v>1071</v>
      </c>
      <c r="Q103" s="21" t="s">
        <v>88</v>
      </c>
      <c r="R103" s="20"/>
      <c r="S103" s="20"/>
    </row>
    <row r="104" customFormat="false" ht="90.75" hidden="false" customHeight="true" outlineLevel="0" collapsed="false">
      <c r="A104" s="19" t="s">
        <v>1072</v>
      </c>
      <c r="B104" s="20" t="s">
        <v>13</v>
      </c>
      <c r="C104" s="20" t="s">
        <v>1073</v>
      </c>
      <c r="D104" s="20" t="s">
        <v>31</v>
      </c>
      <c r="E104" s="20" t="s">
        <v>1074</v>
      </c>
      <c r="F104" s="20" t="s">
        <v>1075</v>
      </c>
      <c r="G104" s="20" t="s">
        <v>1076</v>
      </c>
      <c r="H104" s="20" t="s">
        <v>1077</v>
      </c>
      <c r="I104" s="20" t="s">
        <v>1078</v>
      </c>
      <c r="J104" s="20" t="s">
        <v>1079</v>
      </c>
      <c r="K104" s="21" t="s">
        <v>6</v>
      </c>
      <c r="L104" s="21" t="s">
        <v>85</v>
      </c>
      <c r="M104" s="21" t="str">
        <f aca="false">IF(K104="P0",IF(OR(L104="L",L104="XL"),"GĐ2","GĐ1"),IF(K104="P1",IF(L104="S","GĐ2","GĐ3"),"GĐ4"))</f>
        <v>GĐ4</v>
      </c>
      <c r="N104" s="20" t="s">
        <v>1080</v>
      </c>
      <c r="O104" s="20" t="s">
        <v>1081</v>
      </c>
      <c r="P104" s="20"/>
      <c r="Q104" s="21" t="s">
        <v>88</v>
      </c>
      <c r="R104" s="20"/>
      <c r="S104" s="20"/>
    </row>
    <row r="105" customFormat="false" ht="57" hidden="false" customHeight="true" outlineLevel="0" collapsed="false">
      <c r="A105" s="19" t="s">
        <v>1082</v>
      </c>
      <c r="B105" s="20" t="s">
        <v>13</v>
      </c>
      <c r="C105" s="20" t="s">
        <v>1083</v>
      </c>
      <c r="D105" s="20" t="s">
        <v>39</v>
      </c>
      <c r="E105" s="20" t="s">
        <v>1084</v>
      </c>
      <c r="F105" s="20" t="s">
        <v>1085</v>
      </c>
      <c r="G105" s="20" t="s">
        <v>1086</v>
      </c>
      <c r="H105" s="20" t="s">
        <v>1087</v>
      </c>
      <c r="I105" s="20" t="s">
        <v>1088</v>
      </c>
      <c r="J105" s="20" t="s">
        <v>1089</v>
      </c>
      <c r="K105" s="21" t="s">
        <v>5</v>
      </c>
      <c r="L105" s="21" t="s">
        <v>140</v>
      </c>
      <c r="M105" s="21" t="str">
        <f aca="false">IF(K105="P0",IF(OR(L105="L",L105="XL"),"GĐ2","GĐ1"),IF(K105="P1",IF(L105="S","GĐ2","GĐ3"),"GĐ4"))</f>
        <v>GĐ2</v>
      </c>
      <c r="N105" s="20" t="s">
        <v>811</v>
      </c>
      <c r="O105" s="20" t="s">
        <v>1090</v>
      </c>
      <c r="P105" s="20"/>
      <c r="Q105" s="21" t="s">
        <v>88</v>
      </c>
      <c r="R105" s="20"/>
      <c r="S105" s="20"/>
    </row>
    <row r="106" customFormat="false" ht="102" hidden="false" customHeight="true" outlineLevel="0" collapsed="false">
      <c r="A106" s="19" t="s">
        <v>1091</v>
      </c>
      <c r="B106" s="20" t="s">
        <v>13</v>
      </c>
      <c r="C106" s="20" t="s">
        <v>1092</v>
      </c>
      <c r="D106" s="20" t="s">
        <v>39</v>
      </c>
      <c r="E106" s="20" t="s">
        <v>1093</v>
      </c>
      <c r="F106" s="20" t="s">
        <v>1094</v>
      </c>
      <c r="G106" s="20" t="s">
        <v>1095</v>
      </c>
      <c r="H106" s="20" t="s">
        <v>1096</v>
      </c>
      <c r="I106" s="20" t="s">
        <v>1097</v>
      </c>
      <c r="J106" s="20" t="s">
        <v>1098</v>
      </c>
      <c r="K106" s="21" t="s">
        <v>4</v>
      </c>
      <c r="L106" s="21" t="s">
        <v>140</v>
      </c>
      <c r="M106" s="21" t="str">
        <f aca="false">IF(K106="P0",IF(OR(L106="L",L106="XL"),"GĐ2","GĐ1"),IF(K106="P1",IF(L106="S","GĐ2","GĐ3"),"GĐ4"))</f>
        <v>GĐ1</v>
      </c>
      <c r="N106" s="20" t="s">
        <v>1099</v>
      </c>
      <c r="O106" s="20" t="s">
        <v>1100</v>
      </c>
      <c r="P106" s="20"/>
      <c r="Q106" s="21" t="s">
        <v>88</v>
      </c>
      <c r="R106" s="20"/>
      <c r="S106" s="20"/>
    </row>
    <row r="107" customFormat="false" ht="102" hidden="false" customHeight="true" outlineLevel="0" collapsed="false">
      <c r="A107" s="19" t="s">
        <v>1101</v>
      </c>
      <c r="B107" s="20" t="s">
        <v>13</v>
      </c>
      <c r="C107" s="20" t="s">
        <v>1102</v>
      </c>
      <c r="D107" s="20" t="s">
        <v>39</v>
      </c>
      <c r="E107" s="20" t="s">
        <v>1103</v>
      </c>
      <c r="F107" s="20" t="s">
        <v>1104</v>
      </c>
      <c r="G107" s="20" t="s">
        <v>1105</v>
      </c>
      <c r="H107" s="20" t="s">
        <v>758</v>
      </c>
      <c r="I107" s="20" t="s">
        <v>1106</v>
      </c>
      <c r="J107" s="20" t="s">
        <v>1107</v>
      </c>
      <c r="K107" s="21" t="s">
        <v>5</v>
      </c>
      <c r="L107" s="21" t="s">
        <v>85</v>
      </c>
      <c r="M107" s="21" t="str">
        <f aca="false">IF(K107="P0",IF(OR(L107="L",L107="XL"),"GĐ2","GĐ1"),IF(K107="P1",IF(L107="S","GĐ2","GĐ3"),"GĐ4"))</f>
        <v>GĐ3</v>
      </c>
      <c r="N107" s="20" t="s">
        <v>1108</v>
      </c>
      <c r="O107" s="20" t="s">
        <v>1109</v>
      </c>
      <c r="P107" s="20"/>
      <c r="Q107" s="21" t="s">
        <v>88</v>
      </c>
      <c r="R107" s="20"/>
      <c r="S107" s="20"/>
    </row>
    <row r="108" customFormat="false" ht="102" hidden="false" customHeight="true" outlineLevel="0" collapsed="false">
      <c r="A108" s="19" t="s">
        <v>1110</v>
      </c>
      <c r="B108" s="20" t="s">
        <v>13</v>
      </c>
      <c r="C108" s="20" t="s">
        <v>1111</v>
      </c>
      <c r="D108" s="20" t="s">
        <v>39</v>
      </c>
      <c r="E108" s="20" t="s">
        <v>1112</v>
      </c>
      <c r="F108" s="20" t="s">
        <v>1113</v>
      </c>
      <c r="G108" s="20" t="s">
        <v>1114</v>
      </c>
      <c r="H108" s="20" t="s">
        <v>1115</v>
      </c>
      <c r="I108" s="20" t="s">
        <v>1116</v>
      </c>
      <c r="J108" s="20" t="s">
        <v>1117</v>
      </c>
      <c r="K108" s="21" t="s">
        <v>5</v>
      </c>
      <c r="L108" s="21" t="s">
        <v>85</v>
      </c>
      <c r="M108" s="21" t="str">
        <f aca="false">IF(K108="P0",IF(OR(L108="L",L108="XL"),"GĐ2","GĐ1"),IF(K108="P1",IF(L108="S","GĐ2","GĐ3"),"GĐ4"))</f>
        <v>GĐ3</v>
      </c>
      <c r="N108" s="20" t="s">
        <v>1118</v>
      </c>
      <c r="O108" s="20" t="s">
        <v>1119</v>
      </c>
      <c r="P108" s="20"/>
      <c r="Q108" s="21" t="s">
        <v>88</v>
      </c>
      <c r="R108" s="20"/>
      <c r="S108" s="20"/>
    </row>
    <row r="109" customFormat="false" ht="68.25" hidden="false" customHeight="true" outlineLevel="0" collapsed="false">
      <c r="A109" s="19" t="s">
        <v>1120</v>
      </c>
      <c r="B109" s="20" t="s">
        <v>13</v>
      </c>
      <c r="C109" s="20" t="s">
        <v>1121</v>
      </c>
      <c r="D109" s="20" t="s">
        <v>27</v>
      </c>
      <c r="E109" s="20" t="s">
        <v>1122</v>
      </c>
      <c r="F109" s="20" t="s">
        <v>1123</v>
      </c>
      <c r="G109" s="20" t="s">
        <v>1124</v>
      </c>
      <c r="H109" s="20" t="s">
        <v>1125</v>
      </c>
      <c r="I109" s="20" t="s">
        <v>1126</v>
      </c>
      <c r="J109" s="20" t="s">
        <v>1127</v>
      </c>
      <c r="K109" s="21" t="s">
        <v>6</v>
      </c>
      <c r="L109" s="21" t="s">
        <v>140</v>
      </c>
      <c r="M109" s="21" t="str">
        <f aca="false">IF(K109="P0",IF(OR(L109="L",L109="XL"),"GĐ2","GĐ1"),IF(K109="P1",IF(L109="S","GĐ2","GĐ3"),"GĐ4"))</f>
        <v>GĐ4</v>
      </c>
      <c r="N109" s="20" t="s">
        <v>1128</v>
      </c>
      <c r="O109" s="20" t="s">
        <v>1129</v>
      </c>
      <c r="P109" s="20"/>
      <c r="Q109" s="21" t="s">
        <v>88</v>
      </c>
      <c r="R109" s="20"/>
      <c r="S109" s="20"/>
    </row>
    <row r="110" customFormat="false" ht="90.75" hidden="false" customHeight="true" outlineLevel="0" collapsed="false">
      <c r="A110" s="19" t="s">
        <v>493</v>
      </c>
      <c r="B110" s="20" t="s">
        <v>13</v>
      </c>
      <c r="C110" s="20" t="s">
        <v>1130</v>
      </c>
      <c r="D110" s="20" t="s">
        <v>40</v>
      </c>
      <c r="E110" s="20" t="s">
        <v>1131</v>
      </c>
      <c r="F110" s="20" t="s">
        <v>1132</v>
      </c>
      <c r="G110" s="20" t="s">
        <v>1133</v>
      </c>
      <c r="H110" s="20" t="s">
        <v>488</v>
      </c>
      <c r="I110" s="20" t="s">
        <v>1134</v>
      </c>
      <c r="J110" s="20" t="s">
        <v>1135</v>
      </c>
      <c r="K110" s="21" t="s">
        <v>5</v>
      </c>
      <c r="L110" s="21" t="s">
        <v>85</v>
      </c>
      <c r="M110" s="21" t="str">
        <f aca="false">IF(K110="P0",IF(OR(L110="L",L110="XL"),"GĐ2","GĐ1"),IF(K110="P1",IF(L110="S","GĐ2","GĐ3"),"GĐ4"))</f>
        <v>GĐ3</v>
      </c>
      <c r="N110" s="20" t="s">
        <v>1136</v>
      </c>
      <c r="O110" s="20" t="s">
        <v>1137</v>
      </c>
      <c r="P110" s="20" t="s">
        <v>483</v>
      </c>
      <c r="Q110" s="21" t="s">
        <v>88</v>
      </c>
      <c r="R110" s="20"/>
      <c r="S110" s="20"/>
    </row>
  </sheetData>
  <autoFilter ref="A4:S110"/>
  <conditionalFormatting sqref="K5:K110">
    <cfRule type="expression" priority="2" aboveAverage="0" equalAverage="0" bottom="0" percent="0" rank="0" text="" dxfId="7">
      <formula>$K5="P0"</formula>
    </cfRule>
    <cfRule type="expression" priority="3" aboveAverage="0" equalAverage="0" bottom="0" percent="0" rank="0" text="" dxfId="8">
      <formula>$K5="P1"</formula>
    </cfRule>
    <cfRule type="expression" priority="4" aboveAverage="0" equalAverage="0" bottom="0" percent="0" rank="0" text="" dxfId="9">
      <formula>$K5="P2"</formula>
    </cfRule>
    <cfRule type="expression" priority="5" aboveAverage="0" equalAverage="0" bottom="0" percent="0" rank="0" text="" dxfId="10">
      <formula>$K5="P3"</formula>
    </cfRule>
  </conditionalFormatting>
  <conditionalFormatting sqref="Q5:Q110">
    <cfRule type="expression" priority="6" aboveAverage="0" equalAverage="0" bottom="0" percent="0" rank="0" text="" dxfId="11">
      <formula>$Q5="Xong"</formula>
    </cfRule>
  </conditionalFormatting>
  <dataValidations count="3">
    <dataValidation allowBlank="true" errorStyle="stop" operator="between" showDropDown="false" showErrorMessage="false" showInputMessage="false" sqref="Q5:Q110" type="list">
      <formula1>"Chưa làm,Đang làm,Xong,Hoãn,Không làm"</formula1>
      <formula2>0</formula2>
    </dataValidation>
    <dataValidation allowBlank="false" errorStyle="stop" operator="between" showDropDown="false" showErrorMessage="false" showInputMessage="false" sqref="K5:K110" type="list">
      <formula1>"P0,P1,P2,P3"</formula1>
      <formula2>0</formula2>
    </dataValidation>
    <dataValidation allowBlank="false" errorStyle="stop" operator="between" showDropDown="false" showErrorMessage="false" showInputMessage="false" sqref="L5:L110" type="list">
      <formula1>"S,M,L,XL"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4"/>
    <col collapsed="false" customWidth="true" hidden="false" outlineLevel="0" max="3" min="3" style="1" width="16"/>
    <col collapsed="false" customWidth="true" hidden="false" outlineLevel="0" max="4" min="4" style="1" width="55"/>
    <col collapsed="false" customWidth="true" hidden="false" outlineLevel="0" max="5" min="5" style="1" width="65"/>
    <col collapsed="false" customWidth="true" hidden="false" outlineLevel="0" max="7" min="6" style="1" width="13"/>
    <col collapsed="false" customWidth="true" hidden="false" outlineLevel="0" max="8" min="8" style="1" width="11"/>
  </cols>
  <sheetData>
    <row r="1" customFormat="false" ht="19.5" hidden="false" customHeight="true" outlineLevel="0" collapsed="false">
      <c r="A1" s="2" t="s">
        <v>1138</v>
      </c>
    </row>
    <row r="2" customFormat="false" ht="15" hidden="false" customHeight="true" outlineLevel="0" collapsed="false">
      <c r="A2" s="3" t="s">
        <v>1139</v>
      </c>
    </row>
    <row r="4" customFormat="false" ht="23.25" hidden="false" customHeight="true" outlineLevel="0" collapsed="false">
      <c r="A4" s="5" t="s">
        <v>1140</v>
      </c>
      <c r="B4" s="5" t="s">
        <v>1141</v>
      </c>
      <c r="C4" s="5" t="s">
        <v>1142</v>
      </c>
      <c r="D4" s="5" t="s">
        <v>1143</v>
      </c>
      <c r="E4" s="5" t="s">
        <v>1144</v>
      </c>
      <c r="F4" s="5" t="s">
        <v>1145</v>
      </c>
      <c r="G4" s="5" t="s">
        <v>1146</v>
      </c>
      <c r="H4" s="5" t="s">
        <v>1147</v>
      </c>
    </row>
    <row r="5" customFormat="false" ht="23.25" hidden="false" customHeight="true" outlineLevel="0" collapsed="false">
      <c r="A5" s="20" t="s">
        <v>1148</v>
      </c>
      <c r="B5" s="22" t="s">
        <v>1149</v>
      </c>
      <c r="C5" s="23" t="s">
        <v>1150</v>
      </c>
      <c r="D5" s="20" t="s">
        <v>1151</v>
      </c>
      <c r="E5" s="20" t="s">
        <v>1152</v>
      </c>
      <c r="F5" s="21" t="s">
        <v>1153</v>
      </c>
      <c r="G5" s="21" t="n">
        <f aca="false">COUNTIF('Danh mục tối ưu'!$H$5:$H$110,"*Prompt Chaining*")</f>
        <v>36</v>
      </c>
      <c r="H5" s="21" t="n">
        <f aca="false">COUNTIFS('Danh mục tối ưu'!$H$5:$H$110,"*Prompt Chaining*",'Danh mục tối ưu'!$K$5:$K$110,"P0")</f>
        <v>18</v>
      </c>
    </row>
    <row r="6" customFormat="false" ht="23.25" hidden="false" customHeight="true" outlineLevel="0" collapsed="false">
      <c r="A6" s="20" t="s">
        <v>1148</v>
      </c>
      <c r="B6" s="22" t="s">
        <v>1154</v>
      </c>
      <c r="C6" s="23" t="s">
        <v>1150</v>
      </c>
      <c r="D6" s="20" t="s">
        <v>1155</v>
      </c>
      <c r="E6" s="20" t="s">
        <v>1156</v>
      </c>
      <c r="F6" s="21" t="s">
        <v>1153</v>
      </c>
      <c r="G6" s="21" t="n">
        <f aca="false">COUNTIF('Danh mục tối ưu'!$H$5:$H$110,"*Routing*")</f>
        <v>8</v>
      </c>
      <c r="H6" s="21" t="n">
        <f aca="false">COUNTIFS('Danh mục tối ưu'!$H$5:$H$110,"*Routing*",'Danh mục tối ưu'!$K$5:$K$110,"P0")</f>
        <v>2</v>
      </c>
    </row>
    <row r="7" customFormat="false" ht="23.25" hidden="false" customHeight="true" outlineLevel="0" collapsed="false">
      <c r="A7" s="20" t="s">
        <v>1148</v>
      </c>
      <c r="B7" s="22" t="s">
        <v>1157</v>
      </c>
      <c r="C7" s="24" t="s">
        <v>1158</v>
      </c>
      <c r="D7" s="20" t="s">
        <v>1159</v>
      </c>
      <c r="E7" s="20" t="s">
        <v>1160</v>
      </c>
      <c r="F7" s="21" t="s">
        <v>1161</v>
      </c>
      <c r="G7" s="21" t="n">
        <f aca="false">COUNTIF('Danh mục tối ưu'!$H$5:$H$110,"*Parallelization*")</f>
        <v>2</v>
      </c>
      <c r="H7" s="21" t="n">
        <f aca="false">COUNTIFS('Danh mục tối ưu'!$H$5:$H$110,"*Parallelization*",'Danh mục tối ưu'!$K$5:$K$110,"P0")</f>
        <v>0</v>
      </c>
    </row>
    <row r="8" customFormat="false" ht="23.25" hidden="false" customHeight="true" outlineLevel="0" collapsed="false">
      <c r="A8" s="20" t="s">
        <v>1148</v>
      </c>
      <c r="B8" s="22" t="s">
        <v>758</v>
      </c>
      <c r="C8" s="23" t="s">
        <v>1150</v>
      </c>
      <c r="D8" s="20" t="s">
        <v>1162</v>
      </c>
      <c r="E8" s="20" t="s">
        <v>1163</v>
      </c>
      <c r="F8" s="21" t="s">
        <v>1164</v>
      </c>
      <c r="G8" s="21" t="n">
        <f aca="false">COUNTIF('Danh mục tối ưu'!$H$5:$H$110,"*Evaluator*")</f>
        <v>46</v>
      </c>
      <c r="H8" s="21" t="n">
        <f aca="false">COUNTIFS('Danh mục tối ưu'!$H$5:$H$110,"*Evaluator*",'Danh mục tối ưu'!$K$5:$K$110,"P0")</f>
        <v>11</v>
      </c>
    </row>
    <row r="9" customFormat="false" ht="23.25" hidden="false" customHeight="true" outlineLevel="0" collapsed="false">
      <c r="A9" s="20" t="s">
        <v>1165</v>
      </c>
      <c r="B9" s="22" t="s">
        <v>1166</v>
      </c>
      <c r="C9" s="25" t="s">
        <v>1167</v>
      </c>
      <c r="D9" s="20" t="s">
        <v>1168</v>
      </c>
      <c r="E9" s="20" t="s">
        <v>1169</v>
      </c>
      <c r="F9" s="21" t="s">
        <v>1164</v>
      </c>
      <c r="G9" s="21" t="n">
        <f aca="false">COUNTIF('Danh mục tối ưu'!$H$5:$H$110,"*ReAct*")</f>
        <v>5</v>
      </c>
      <c r="H9" s="21" t="n">
        <f aca="false">COUNTIFS('Danh mục tối ưu'!$H$5:$H$110,"*ReAct*",'Danh mục tối ưu'!$K$5:$K$110,"P0")</f>
        <v>2</v>
      </c>
    </row>
    <row r="10" customFormat="false" ht="23.25" hidden="false" customHeight="true" outlineLevel="0" collapsed="false">
      <c r="A10" s="20" t="s">
        <v>1165</v>
      </c>
      <c r="B10" s="22" t="s">
        <v>1170</v>
      </c>
      <c r="C10" s="23" t="s">
        <v>1150</v>
      </c>
      <c r="D10" s="20" t="s">
        <v>1171</v>
      </c>
      <c r="E10" s="20" t="s">
        <v>1172</v>
      </c>
      <c r="F10" s="21" t="s">
        <v>1164</v>
      </c>
      <c r="G10" s="21" t="n">
        <f aca="false">COUNTIF('Danh mục tối ưu'!$H$5:$H$110,"*Plan-and-Execute*")</f>
        <v>9</v>
      </c>
      <c r="H10" s="21" t="n">
        <f aca="false">COUNTIFS('Danh mục tối ưu'!$H$5:$H$110,"*Plan-and-Execute*",'Danh mục tối ưu'!$K$5:$K$110,"P0")</f>
        <v>3</v>
      </c>
    </row>
    <row r="11" customFormat="false" ht="23.25" hidden="false" customHeight="true" outlineLevel="0" collapsed="false">
      <c r="A11" s="20" t="s">
        <v>1165</v>
      </c>
      <c r="B11" s="22" t="s">
        <v>1173</v>
      </c>
      <c r="C11" s="24" t="s">
        <v>1158</v>
      </c>
      <c r="D11" s="20" t="s">
        <v>1174</v>
      </c>
      <c r="E11" s="20" t="s">
        <v>1175</v>
      </c>
      <c r="F11" s="21" t="s">
        <v>1176</v>
      </c>
      <c r="G11" s="21" t="n">
        <f aca="false">COUNTIF('Danh mục tối ưu'!$H$5:$H$110,"*ReWOO*")</f>
        <v>1</v>
      </c>
      <c r="H11" s="21" t="n">
        <f aca="false">COUNTIFS('Danh mục tối ưu'!$H$5:$H$110,"*ReWOO*",'Danh mục tối ưu'!$K$5:$K$110,"P0")</f>
        <v>0</v>
      </c>
    </row>
    <row r="12" customFormat="false" ht="23.25" hidden="false" customHeight="true" outlineLevel="0" collapsed="false">
      <c r="A12" s="20" t="s">
        <v>1165</v>
      </c>
      <c r="B12" s="22" t="s">
        <v>1177</v>
      </c>
      <c r="C12" s="24" t="s">
        <v>1158</v>
      </c>
      <c r="D12" s="20" t="s">
        <v>1174</v>
      </c>
      <c r="E12" s="20" t="s">
        <v>1178</v>
      </c>
      <c r="F12" s="21" t="s">
        <v>1161</v>
      </c>
      <c r="G12" s="21" t="n">
        <f aca="false">COUNTIF('Danh mục tối ưu'!$H$5:$H$110,"*LLMCompiler*")</f>
        <v>2</v>
      </c>
      <c r="H12" s="21" t="n">
        <f aca="false">COUNTIFS('Danh mục tối ưu'!$H$5:$H$110,"*LLMCompiler*",'Danh mục tối ưu'!$K$5:$K$110,"P0")</f>
        <v>0</v>
      </c>
    </row>
    <row r="13" customFormat="false" ht="23.25" hidden="false" customHeight="true" outlineLevel="0" collapsed="false">
      <c r="A13" s="20" t="s">
        <v>1165</v>
      </c>
      <c r="B13" s="22" t="s">
        <v>1179</v>
      </c>
      <c r="C13" s="24" t="s">
        <v>1158</v>
      </c>
      <c r="D13" s="20" t="s">
        <v>1180</v>
      </c>
      <c r="E13" s="20" t="s">
        <v>1181</v>
      </c>
      <c r="F13" s="21" t="s">
        <v>1164</v>
      </c>
      <c r="G13" s="21" t="n">
        <f aca="false">COUNTIF('Danh mục tối ưu'!$H$5:$H$110,"*Reflexion*")</f>
        <v>7</v>
      </c>
      <c r="H13" s="21" t="n">
        <f aca="false">COUNTIFS('Danh mục tối ưu'!$H$5:$H$110,"*Reflexion*",'Danh mục tối ưu'!$K$5:$K$110,"P0")</f>
        <v>0</v>
      </c>
    </row>
    <row r="14" customFormat="false" ht="23.25" hidden="false" customHeight="true" outlineLevel="0" collapsed="false">
      <c r="A14" s="20" t="s">
        <v>1165</v>
      </c>
      <c r="B14" s="22" t="s">
        <v>1182</v>
      </c>
      <c r="C14" s="24" t="s">
        <v>1158</v>
      </c>
      <c r="D14" s="20" t="s">
        <v>1183</v>
      </c>
      <c r="E14" s="20" t="s">
        <v>1184</v>
      </c>
      <c r="F14" s="21" t="s">
        <v>1161</v>
      </c>
      <c r="G14" s="21" t="n">
        <f aca="false">COUNTIF('Danh mục tối ưu'!$H$5:$H$110,"*Tree of Thoughts*")</f>
        <v>1</v>
      </c>
      <c r="H14" s="21" t="n">
        <f aca="false">COUNTIFS('Danh mục tối ưu'!$H$5:$H$110,"*Tree of Thoughts*",'Danh mục tối ưu'!$K$5:$K$110,"P0")</f>
        <v>0</v>
      </c>
    </row>
    <row r="15" customFormat="false" ht="23.25" hidden="false" customHeight="true" outlineLevel="0" collapsed="false">
      <c r="A15" s="20" t="s">
        <v>1165</v>
      </c>
      <c r="B15" s="22" t="s">
        <v>296</v>
      </c>
      <c r="C15" s="23" t="s">
        <v>1150</v>
      </c>
      <c r="D15" s="20" t="s">
        <v>1185</v>
      </c>
      <c r="E15" s="20" t="s">
        <v>1186</v>
      </c>
      <c r="F15" s="21" t="s">
        <v>1153</v>
      </c>
      <c r="G15" s="21" t="n">
        <f aca="false">COUNTIF('Danh mục tối ưu'!$H$5:$H$110,"*CodeAct*")</f>
        <v>9</v>
      </c>
      <c r="H15" s="21" t="n">
        <f aca="false">COUNTIFS('Danh mục tối ưu'!$H$5:$H$110,"*CodeAct*",'Danh mục tối ưu'!$K$5:$K$110,"P0")</f>
        <v>2</v>
      </c>
    </row>
    <row r="16" customFormat="false" ht="34.5" hidden="false" customHeight="true" outlineLevel="0" collapsed="false">
      <c r="A16" s="20" t="s">
        <v>1165</v>
      </c>
      <c r="B16" s="22" t="s">
        <v>1187</v>
      </c>
      <c r="C16" s="24" t="s">
        <v>1158</v>
      </c>
      <c r="D16" s="20" t="s">
        <v>1188</v>
      </c>
      <c r="E16" s="20" t="s">
        <v>1189</v>
      </c>
      <c r="F16" s="21" t="s">
        <v>1164</v>
      </c>
      <c r="G16" s="21" t="n">
        <f aca="false">COUNTIF('Danh mục tối ưu'!$H$5:$H$110,"*Agentic RAG*")</f>
        <v>13</v>
      </c>
      <c r="H16" s="21" t="n">
        <f aca="false">COUNTIFS('Danh mục tối ưu'!$H$5:$H$110,"*Agentic RAG*",'Danh mục tối ưu'!$K$5:$K$110,"P0")</f>
        <v>6</v>
      </c>
    </row>
    <row r="17" customFormat="false" ht="23.25" hidden="false" customHeight="true" outlineLevel="0" collapsed="false">
      <c r="A17" s="20" t="s">
        <v>1165</v>
      </c>
      <c r="B17" s="22" t="s">
        <v>1190</v>
      </c>
      <c r="C17" s="23" t="s">
        <v>1150</v>
      </c>
      <c r="D17" s="20" t="s">
        <v>1191</v>
      </c>
      <c r="E17" s="20" t="s">
        <v>1192</v>
      </c>
      <c r="F17" s="21" t="s">
        <v>1153</v>
      </c>
      <c r="G17" s="21" t="n">
        <f aca="false">COUNTIF('Danh mục tối ưu'!$H$5:$H$110,"*Memory*")</f>
        <v>15</v>
      </c>
      <c r="H17" s="21" t="n">
        <f aca="false">COUNTIFS('Danh mục tối ưu'!$H$5:$H$110,"*Memory*",'Danh mục tối ưu'!$K$5:$K$110,"P0")</f>
        <v>4</v>
      </c>
    </row>
    <row r="18" customFormat="false" ht="23.25" hidden="false" customHeight="true" outlineLevel="0" collapsed="false">
      <c r="A18" s="20" t="s">
        <v>1193</v>
      </c>
      <c r="B18" s="22" t="s">
        <v>1194</v>
      </c>
      <c r="C18" s="23" t="s">
        <v>1150</v>
      </c>
      <c r="D18" s="20" t="s">
        <v>1195</v>
      </c>
      <c r="E18" s="20" t="s">
        <v>1196</v>
      </c>
      <c r="F18" s="21" t="s">
        <v>1153</v>
      </c>
      <c r="G18" s="21" t="n">
        <f aca="false">COUNTIF('Danh mục tối ưu'!$H$5:$H$110,"*Supervisor*")</f>
        <v>5</v>
      </c>
      <c r="H18" s="21" t="n">
        <f aca="false">COUNTIFS('Danh mục tối ưu'!$H$5:$H$110,"*Supervisor*",'Danh mục tối ưu'!$K$5:$K$110,"P0")</f>
        <v>2</v>
      </c>
    </row>
    <row r="19" customFormat="false" ht="23.25" hidden="false" customHeight="true" outlineLevel="0" collapsed="false">
      <c r="A19" s="20" t="s">
        <v>1193</v>
      </c>
      <c r="B19" s="22" t="s">
        <v>1197</v>
      </c>
      <c r="C19" s="24" t="s">
        <v>1158</v>
      </c>
      <c r="D19" s="20" t="s">
        <v>1174</v>
      </c>
      <c r="E19" s="20" t="s">
        <v>1198</v>
      </c>
      <c r="F19" s="21" t="s">
        <v>1176</v>
      </c>
      <c r="G19" s="21" t="n">
        <f aca="false">COUNTIF('Danh mục tối ưu'!$H$5:$H$110,"*Hierarchical*")</f>
        <v>1</v>
      </c>
      <c r="H19" s="21" t="n">
        <f aca="false">COUNTIFS('Danh mục tối ưu'!$H$5:$H$110,"*Hierarchical*",'Danh mục tối ưu'!$K$5:$K$110,"P0")</f>
        <v>0</v>
      </c>
    </row>
    <row r="20" customFormat="false" ht="23.25" hidden="false" customHeight="true" outlineLevel="0" collapsed="false">
      <c r="A20" s="20" t="s">
        <v>1193</v>
      </c>
      <c r="B20" s="22" t="s">
        <v>1199</v>
      </c>
      <c r="C20" s="24" t="s">
        <v>1158</v>
      </c>
      <c r="D20" s="20" t="s">
        <v>1174</v>
      </c>
      <c r="E20" s="20" t="s">
        <v>1200</v>
      </c>
      <c r="F20" s="21" t="s">
        <v>1176</v>
      </c>
      <c r="G20" s="21" t="n">
        <f aca="false">COUNTIF('Danh mục tối ưu'!$H$5:$H$110,"*Swarm*")</f>
        <v>0</v>
      </c>
      <c r="H20" s="21" t="n">
        <f aca="false">COUNTIFS('Danh mục tối ưu'!$H$5:$H$110,"*Swarm*",'Danh mục tối ưu'!$K$5:$K$110,"P0")</f>
        <v>0</v>
      </c>
    </row>
    <row r="21" customFormat="false" ht="34.5" hidden="false" customHeight="true" outlineLevel="0" collapsed="false">
      <c r="A21" s="20" t="s">
        <v>1193</v>
      </c>
      <c r="B21" s="22" t="s">
        <v>1201</v>
      </c>
      <c r="C21" s="24" t="s">
        <v>1158</v>
      </c>
      <c r="D21" s="20" t="s">
        <v>1202</v>
      </c>
      <c r="E21" s="20" t="s">
        <v>1203</v>
      </c>
      <c r="F21" s="21" t="s">
        <v>1161</v>
      </c>
      <c r="G21" s="21" t="n">
        <f aca="false">COUNTIF('Danh mục tối ưu'!$H$5:$H$110,"*Debate*")</f>
        <v>10</v>
      </c>
      <c r="H21" s="21" t="n">
        <f aca="false">COUNTIFS('Danh mục tối ưu'!$H$5:$H$110,"*Debate*",'Danh mục tối ưu'!$K$5:$K$110,"P0")</f>
        <v>1</v>
      </c>
    </row>
    <row r="22" customFormat="false" ht="23.25" hidden="false" customHeight="true" outlineLevel="0" collapsed="false">
      <c r="A22" s="20" t="s">
        <v>1193</v>
      </c>
      <c r="B22" s="22" t="s">
        <v>1204</v>
      </c>
      <c r="C22" s="23" t="s">
        <v>1150</v>
      </c>
      <c r="D22" s="20" t="s">
        <v>1205</v>
      </c>
      <c r="E22" s="20" t="s">
        <v>1206</v>
      </c>
      <c r="F22" s="21" t="s">
        <v>1153</v>
      </c>
      <c r="G22" s="21" t="n">
        <f aca="false">COUNTIF('Danh mục tối ưu'!$H$5:$H$110,"*Blackboard*")</f>
        <v>3</v>
      </c>
      <c r="H22" s="21" t="n">
        <f aca="false">COUNTIFS('Danh mục tối ưu'!$H$5:$H$110,"*Blackboard*",'Danh mục tối ưu'!$K$5:$K$110,"P0")</f>
        <v>1</v>
      </c>
    </row>
    <row r="23" customFormat="false" ht="23.25" hidden="false" customHeight="true" outlineLevel="0" collapsed="false">
      <c r="A23" s="20" t="s">
        <v>1207</v>
      </c>
      <c r="B23" s="22" t="s">
        <v>1208</v>
      </c>
      <c r="C23" s="25" t="s">
        <v>1209</v>
      </c>
      <c r="D23" s="20" t="s">
        <v>1210</v>
      </c>
      <c r="E23" s="20" t="s">
        <v>1211</v>
      </c>
      <c r="F23" s="21" t="s">
        <v>1164</v>
      </c>
      <c r="G23" s="21" t="n">
        <f aca="false">COUNTIF('Danh mục tối ưu'!$H$5:$H$110,"*Human-in-the-loop*")</f>
        <v>13</v>
      </c>
      <c r="H23" s="21" t="n">
        <f aca="false">COUNTIFS('Danh mục tối ưu'!$H$5:$H$110,"*Human-in-the-loop*",'Danh mục tối ưu'!$K$5:$K$110,"P0")</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3" min="2" style="1" width="34"/>
    <col collapsed="false" customWidth="true" hidden="false" outlineLevel="0" max="5" min="4" style="1" width="55"/>
  </cols>
  <sheetData>
    <row r="1" customFormat="false" ht="19.5" hidden="false" customHeight="true" outlineLevel="0" collapsed="false">
      <c r="A1" s="2" t="s">
        <v>1212</v>
      </c>
    </row>
    <row r="3" customFormat="false" ht="15" hidden="false" customHeight="true" outlineLevel="0" collapsed="false">
      <c r="A3" s="5" t="s">
        <v>1213</v>
      </c>
      <c r="B3" s="5" t="s">
        <v>1214</v>
      </c>
      <c r="C3" s="5" t="s">
        <v>1215</v>
      </c>
      <c r="D3" s="5" t="s">
        <v>1216</v>
      </c>
      <c r="E3" s="5" t="s">
        <v>1217</v>
      </c>
    </row>
    <row r="4" customFormat="false" ht="34.5" hidden="false" customHeight="true" outlineLevel="0" collapsed="false">
      <c r="A4" s="21" t="n">
        <v>1</v>
      </c>
      <c r="B4" s="22" t="s">
        <v>1218</v>
      </c>
      <c r="C4" s="20" t="s">
        <v>1219</v>
      </c>
      <c r="D4" s="20" t="s">
        <v>1220</v>
      </c>
      <c r="E4" s="20" t="s">
        <v>1221</v>
      </c>
    </row>
    <row r="5" customFormat="false" ht="23.25" hidden="false" customHeight="true" outlineLevel="0" collapsed="false">
      <c r="A5" s="21" t="n">
        <v>2</v>
      </c>
      <c r="B5" s="22" t="s">
        <v>1222</v>
      </c>
      <c r="C5" s="20" t="s">
        <v>1223</v>
      </c>
      <c r="D5" s="20" t="s">
        <v>1224</v>
      </c>
      <c r="E5" s="20" t="s">
        <v>1225</v>
      </c>
    </row>
    <row r="6" customFormat="false" ht="23.25" hidden="false" customHeight="true" outlineLevel="0" collapsed="false">
      <c r="A6" s="21" t="n">
        <v>3</v>
      </c>
      <c r="B6" s="22" t="s">
        <v>1226</v>
      </c>
      <c r="C6" s="20" t="s">
        <v>1227</v>
      </c>
      <c r="D6" s="20" t="s">
        <v>1228</v>
      </c>
      <c r="E6" s="20" t="s">
        <v>1229</v>
      </c>
    </row>
    <row r="7" customFormat="false" ht="23.25" hidden="false" customHeight="true" outlineLevel="0" collapsed="false">
      <c r="A7" s="21" t="n">
        <v>4</v>
      </c>
      <c r="B7" s="22" t="s">
        <v>1230</v>
      </c>
      <c r="C7" s="20" t="s">
        <v>1231</v>
      </c>
      <c r="D7" s="20" t="s">
        <v>1232</v>
      </c>
      <c r="E7" s="20" t="s">
        <v>1233</v>
      </c>
    </row>
    <row r="8" customFormat="false" ht="23.25" hidden="false" customHeight="true" outlineLevel="0" collapsed="false">
      <c r="A8" s="21" t="n">
        <v>5</v>
      </c>
      <c r="B8" s="22" t="s">
        <v>1234</v>
      </c>
      <c r="C8" s="20" t="s">
        <v>1235</v>
      </c>
      <c r="D8" s="20" t="s">
        <v>1236</v>
      </c>
      <c r="E8" s="20" t="s">
        <v>1237</v>
      </c>
    </row>
    <row r="9" customFormat="false" ht="34.5" hidden="false" customHeight="true" outlineLevel="0" collapsed="false">
      <c r="A9" s="21" t="n">
        <v>6</v>
      </c>
      <c r="B9" s="22" t="s">
        <v>1238</v>
      </c>
      <c r="C9" s="20" t="s">
        <v>1239</v>
      </c>
      <c r="D9" s="20" t="s">
        <v>1240</v>
      </c>
      <c r="E9" s="20" t="s">
        <v>1241</v>
      </c>
    </row>
    <row r="10" customFormat="false" ht="23.25" hidden="false" customHeight="true" outlineLevel="0" collapsed="false">
      <c r="A10" s="21" t="n">
        <v>7</v>
      </c>
      <c r="B10" s="22" t="s">
        <v>1242</v>
      </c>
      <c r="C10" s="20" t="s">
        <v>1243</v>
      </c>
      <c r="D10" s="20" t="s">
        <v>1244</v>
      </c>
      <c r="E10" s="20" t="s">
        <v>1245</v>
      </c>
    </row>
    <row r="11" customFormat="false" ht="23.25" hidden="false" customHeight="true" outlineLevel="0" collapsed="false">
      <c r="A11" s="21" t="n">
        <v>8</v>
      </c>
      <c r="B11" s="22" t="s">
        <v>1246</v>
      </c>
      <c r="C11" s="20" t="s">
        <v>1247</v>
      </c>
      <c r="D11" s="20" t="s">
        <v>1248</v>
      </c>
      <c r="E11" s="20" t="s">
        <v>1249</v>
      </c>
    </row>
    <row r="12" customFormat="false" ht="23.25" hidden="false" customHeight="true" outlineLevel="0" collapsed="false">
      <c r="A12" s="21" t="n">
        <v>9</v>
      </c>
      <c r="B12" s="22" t="s">
        <v>1250</v>
      </c>
      <c r="C12" s="20" t="s">
        <v>1251</v>
      </c>
      <c r="D12" s="20" t="s">
        <v>1252</v>
      </c>
      <c r="E12" s="20" t="s">
        <v>1253</v>
      </c>
    </row>
    <row r="13" customFormat="false" ht="23.25" hidden="false" customHeight="true" outlineLevel="0" collapsed="false">
      <c r="A13" s="21" t="n">
        <v>10</v>
      </c>
      <c r="B13" s="22" t="s">
        <v>1254</v>
      </c>
      <c r="C13" s="20" t="s">
        <v>1255</v>
      </c>
      <c r="D13" s="20" t="s">
        <v>1256</v>
      </c>
      <c r="E13" s="20" t="s">
        <v>1257</v>
      </c>
    </row>
    <row r="14" customFormat="false" ht="23.25" hidden="false" customHeight="true" outlineLevel="0" collapsed="false">
      <c r="A14" s="21" t="n">
        <v>11</v>
      </c>
      <c r="B14" s="22" t="s">
        <v>1258</v>
      </c>
      <c r="C14" s="20" t="s">
        <v>1259</v>
      </c>
      <c r="D14" s="20" t="s">
        <v>1260</v>
      </c>
      <c r="E14" s="20" t="s">
        <v>1261</v>
      </c>
    </row>
    <row r="15" customFormat="false" ht="23.25" hidden="false" customHeight="true" outlineLevel="0" collapsed="false">
      <c r="A15" s="21" t="n">
        <v>12</v>
      </c>
      <c r="B15" s="22" t="s">
        <v>1262</v>
      </c>
      <c r="C15" s="20" t="s">
        <v>1263</v>
      </c>
      <c r="D15" s="20" t="s">
        <v>1264</v>
      </c>
      <c r="E15" s="20" t="s">
        <v>1265</v>
      </c>
    </row>
    <row r="16" customFormat="false" ht="23.25" hidden="false" customHeight="true" outlineLevel="0" collapsed="false">
      <c r="A16" s="21" t="n">
        <v>13</v>
      </c>
      <c r="B16" s="22" t="s">
        <v>1266</v>
      </c>
      <c r="C16" s="20" t="s">
        <v>1267</v>
      </c>
      <c r="D16" s="20" t="s">
        <v>1268</v>
      </c>
      <c r="E16" s="20" t="s">
        <v>1269</v>
      </c>
    </row>
    <row r="17" customFormat="false" ht="15" hidden="false" customHeight="true" outlineLevel="0" collapsed="false">
      <c r="A17" s="21" t="n">
        <v>14</v>
      </c>
      <c r="B17" s="22" t="s">
        <v>1270</v>
      </c>
      <c r="C17" s="20" t="s">
        <v>1271</v>
      </c>
      <c r="D17" s="20" t="s">
        <v>1272</v>
      </c>
      <c r="E17" s="20" t="s">
        <v>1273</v>
      </c>
    </row>
    <row r="18" customFormat="false" ht="23.25" hidden="false" customHeight="true" outlineLevel="0" collapsed="false">
      <c r="A18" s="21" t="n">
        <v>15</v>
      </c>
      <c r="B18" s="22" t="s">
        <v>1274</v>
      </c>
      <c r="C18" s="20" t="s">
        <v>1275</v>
      </c>
      <c r="D18" s="20" t="s">
        <v>1276</v>
      </c>
      <c r="E18" s="20" t="s">
        <v>1277</v>
      </c>
    </row>
    <row r="19" customFormat="false" ht="102" hidden="false" customHeight="true" outlineLevel="0" collapsed="false">
      <c r="A19" s="21" t="n">
        <v>16</v>
      </c>
      <c r="B19" s="22" t="s">
        <v>1278</v>
      </c>
      <c r="C19" s="20" t="s">
        <v>1279</v>
      </c>
      <c r="D19" s="20" t="s">
        <v>1280</v>
      </c>
      <c r="E19" s="20" t="s">
        <v>1281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10"/>
  </cols>
  <sheetData>
    <row r="1" customFormat="false" ht="19.5" hidden="false" customHeight="true" outlineLevel="0" collapsed="false">
      <c r="A1" s="2" t="s">
        <v>1282</v>
      </c>
    </row>
    <row r="3" customFormat="false" ht="23.25" hidden="false" customHeight="true" outlineLevel="0" collapsed="false">
      <c r="A3" s="22" t="s">
        <v>1283</v>
      </c>
      <c r="B3" s="20" t="s">
        <v>1284</v>
      </c>
    </row>
    <row r="4" customFormat="false" ht="23.25" hidden="false" customHeight="true" outlineLevel="0" collapsed="false">
      <c r="A4" s="22" t="s">
        <v>1285</v>
      </c>
      <c r="B4" s="20" t="s">
        <v>1286</v>
      </c>
    </row>
    <row r="5" customFormat="false" ht="23.25" hidden="false" customHeight="true" outlineLevel="0" collapsed="false">
      <c r="A5" s="22" t="s">
        <v>1287</v>
      </c>
      <c r="B5" s="20" t="s">
        <v>1288</v>
      </c>
    </row>
    <row r="6" customFormat="false" ht="45.75" hidden="false" customHeight="true" outlineLevel="0" collapsed="false">
      <c r="A6" s="22" t="s">
        <v>1289</v>
      </c>
      <c r="B6" s="20" t="s">
        <v>1290</v>
      </c>
    </row>
    <row r="7" customFormat="false" ht="23.25" hidden="false" customHeight="true" outlineLevel="0" collapsed="false">
      <c r="A7" s="22" t="s">
        <v>1291</v>
      </c>
      <c r="B7" s="20" t="s">
        <v>1292</v>
      </c>
    </row>
    <row r="8" customFormat="false" ht="23.25" hidden="false" customHeight="true" outlineLevel="0" collapsed="false">
      <c r="A8" s="22" t="s">
        <v>1293</v>
      </c>
      <c r="B8" s="20" t="s">
        <v>1294</v>
      </c>
    </row>
    <row r="9" customFormat="false" ht="15" hidden="false" customHeight="true" outlineLevel="0" collapsed="false">
      <c r="A9" s="22" t="s">
        <v>1295</v>
      </c>
      <c r="B9" s="20" t="s">
        <v>1296</v>
      </c>
    </row>
    <row r="10" customFormat="false" ht="15" hidden="false" customHeight="true" outlineLevel="0" collapsed="false">
      <c r="A10" s="22" t="s">
        <v>1297</v>
      </c>
      <c r="B10" s="20" t="s">
        <v>1298</v>
      </c>
    </row>
    <row r="11" customFormat="false" ht="15" hidden="false" customHeight="true" outlineLevel="0" collapsed="false">
      <c r="A11" s="22" t="s">
        <v>1299</v>
      </c>
      <c r="B11" s="20" t="s">
        <v>1300</v>
      </c>
    </row>
    <row r="12" customFormat="false" ht="15" hidden="false" customHeight="true" outlineLevel="0" collapsed="false">
      <c r="A12" s="22" t="s">
        <v>1301</v>
      </c>
      <c r="B12" s="20" t="s">
        <v>1302</v>
      </c>
    </row>
    <row r="13" customFormat="false" ht="15" hidden="false" customHeight="true" outlineLevel="0" collapsed="false">
      <c r="A13" s="22" t="s">
        <v>1303</v>
      </c>
      <c r="B13" s="20" t="s">
        <v>1304</v>
      </c>
    </row>
    <row r="14" customFormat="false" ht="15" hidden="false" customHeight="true" outlineLevel="0" collapsed="false">
      <c r="A14" s="22" t="s">
        <v>1305</v>
      </c>
      <c r="B14" s="20" t="s">
        <v>1306</v>
      </c>
    </row>
    <row r="15" customFormat="false" ht="15" hidden="false" customHeight="true" outlineLevel="0" collapsed="false">
      <c r="A15" s="22" t="s">
        <v>1307</v>
      </c>
      <c r="B15" s="20" t="s">
        <v>1308</v>
      </c>
    </row>
    <row r="16" customFormat="false" ht="15" hidden="false" customHeight="true" outlineLevel="0" collapsed="false">
      <c r="A16" s="22" t="s">
        <v>1309</v>
      </c>
      <c r="B16" s="20" t="s">
        <v>1310</v>
      </c>
    </row>
    <row r="17" customFormat="false" ht="15" hidden="false" customHeight="true" outlineLevel="0" collapsed="false">
      <c r="A17" s="22" t="s">
        <v>1311</v>
      </c>
      <c r="B17" s="20" t="s">
        <v>1312</v>
      </c>
    </row>
    <row r="18" customFormat="false" ht="15" hidden="false" customHeight="true" outlineLevel="0" collapsed="false">
      <c r="A18" s="22" t="s">
        <v>1313</v>
      </c>
      <c r="B18" s="20" t="s">
        <v>1314</v>
      </c>
    </row>
    <row r="19" customFormat="false" ht="15" hidden="false" customHeight="true" outlineLevel="0" collapsed="false">
      <c r="A19" s="22" t="s">
        <v>1315</v>
      </c>
      <c r="B19" s="20" t="s">
        <v>1316</v>
      </c>
    </row>
    <row r="20" customFormat="false" ht="15" hidden="false" customHeight="true" outlineLevel="0" collapsed="false">
      <c r="A20" s="22" t="s">
        <v>1317</v>
      </c>
      <c r="B20" s="20" t="s">
        <v>1318</v>
      </c>
    </row>
    <row r="21" customFormat="false" ht="15" hidden="false" customHeight="true" outlineLevel="0" collapsed="false">
      <c r="A21" s="22" t="s">
        <v>1319</v>
      </c>
      <c r="B21" s="20" t="s">
        <v>1320</v>
      </c>
    </row>
    <row r="22" customFormat="false" ht="15" hidden="false" customHeight="true" outlineLevel="0" collapsed="false">
      <c r="A22" s="22" t="s">
        <v>1321</v>
      </c>
      <c r="B22" s="20" t="s">
        <v>1322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2026-10-06T07:40:55Z</dcterms:created>
  <dc:creator>openpyxl</dc:creator>
  <dc:description/>
  <dc:language>en-US</dc:language>
  <cp:lastModifiedBy/>
  <dcterms:modified xsi:type="dcterms:W3CDTF">2026-10-06T09:15:32Z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
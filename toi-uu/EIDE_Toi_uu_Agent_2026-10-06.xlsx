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ổng quan" sheetId="1" state="visible" r:id="rId1"/>
    <sheet xmlns:r="http://schemas.openxmlformats.org/officeDocument/2006/relationships" name="Tiến độ 07-10-2026" sheetId="2" state="visible" r:id="rId2"/>
    <sheet xmlns:r="http://schemas.openxmlformats.org/officeDocument/2006/relationships" name="Tiến độ 08-10-2026" sheetId="3" state="visible" r:id="rId3"/>
    <sheet xmlns:r="http://schemas.openxmlformats.org/officeDocument/2006/relationships" name="Tiến độ 08-10-2026 (chiều)" sheetId="4" state="visible" r:id="rId4"/>
    <sheet xmlns:r="http://schemas.openxmlformats.org/officeDocument/2006/relationships" name="Tiến độ 08-10-2026 (toi)" sheetId="5" state="visible" r:id="rId5"/>
    <sheet xmlns:r="http://schemas.openxmlformats.org/officeDocument/2006/relationships" name="Tiến độ 08-10-2026 (khuya)" sheetId="6" state="visible" r:id="rId6"/>
    <sheet xmlns:r="http://schemas.openxmlformats.org/officeDocument/2006/relationships" name="Tiến độ 09-10-2026" sheetId="7" state="visible" r:id="rId7"/>
    <sheet xmlns:r="http://schemas.openxmlformats.org/officeDocument/2006/relationships" name="Tiến độ 09-10-2026 (chiều)" sheetId="8" state="visible" r:id="rId8"/>
    <sheet xmlns:r="http://schemas.openxmlformats.org/officeDocument/2006/relationships" name="Tiến độ 09-10-2026 (toi)" sheetId="9" state="visible" r:id="rId9"/>
    <sheet xmlns:r="http://schemas.openxmlformats.org/officeDocument/2006/relationships" name="Tiến độ 09-10-2026 (khuya)" sheetId="10" state="visible" r:id="rId10"/>
    <sheet xmlns:r="http://schemas.openxmlformats.org/officeDocument/2006/relationships" name="Danh mục tối ưu" sheetId="11" state="visible" r:id="rId11"/>
    <sheet xmlns:r="http://schemas.openxmlformats.org/officeDocument/2006/relationships" name="Đối chiếu 18 mẫu" sheetId="12" state="visible" r:id="rId12"/>
    <sheet xmlns:r="http://schemas.openxmlformats.org/officeDocument/2006/relationships" name="Điểm mạnh cần giữ" sheetId="13" state="visible" r:id="rId13"/>
    <sheet xmlns:r="http://schemas.openxmlformats.org/officeDocument/2006/relationships" name="Phương pháp &amp; nguồn" sheetId="14" state="visible" r:id="rId14"/>
  </sheets>
  <definedNames>
    <definedName name="_xlnm._FilterDatabase" localSheetId="10" hidden="1">'Danh mục tối ưu'!$A$4:$S$110</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sz val="10"/>
    </font>
    <font>
      <name val="Arial"/>
      <charset val="1"/>
      <family val="0"/>
      <b val="1"/>
      <color rgb="FFFFFFFF"/>
      <sz val="10"/>
    </font>
    <font>
      <name val="Arial"/>
      <charset val="1"/>
      <family val="0"/>
      <sz val="10"/>
    </font>
    <font>
      <name val="Calibri"/>
      <family val="2"/>
      <b val="1"/>
      <color rgb="FF000000"/>
      <sz val="18"/>
    </font>
    <font>
      <name val="Calibri"/>
      <family val="2"/>
      <color rgb="FF000000"/>
      <sz val="10"/>
    </font>
    <font>
      <b val="1"/>
      <color rgb="00FFFFFF"/>
    </font>
    <font>
      <b val="1"/>
    </font>
    <font>
      <b val="1"/>
      <sz val="14"/>
    </font>
    <font/>
  </fonts>
  <fills count="14">
    <fill>
      <patternFill/>
    </fill>
    <fill>
      <patternFill patternType="gray125"/>
    </fill>
    <fill>
      <patternFill patternType="solid">
        <fgColor rgb="FF1F3864"/>
        <bgColor rgb="FF333333"/>
      </patternFill>
    </fill>
    <fill>
      <patternFill patternType="solid">
        <fgColor rgb="FFD9E1F2"/>
        <bgColor rgb="FFD9D9D9"/>
      </patternFill>
    </fill>
    <fill>
      <patternFill patternType="solid">
        <fgColor rgb="FFF8CBAD"/>
        <bgColor rgb="FFFFC7CE"/>
      </patternFill>
    </fill>
    <fill>
      <patternFill patternType="solid">
        <fgColor rgb="FFFCE4D6"/>
        <bgColor rgb="FFFFF2CC"/>
      </patternFill>
    </fill>
    <fill>
      <patternFill patternType="solid">
        <fgColor rgb="FFFFF2CC"/>
        <bgColor rgb="FFFCE4D6"/>
      </patternFill>
    </fill>
    <fill>
      <patternFill patternType="solid">
        <fgColor rgb="FFEDEDED"/>
        <bgColor rgb="FFFCE4D6"/>
      </patternFill>
    </fill>
    <fill>
      <patternFill patternType="solid">
        <fgColor rgb="FFFFEB9C"/>
        <bgColor rgb="FFFFF2CC"/>
      </patternFill>
    </fill>
    <fill>
      <patternFill patternType="solid">
        <fgColor rgb="FFFFC7CE"/>
        <bgColor rgb="FFF8CBAD"/>
      </patternFill>
    </fill>
    <fill>
      <patternFill patternType="solid">
        <fgColor rgb="FFC6EFCE"/>
        <bgColor rgb="FFD9E1F2"/>
      </patternFill>
    </fill>
    <fill>
      <patternFill patternType="solid">
        <fgColor rgb="002F5496"/>
      </patternFill>
    </fill>
    <fill>
      <patternFill patternType="solid">
        <fgColor rgb="00C6EFCE"/>
      </patternFill>
    </fill>
    <fill>
      <patternFill patternType="solid">
        <fgColor rgb="00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6" fillId="0" borderId="1" applyAlignment="1" pivotButton="0" quotePrefix="0" xfId="0">
      <alignment horizontal="left" vertical="bottom"/>
    </xf>
    <xf numFmtId="0" fontId="8" fillId="0" borderId="1" applyAlignment="1" pivotButton="0" quotePrefix="0" xfId="0">
      <alignment horizontal="center" vertical="bottom"/>
    </xf>
    <xf numFmtId="0" fontId="6" fillId="3" borderId="1" applyAlignment="1" pivotButton="0" quotePrefix="0" xfId="0">
      <alignment horizontal="left" vertical="bottom"/>
    </xf>
    <xf numFmtId="0" fontId="6" fillId="3" borderId="1" applyAlignment="1" pivotButton="0" quotePrefix="0" xfId="0">
      <alignment horizontal="center" vertical="bottom"/>
    </xf>
    <xf numFmtId="0" fontId="8" fillId="0" borderId="1" applyAlignment="1" pivotButton="0" quotePrefix="0" xfId="0">
      <alignment horizontal="left" vertical="bottom"/>
    </xf>
    <xf numFmtId="9" fontId="8" fillId="0" borderId="1" applyAlignment="1" pivotButton="0" quotePrefix="0" xfId="0">
      <alignment horizontal="center" vertical="bottom"/>
    </xf>
    <xf numFmtId="0" fontId="8" fillId="0" borderId="0" applyAlignment="1" pivotButton="0" quotePrefix="0" xfId="0">
      <alignment horizontal="general" vertical="top" wrapText="1"/>
    </xf>
    <xf numFmtId="0" fontId="6" fillId="4" borderId="1" applyAlignment="1" pivotButton="0" quotePrefix="0" xfId="0">
      <alignment horizontal="general" vertical="bottom"/>
    </xf>
    <xf numFmtId="0" fontId="8" fillId="0" borderId="0"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6" fillId="7"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center" vertical="top" wrapText="1"/>
    </xf>
    <xf numFmtId="0" fontId="8" fillId="0" borderId="1" applyAlignment="1" pivotButton="0" quotePrefix="0" xfId="0">
      <alignment horizontal="general" vertical="top" wrapText="1"/>
    </xf>
    <xf numFmtId="0" fontId="8" fillId="0" borderId="1" applyAlignment="1" pivotButton="0" quotePrefix="0" xfId="0">
      <alignment horizontal="center" vertical="top" wrapText="1"/>
    </xf>
    <xf numFmtId="0" fontId="6" fillId="0" borderId="1" applyAlignment="1" pivotButton="0" quotePrefix="0" xfId="0">
      <alignment horizontal="general" vertical="top" wrapText="1"/>
    </xf>
    <xf numFmtId="0" fontId="8" fillId="8" borderId="1" applyAlignment="1" pivotButton="0" quotePrefix="0" xfId="0">
      <alignment horizontal="center" vertical="top" wrapText="1"/>
    </xf>
    <xf numFmtId="0" fontId="8" fillId="9" borderId="1" applyAlignment="1" pivotButton="0" quotePrefix="0" xfId="0">
      <alignment horizontal="center" vertical="top" wrapText="1"/>
    </xf>
    <xf numFmtId="0" fontId="8" fillId="1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6" fillId="0" borderId="1" applyAlignment="1" pivotButton="0" quotePrefix="0" xfId="0">
      <alignment horizontal="left" vertical="bottom"/>
    </xf>
    <xf numFmtId="0" fontId="8" fillId="0" borderId="1" applyAlignment="1" pivotButton="0" quotePrefix="0" xfId="0">
      <alignment horizontal="center" vertical="bottom"/>
    </xf>
    <xf numFmtId="0" fontId="6" fillId="3" borderId="1" applyAlignment="1" pivotButton="0" quotePrefix="0" xfId="0">
      <alignment horizontal="left" vertical="bottom"/>
    </xf>
    <xf numFmtId="0" fontId="6" fillId="3" borderId="1" applyAlignment="1" pivotButton="0" quotePrefix="0" xfId="0">
      <alignment horizontal="center" vertical="bottom"/>
    </xf>
    <xf numFmtId="0" fontId="8" fillId="0" borderId="1" applyAlignment="1" pivotButton="0" quotePrefix="0" xfId="0">
      <alignment horizontal="left" vertical="bottom"/>
    </xf>
    <xf numFmtId="9" fontId="8" fillId="0" borderId="1" applyAlignment="1" pivotButton="0" quotePrefix="0" xfId="0">
      <alignment horizontal="center" vertical="bottom"/>
    </xf>
    <xf numFmtId="0" fontId="8" fillId="0" borderId="0" applyAlignment="1" pivotButton="0" quotePrefix="0" xfId="0">
      <alignment horizontal="general" vertical="top" wrapText="1"/>
    </xf>
    <xf numFmtId="0" fontId="6" fillId="4" borderId="1" applyAlignment="1" pivotButton="0" quotePrefix="0" xfId="0">
      <alignment horizontal="general" vertical="bottom"/>
    </xf>
    <xf numFmtId="0" fontId="8" fillId="0" borderId="0"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6" fillId="7" borderId="1" applyAlignment="1" pivotButton="0" quotePrefix="0" xfId="0">
      <alignment horizontal="general" vertical="bottom"/>
    </xf>
    <xf numFmtId="0" fontId="6" fillId="0" borderId="1" applyAlignment="1" pivotButton="0" quotePrefix="0" xfId="0">
      <alignment horizontal="general" vertical="bottom"/>
    </xf>
    <xf numFmtId="0" fontId="11" fillId="11" borderId="0" applyAlignment="1" pivotButton="0" quotePrefix="0" xfId="0">
      <alignment vertical="center" wrapText="1"/>
    </xf>
    <xf numFmtId="0" fontId="6" fillId="0" borderId="1" applyAlignment="1" pivotButton="0" quotePrefix="0" xfId="0">
      <alignment horizontal="center" vertical="top" wrapText="1"/>
    </xf>
    <xf numFmtId="0" fontId="8" fillId="0" borderId="1" applyAlignment="1" pivotButton="0" quotePrefix="0" xfId="0">
      <alignment horizontal="general" vertical="top" wrapText="1"/>
    </xf>
    <xf numFmtId="0" fontId="8" fillId="0" borderId="1" applyAlignment="1" pivotButton="0" quotePrefix="0" xfId="0">
      <alignment horizontal="center" vertical="top" wrapText="1"/>
    </xf>
    <xf numFmtId="0" fontId="12" fillId="12" borderId="1" applyAlignment="1" pivotButton="0" quotePrefix="0" xfId="0">
      <alignment horizontal="center" vertical="top" wrapText="1"/>
    </xf>
    <xf numFmtId="0" fontId="0" fillId="12" borderId="0" applyAlignment="1" pivotButton="0" quotePrefix="0" xfId="0">
      <alignment vertical="top" wrapText="1"/>
    </xf>
    <xf numFmtId="0" fontId="12" fillId="13" borderId="1" applyAlignment="1" pivotButton="0" quotePrefix="0" xfId="0">
      <alignment horizontal="center" vertical="top" wrapText="1"/>
    </xf>
    <xf numFmtId="0" fontId="0" fillId="13" borderId="0" applyAlignment="1" pivotButton="0" quotePrefix="0" xfId="0">
      <alignment vertical="top" wrapText="1"/>
    </xf>
    <xf numFmtId="0" fontId="6" fillId="0" borderId="1" applyAlignment="1" pivotButton="0" quotePrefix="0" xfId="0">
      <alignment horizontal="general" vertical="top" wrapText="1"/>
    </xf>
    <xf numFmtId="0" fontId="8" fillId="8" borderId="1" applyAlignment="1" pivotButton="0" quotePrefix="0" xfId="0">
      <alignment horizontal="center" vertical="top" wrapText="1"/>
    </xf>
    <xf numFmtId="0" fontId="8" fillId="9" borderId="1" applyAlignment="1" pivotButton="0" quotePrefix="0" xfId="0">
      <alignment horizontal="center" vertical="top" wrapText="1"/>
    </xf>
    <xf numFmtId="0" fontId="8" fillId="10" borderId="1" applyAlignment="1" pivotButton="0" quotePrefix="0" xfId="0">
      <alignment horizontal="center" vertical="top" wrapText="1"/>
    </xf>
    <xf numFmtId="0" fontId="13" fillId="0" borderId="0" pivotButton="0" quotePrefix="0" xfId="0"/>
    <xf numFmtId="0" fontId="0" fillId="0" borderId="0" applyAlignment="1" pivotButton="0" quotePrefix="0" xfId="0">
      <alignment wrapText="1"/>
    </xf>
    <xf numFmtId="0" fontId="11" fillId="11" borderId="2" applyAlignment="1" pivotButton="0" quotePrefix="0" xfId="0">
      <alignment vertical="center" wrapText="1"/>
    </xf>
    <xf numFmtId="0" fontId="14" fillId="0" borderId="2" pivotButton="0" quotePrefix="0" xfId="0"/>
    <xf numFmtId="0" fontId="0" fillId="0" borderId="2" applyAlignment="1" pivotButton="0" quotePrefix="0" xfId="0">
      <alignment wrapText="1"/>
    </xf>
    <xf numFmtId="0" fontId="12" fillId="0" borderId="2" pivotButton="0" quotePrefix="0" xfId="0"/>
    <xf numFmtId="0" fontId="0" fillId="0" borderId="2" applyAlignment="1" pivotButton="0" quotePrefix="0" xfId="0">
      <alignment vertical="top" wrapText="1"/>
    </xf>
    <xf numFmtId="0" fontId="0" fillId="13"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bgColor rgb="FFF8CBAD"/>
        </patternFill>
      </fill>
    </dxf>
    <dxf>
      <fill>
        <patternFill>
          <bgColor rgb="FFFCE4D6"/>
        </patternFill>
      </fill>
    </dxf>
    <dxf>
      <fill>
        <patternFill>
          <bgColor rgb="FFFFF2CC"/>
        </patternFill>
      </fill>
    </dxf>
    <dxf>
      <fill>
        <patternFill>
          <bgColor rgb="FFEDEDED"/>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FCE4D6"/>
      <rgbColor rgb="FFFFC7CE"/>
      <rgbColor rgb="FFCC99FF"/>
      <rgbColor rgb="FFF8CBAD"/>
      <rgbColor rgb="FF3366FF"/>
      <rgbColor rgb="FF33CCCC"/>
      <rgbColor rgb="FF99CC00"/>
      <rgbColor rgb="FFFFC000"/>
      <rgbColor rgb="FFF79646"/>
      <rgbColor rgb="FFFF6600"/>
      <rgbColor rgb="FF595959"/>
      <rgbColor rgb="FFA5A5A5"/>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Đề xuất theo mảng và ưu tiên</a:t>
            </a:r>
          </a:p>
        </rich>
      </tx>
      <overlay val="0"/>
      <spPr>
        <a:noFill xmlns:a="http://schemas.openxmlformats.org/drawingml/2006/main"/>
        <a:ln xmlns:a="http://schemas.openxmlformats.org/drawingml/2006/main" w="0">
          <a:noFill/>
          <a:prstDash val="solid"/>
        </a:ln>
      </spPr>
    </title>
    <plotArea>
      <barChart>
        <barDir val="bar"/>
        <grouping val="stacked"/>
        <varyColors val="0"/>
        <ser>
          <idx val="0"/>
          <order val="0"/>
          <tx>
            <strRef>
              <f>'Tổng quan'!B5</f>
              <strCache>
                <ptCount val="1"/>
                <pt idx="0">
                  <v>P0</v>
                </pt>
              </strCache>
            </strRef>
          </tx>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ctr"/>
            <showLegendKey val="0"/>
            <showVal val="0"/>
            <showCatName val="0"/>
            <showSerName val="0"/>
            <showPercent val="0"/>
            <showLeaderLines val="1"/>
          </dLbls>
          <cat>
            <strRef>
              <f>'Tổng quan'!$A$6:$A$10</f>
              <strCache>
                <ptCount val="5"/>
                <pt idx="0">
                  <v>1. Lõi tác tử</v>
                </pt>
                <pt idx="1">
                  <v>2. Phân tích &amp; thiết kế phần mềm</v>
                </pt>
                <pt idx="2">
                  <v>3. Mạch, ERC, HDL/FPGA</v>
                </pt>
                <pt idx="3">
                  <v>4. Kiểm thử &amp; kiểm chứng</v>
                </pt>
                <pt idx="4">
                  <v>5. Tri thức, RAG &amp; bộ nhớ</v>
                </pt>
              </strCache>
            </strRef>
          </cat>
          <val>
            <numRef>
              <f>'Tổng quan'!$B$6:$B$10</f>
              <numCache>
                <formatCode>General</formatCode>
                <ptCount val="5"/>
                <pt idx="0">
                  <v>3</v>
                </pt>
                <pt idx="1">
                  <v>5</v>
                </pt>
                <pt idx="2">
                  <v>8</v>
                </pt>
                <pt idx="3">
                  <v>7</v>
                </pt>
                <pt idx="4">
                  <v>7</v>
                </pt>
              </numCache>
            </numRef>
          </val>
        </ser>
        <ser>
          <idx val="1"/>
          <order val="1"/>
          <tx>
            <strRef>
              <f>'Tổng quan'!C5</f>
              <strCache>
                <ptCount val="1"/>
                <pt idx="0">
                  <v>P1</v>
                </pt>
              </strCache>
            </strRef>
          </tx>
          <spPr>
            <a:solidFill xmlns:a="http://schemas.openxmlformats.org/drawingml/2006/main">
              <a:srgbClr val="f79646"/>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ctr"/>
            <showLegendKey val="0"/>
            <showVal val="0"/>
            <showCatName val="0"/>
            <showSerName val="0"/>
            <showPercent val="0"/>
            <showLeaderLines val="1"/>
          </dLbls>
          <cat>
            <strRef>
              <f>'Tổng quan'!$A$6:$A$10</f>
              <strCache>
                <ptCount val="5"/>
                <pt idx="0">
                  <v>1. Lõi tác tử</v>
                </pt>
                <pt idx="1">
                  <v>2. Phân tích &amp; thiết kế phần mềm</v>
                </pt>
                <pt idx="2">
                  <v>3. Mạch, ERC, HDL/FPGA</v>
                </pt>
                <pt idx="3">
                  <v>4. Kiểm thử &amp; kiểm chứng</v>
                </pt>
                <pt idx="4">
                  <v>5. Tri thức, RAG &amp; bộ nhớ</v>
                </pt>
              </strCache>
            </strRef>
          </cat>
          <val>
            <numRef>
              <f>'Tổng quan'!$C$6:$C$10</f>
              <numCache>
                <formatCode>General</formatCode>
                <ptCount val="5"/>
                <pt idx="0">
                  <v>14</v>
                </pt>
                <pt idx="1">
                  <v>9</v>
                </pt>
                <pt idx="2">
                  <v>8</v>
                </pt>
                <pt idx="3">
                  <v>12</v>
                </pt>
                <pt idx="4">
                  <v>11</v>
                </pt>
              </numCache>
            </numRef>
          </val>
        </ser>
        <ser>
          <idx val="2"/>
          <order val="2"/>
          <tx>
            <strRef>
              <f>'Tổng quan'!D5</f>
              <strCache>
                <ptCount val="1"/>
                <pt idx="0">
                  <v>P2</v>
                </pt>
              </strCache>
            </strRef>
          </tx>
          <spPr>
            <a:solidFill xmlns:a="http://schemas.openxmlformats.org/drawingml/2006/main">
              <a:srgbClr val="ffc000"/>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ctr"/>
            <showLegendKey val="0"/>
            <showVal val="0"/>
            <showCatName val="0"/>
            <showSerName val="0"/>
            <showPercent val="0"/>
            <showLeaderLines val="1"/>
          </dLbls>
          <cat>
            <strRef>
              <f>'Tổng quan'!$A$6:$A$10</f>
              <strCache>
                <ptCount val="5"/>
                <pt idx="0">
                  <v>1. Lõi tác tử</v>
                </pt>
                <pt idx="1">
                  <v>2. Phân tích &amp; thiết kế phần mềm</v>
                </pt>
                <pt idx="2">
                  <v>3. Mạch, ERC, HDL/FPGA</v>
                </pt>
                <pt idx="3">
                  <v>4. Kiểm thử &amp; kiểm chứng</v>
                </pt>
                <pt idx="4">
                  <v>5. Tri thức, RAG &amp; bộ nhớ</v>
                </pt>
              </strCache>
            </strRef>
          </cat>
          <val>
            <numRef>
              <f>'Tổng quan'!$D$6:$D$10</f>
              <numCache>
                <formatCode>General</formatCode>
                <ptCount val="5"/>
                <pt idx="0">
                  <v>5</v>
                </pt>
                <pt idx="1">
                  <v>4</v>
                </pt>
                <pt idx="2">
                  <v>5</v>
                </pt>
                <pt idx="3">
                  <v>3</v>
                </pt>
                <pt idx="4">
                  <v>3</v>
                </pt>
              </numCache>
            </numRef>
          </val>
        </ser>
        <ser>
          <idx val="3"/>
          <order val="3"/>
          <tx>
            <strRef>
              <f>'Tổng quan'!E5</f>
              <strCache>
                <ptCount val="1"/>
                <pt idx="0">
                  <v>P3</v>
                </pt>
              </strCache>
            </strRef>
          </tx>
          <spPr>
            <a:solidFill xmlns:a="http://schemas.openxmlformats.org/drawingml/2006/main">
              <a:srgbClr val="a5a5a5"/>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ctr"/>
            <showLegendKey val="0"/>
            <showVal val="0"/>
            <showCatName val="0"/>
            <showSerName val="0"/>
            <showPercent val="0"/>
            <showLeaderLines val="1"/>
          </dLbls>
          <cat>
            <strRef>
              <f>'Tổng quan'!$A$6:$A$10</f>
              <strCache>
                <ptCount val="5"/>
                <pt idx="0">
                  <v>1. Lõi tác tử</v>
                </pt>
                <pt idx="1">
                  <v>2. Phân tích &amp; thiết kế phần mềm</v>
                </pt>
                <pt idx="2">
                  <v>3. Mạch, ERC, HDL/FPGA</v>
                </pt>
                <pt idx="3">
                  <v>4. Kiểm thử &amp; kiểm chứng</v>
                </pt>
                <pt idx="4">
                  <v>5. Tri thức, RAG &amp; bộ nhớ</v>
                </pt>
              </strCache>
            </strRef>
          </cat>
          <val>
            <numRef>
              <f>'Tổng quan'!$E$6:$E$10</f>
              <numCache>
                <formatCode>General</formatCode>
                <ptCount val="5"/>
                <pt idx="0">
                  <v>0</v>
                </pt>
                <pt idx="1">
                  <v>1</v>
                </pt>
                <pt idx="2">
                  <v>1</v>
                </pt>
                <pt idx="3">
                  <v>0</v>
                </pt>
                <pt idx="4">
                  <v>0</v>
                </pt>
              </numCache>
            </numRef>
          </val>
        </ser>
        <gapWidth val="150"/>
        <overlap val="100"/>
        <axId val="36019414"/>
        <axId val="80819319"/>
      </barChart>
      <catAx>
        <axId val="36019414"/>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0819319"/>
        <crosses val="autoZero"/>
        <auto val="1"/>
        <lblAlgn val="ctr"/>
        <lblOffset val="100"/>
        <noMultiLvlLbl val="0"/>
      </catAx>
      <valAx>
        <axId val="80819319"/>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601941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7</col>
      <colOff>0</colOff>
      <row>2</row>
      <rowOff>131040</rowOff>
    </from>
    <to>
      <col>15</col>
      <colOff>507240</colOff>
      <row>16</row>
      <rowOff>163440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G5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26" min="1" max="1"/>
    <col width="12" customWidth="1" style="26" min="2" max="7"/>
  </cols>
  <sheetData>
    <row r="1" ht="19.5" customHeight="1" s="27">
      <c r="A1" s="28" t="inlineStr">
        <is>
          <t>TỐI ƯU TÁC TỬ (AGENT) EIDE v3 — TỔNG QUAN</t>
        </is>
      </c>
    </row>
    <row r="2" ht="15" customHeight="1" s="27">
      <c r="A2" s="29" t="inlineStr">
        <is>
          <t>Đối chiếu mã nguồn EIDE v3 (src/eide, ~70 nghìn dòng toàn dự án) với 18 mẫu kiến trúc agent trong tài liệu 'Kiến trúc AI Agent'. Ngày rà soát: 06/10/2026.</t>
        </is>
      </c>
    </row>
    <row r="4" ht="15" customHeight="1" s="27">
      <c r="A4" s="30" t="inlineStr">
        <is>
          <t>1. Số đề xuất theo mảng và mức ưu tiên</t>
        </is>
      </c>
    </row>
    <row r="5" ht="15" customHeight="1" s="27">
      <c r="A5" s="31" t="inlineStr">
        <is>
          <t>Mảng</t>
        </is>
      </c>
      <c r="B5" s="31" t="inlineStr">
        <is>
          <t>P0</t>
        </is>
      </c>
      <c r="C5" s="31" t="inlineStr">
        <is>
          <t>P1</t>
        </is>
      </c>
      <c r="D5" s="31" t="inlineStr">
        <is>
          <t>P2</t>
        </is>
      </c>
      <c r="E5" s="31" t="inlineStr">
        <is>
          <t>P3</t>
        </is>
      </c>
      <c r="F5" s="31" t="inlineStr">
        <is>
          <t>Tổng</t>
        </is>
      </c>
    </row>
    <row r="6" ht="15" customHeight="1" s="27">
      <c r="A6" s="32" t="inlineStr">
        <is>
          <t>1. Lõi tác tử</t>
        </is>
      </c>
      <c r="B6" s="33">
        <f>COUNTIFS('Danh mục tối ưu'!$B$5:$B$110,$A6,'Danh mục tối ưu'!$K$5:$K$110,"P0")</f>
        <v/>
      </c>
      <c r="C6" s="33">
        <f>COUNTIFS('Danh mục tối ưu'!$B$5:$B$110,$A6,'Danh mục tối ưu'!$K$5:$K$110,"P1")</f>
        <v/>
      </c>
      <c r="D6" s="33">
        <f>COUNTIFS('Danh mục tối ưu'!$B$5:$B$110,$A6,'Danh mục tối ưu'!$K$5:$K$110,"P2")</f>
        <v/>
      </c>
      <c r="E6" s="33">
        <f>COUNTIFS('Danh mục tối ưu'!$B$5:$B$110,$A6,'Danh mục tối ưu'!$K$5:$K$110,"P3")</f>
        <v/>
      </c>
      <c r="F6" s="33">
        <f>SUM(B6:E6)</f>
        <v/>
      </c>
    </row>
    <row r="7" ht="15" customHeight="1" s="27">
      <c r="A7" s="32" t="inlineStr">
        <is>
          <t>2. Phân tích &amp; thiết kế phần mềm</t>
        </is>
      </c>
      <c r="B7" s="33">
        <f>COUNTIFS('Danh mục tối ưu'!$B$5:$B$110,$A7,'Danh mục tối ưu'!$K$5:$K$110,"P0")</f>
        <v/>
      </c>
      <c r="C7" s="33">
        <f>COUNTIFS('Danh mục tối ưu'!$B$5:$B$110,$A7,'Danh mục tối ưu'!$K$5:$K$110,"P1")</f>
        <v/>
      </c>
      <c r="D7" s="33">
        <f>COUNTIFS('Danh mục tối ưu'!$B$5:$B$110,$A7,'Danh mục tối ưu'!$K$5:$K$110,"P2")</f>
        <v/>
      </c>
      <c r="E7" s="33">
        <f>COUNTIFS('Danh mục tối ưu'!$B$5:$B$110,$A7,'Danh mục tối ưu'!$K$5:$K$110,"P3")</f>
        <v/>
      </c>
      <c r="F7" s="33">
        <f>SUM(B7:E7)</f>
        <v/>
      </c>
    </row>
    <row r="8" ht="15" customHeight="1" s="27">
      <c r="A8" s="32" t="inlineStr">
        <is>
          <t>3. Mạch, ERC, HDL/FPGA</t>
        </is>
      </c>
      <c r="B8" s="33">
        <f>COUNTIFS('Danh mục tối ưu'!$B$5:$B$110,$A8,'Danh mục tối ưu'!$K$5:$K$110,"P0")</f>
        <v/>
      </c>
      <c r="C8" s="33">
        <f>COUNTIFS('Danh mục tối ưu'!$B$5:$B$110,$A8,'Danh mục tối ưu'!$K$5:$K$110,"P1")</f>
        <v/>
      </c>
      <c r="D8" s="33">
        <f>COUNTIFS('Danh mục tối ưu'!$B$5:$B$110,$A8,'Danh mục tối ưu'!$K$5:$K$110,"P2")</f>
        <v/>
      </c>
      <c r="E8" s="33">
        <f>COUNTIFS('Danh mục tối ưu'!$B$5:$B$110,$A8,'Danh mục tối ưu'!$K$5:$K$110,"P3")</f>
        <v/>
      </c>
      <c r="F8" s="33">
        <f>SUM(B8:E8)</f>
        <v/>
      </c>
    </row>
    <row r="9" ht="15" customHeight="1" s="27">
      <c r="A9" s="32" t="inlineStr">
        <is>
          <t>4. Kiểm thử &amp; kiểm chứng</t>
        </is>
      </c>
      <c r="B9" s="33">
        <f>COUNTIFS('Danh mục tối ưu'!$B$5:$B$110,$A9,'Danh mục tối ưu'!$K$5:$K$110,"P0")</f>
        <v/>
      </c>
      <c r="C9" s="33">
        <f>COUNTIFS('Danh mục tối ưu'!$B$5:$B$110,$A9,'Danh mục tối ưu'!$K$5:$K$110,"P1")</f>
        <v/>
      </c>
      <c r="D9" s="33">
        <f>COUNTIFS('Danh mục tối ưu'!$B$5:$B$110,$A9,'Danh mục tối ưu'!$K$5:$K$110,"P2")</f>
        <v/>
      </c>
      <c r="E9" s="33">
        <f>COUNTIFS('Danh mục tối ưu'!$B$5:$B$110,$A9,'Danh mục tối ưu'!$K$5:$K$110,"P3")</f>
        <v/>
      </c>
      <c r="F9" s="33">
        <f>SUM(B9:E9)</f>
        <v/>
      </c>
    </row>
    <row r="10" ht="15" customHeight="1" s="27">
      <c r="A10" s="32" t="inlineStr">
        <is>
          <t>5. Tri thức, RAG &amp; bộ nhớ</t>
        </is>
      </c>
      <c r="B10" s="33">
        <f>COUNTIFS('Danh mục tối ưu'!$B$5:$B$110,$A10,'Danh mục tối ưu'!$K$5:$K$110,"P0")</f>
        <v/>
      </c>
      <c r="C10" s="33">
        <f>COUNTIFS('Danh mục tối ưu'!$B$5:$B$110,$A10,'Danh mục tối ưu'!$K$5:$K$110,"P1")</f>
        <v/>
      </c>
      <c r="D10" s="33">
        <f>COUNTIFS('Danh mục tối ưu'!$B$5:$B$110,$A10,'Danh mục tối ưu'!$K$5:$K$110,"P2")</f>
        <v/>
      </c>
      <c r="E10" s="33">
        <f>COUNTIFS('Danh mục tối ưu'!$B$5:$B$110,$A10,'Danh mục tối ưu'!$K$5:$K$110,"P3")</f>
        <v/>
      </c>
      <c r="F10" s="33">
        <f>SUM(B10:E10)</f>
        <v/>
      </c>
    </row>
    <row r="11" ht="15" customHeight="1" s="27">
      <c r="A11" s="34" t="inlineStr">
        <is>
          <t>Tổng</t>
        </is>
      </c>
      <c r="B11" s="35">
        <f>SUM(B6:B10)</f>
        <v/>
      </c>
      <c r="C11" s="35">
        <f>SUM(C6:C10)</f>
        <v/>
      </c>
      <c r="D11" s="35">
        <f>SUM(D6:D10)</f>
        <v/>
      </c>
      <c r="E11" s="35">
        <f>SUM(E6:E10)</f>
        <v/>
      </c>
      <c r="F11" s="35">
        <f>SUM(F6:F10)</f>
        <v/>
      </c>
    </row>
    <row r="13" ht="15" customHeight="1" s="27">
      <c r="A13" s="30" t="inlineStr">
        <is>
          <t>2. Lộ trình theo giai đoạn (tự tính từ Ưu tiên + Công sức)</t>
        </is>
      </c>
    </row>
    <row r="14" ht="15" customHeight="1" s="27">
      <c r="A14" s="31" t="inlineStr">
        <is>
          <t>Giai đoạn</t>
        </is>
      </c>
      <c r="B14" s="31" t="inlineStr">
        <is>
          <t>Số đề xuất</t>
        </is>
      </c>
      <c r="C14" s="31" t="inlineStr">
        <is>
          <t>Đã xong</t>
        </is>
      </c>
      <c r="D14" s="31" t="inlineStr">
        <is>
          <t>% xong</t>
        </is>
      </c>
    </row>
    <row r="15" ht="15" customHeight="1" s="27">
      <c r="A15" s="36" t="inlineStr">
        <is>
          <t>GĐ1 — Làm ngay (0–2 tuần): P0, công sức S/M</t>
        </is>
      </c>
      <c r="B15" s="33">
        <f>COUNTIF('Danh mục tối ưu'!$M$5:$M$110,"GĐ1")</f>
        <v/>
      </c>
      <c r="C15" s="33">
        <f>COUNTIFS('Danh mục tối ưu'!$M$5:$M$110,"GĐ1",'Danh mục tối ưu'!$Q$5:$Q$110,"Xong")</f>
        <v/>
      </c>
      <c r="D15" s="37">
        <f>IF(B15=0,0,C15/B15)</f>
        <v/>
      </c>
    </row>
    <row r="16" ht="15" customHeight="1" s="27">
      <c r="A16" s="36" t="inlineStr">
        <is>
          <t>GĐ2 — Ngắn hạn (2–6 tuần): P0 công sức L, P1 công sức S</t>
        </is>
      </c>
      <c r="B16" s="33">
        <f>COUNTIF('Danh mục tối ưu'!$M$5:$M$110,"GĐ2")</f>
        <v/>
      </c>
      <c r="C16" s="33">
        <f>COUNTIFS('Danh mục tối ưu'!$M$5:$M$110,"GĐ2",'Danh mục tối ưu'!$Q$5:$Q$110,"Xong")</f>
        <v/>
      </c>
      <c r="D16" s="37">
        <f>IF(B16=0,0,C16/B16)</f>
        <v/>
      </c>
    </row>
    <row r="17" ht="15" customHeight="1" s="27">
      <c r="A17" s="36" t="inlineStr">
        <is>
          <t>GĐ3 — Trung hạn (6–12 tuần): P1 công sức M/L</t>
        </is>
      </c>
      <c r="B17" s="33">
        <f>COUNTIF('Danh mục tối ưu'!$M$5:$M$110,"GĐ3")</f>
        <v/>
      </c>
      <c r="C17" s="33">
        <f>COUNTIFS('Danh mục tối ưu'!$M$5:$M$110,"GĐ3",'Danh mục tối ưu'!$Q$5:$Q$110,"Xong")</f>
        <v/>
      </c>
      <c r="D17" s="37">
        <f>IF(B17=0,0,C17/B17)</f>
        <v/>
      </c>
    </row>
    <row r="18" ht="15" customHeight="1" s="27">
      <c r="A18" s="36" t="inlineStr">
        <is>
          <t>GĐ4 — Có thì tốt: P2/P3</t>
        </is>
      </c>
      <c r="B18" s="33">
        <f>COUNTIF('Danh mục tối ưu'!$M$5:$M$110,"GĐ4")</f>
        <v/>
      </c>
      <c r="C18" s="33">
        <f>COUNTIFS('Danh mục tối ưu'!$M$5:$M$110,"GĐ4",'Danh mục tối ưu'!$Q$5:$Q$110,"Xong")</f>
        <v/>
      </c>
      <c r="D18" s="37">
        <f>IF(B18=0,0,C18/B18)</f>
        <v/>
      </c>
    </row>
    <row r="20" ht="15" customHeight="1" s="27">
      <c r="A20" s="30" t="inlineStr">
        <is>
          <t>3. Số đề xuất theo chủ đề xuyên suốt</t>
        </is>
      </c>
    </row>
    <row r="21" ht="15" customHeight="1" s="27">
      <c r="A21" s="31" t="inlineStr">
        <is>
          <t>Chủ đề</t>
        </is>
      </c>
      <c r="B21" s="31" t="inlineStr">
        <is>
          <t>Số đề xuất</t>
        </is>
      </c>
      <c r="C21" s="31" t="inlineStr">
        <is>
          <t>Trong đó P0</t>
        </is>
      </c>
    </row>
    <row r="22" ht="15" customHeight="1" s="27">
      <c r="A22" s="36" t="inlineStr">
        <is>
          <t>T01 Giao thức &amp; độ bền vòng lặp</t>
        </is>
      </c>
      <c r="B22" s="33">
        <f>COUNTIF('Danh mục tối ưu'!$D$5:$D$110,$A22)</f>
        <v/>
      </c>
      <c r="C22" s="33">
        <f>COUNTIFS('Danh mục tối ưu'!$D$5:$D$110,$A22,'Danh mục tối ưu'!$K$5:$K$110,"P0")</f>
        <v/>
      </c>
    </row>
    <row r="23" ht="15" customHeight="1" s="27">
      <c r="A23" s="36" t="inlineStr">
        <is>
          <t>T02 Ngữ cảnh, lược đồ công cụ &amp; token</t>
        </is>
      </c>
      <c r="B23" s="33">
        <f>COUNTIF('Danh mục tối ưu'!$D$5:$D$110,$A23)</f>
        <v/>
      </c>
      <c r="C23" s="33">
        <f>COUNTIFS('Danh mục tối ưu'!$D$5:$D$110,$A23,'Danh mục tối ưu'!$K$5:$K$110,"P0")</f>
        <v/>
      </c>
    </row>
    <row r="24" ht="15" customHeight="1" s="27">
      <c r="A24" s="36" t="inlineStr">
        <is>
          <t>T03 Tác tử con &amp; điều phối song song</t>
        </is>
      </c>
      <c r="B24" s="33">
        <f>COUNTIF('Danh mục tối ưu'!$D$5:$D$110,$A24)</f>
        <v/>
      </c>
      <c r="C24" s="33">
        <f>COUNTIFS('Danh mục tối ưu'!$D$5:$D$110,$A24,'Danh mục tối ưu'!$K$5:$K$110,"P0")</f>
        <v/>
      </c>
    </row>
    <row r="25" ht="15" customHeight="1" s="27">
      <c r="A25" s="36" t="inlineStr">
        <is>
          <t>T04 Kiểm chứng độc lập (verifier)</t>
        </is>
      </c>
      <c r="B25" s="33">
        <f>COUNTIF('Danh mục tối ưu'!$D$5:$D$110,$A25)</f>
        <v/>
      </c>
      <c r="C25" s="33">
        <f>COUNTIFS('Danh mục tối ưu'!$D$5:$D$110,$A25,'Danh mục tối ưu'!$K$5:$K$110,"P0")</f>
        <v/>
      </c>
    </row>
    <row r="26" ht="15" customHeight="1" s="27">
      <c r="A26" s="36" t="inlineStr">
        <is>
          <t>T05 Lập kế hoạch &amp; thực thi theo bước</t>
        </is>
      </c>
      <c r="B26" s="33">
        <f>COUNTIF('Danh mục tối ưu'!$D$5:$D$110,$A26)</f>
        <v/>
      </c>
      <c r="C26" s="33">
        <f>COUNTIFS('Danh mục tối ưu'!$D$5:$D$110,$A26,'Danh mục tối ưu'!$K$5:$K$110,"P0")</f>
        <v/>
      </c>
    </row>
    <row r="27" ht="15" customHeight="1" s="27">
      <c r="A27" s="36" t="inlineStr">
        <is>
          <t>T06 Reflexion – bài học dài hạn</t>
        </is>
      </c>
      <c r="B27" s="33">
        <f>COUNTIF('Danh mục tối ưu'!$D$5:$D$110,$A27)</f>
        <v/>
      </c>
      <c r="C27" s="33">
        <f>COUNTIFS('Danh mục tối ưu'!$D$5:$D$110,$A27,'Danh mục tối ưu'!$K$5:$K$110,"P0")</f>
        <v/>
      </c>
    </row>
    <row r="28" ht="15" customHeight="1" s="27">
      <c r="A28" s="36" t="inlineStr">
        <is>
          <t>T07 Phản biện thiết kế (Debate/ToT)</t>
        </is>
      </c>
      <c r="B28" s="33">
        <f>COUNTIF('Danh mục tối ưu'!$D$5:$D$110,$A28)</f>
        <v/>
      </c>
      <c r="C28" s="33">
        <f>COUNTIFS('Danh mục tối ưu'!$D$5:$D$110,$A28,'Danh mục tối ưu'!$K$5:$K$110,"P0")</f>
        <v/>
      </c>
    </row>
    <row r="29" ht="15" customHeight="1" s="27">
      <c r="A29" s="36" t="inlineStr">
        <is>
          <t>T08 Yêu cầu &amp; truy vết</t>
        </is>
      </c>
      <c r="B29" s="33">
        <f>COUNTIF('Danh mục tối ưu'!$D$5:$D$110,$A29)</f>
        <v/>
      </c>
      <c r="C29" s="33">
        <f>COUNTIFS('Danh mục tối ưu'!$D$5:$D$110,$A29,'Danh mục tối ưu'!$K$5:$K$110,"P0")</f>
        <v/>
      </c>
    </row>
    <row r="30" ht="15" customHeight="1" s="27">
      <c r="A30" s="36" t="inlineStr">
        <is>
          <t>T09 Phân tích mã tĩnh &amp; CodeAct</t>
        </is>
      </c>
      <c r="B30" s="33">
        <f>COUNTIF('Danh mục tối ưu'!$D$5:$D$110,$A30)</f>
        <v/>
      </c>
      <c r="C30" s="33">
        <f>COUNTIFS('Danh mục tối ưu'!$D$5:$D$110,$A30,'Danh mục tối ưu'!$K$5:$K$110,"P0")</f>
        <v/>
      </c>
    </row>
    <row r="31" ht="15" customHeight="1" s="27">
      <c r="A31" s="36" t="inlineStr">
        <is>
          <t>T10 ERC &amp; thiết kế mạch</t>
        </is>
      </c>
      <c r="B31" s="33">
        <f>COUNTIF('Danh mục tối ưu'!$D$5:$D$110,$A31)</f>
        <v/>
      </c>
      <c r="C31" s="33">
        <f>COUNTIFS('Danh mục tối ưu'!$D$5:$D$110,$A31,'Danh mục tối ưu'!$K$5:$K$110,"P0")</f>
        <v/>
      </c>
    </row>
    <row r="32" ht="15" customHeight="1" s="27">
      <c r="A32" s="36" t="inlineStr">
        <is>
          <t>T11 HDL/FPGA</t>
        </is>
      </c>
      <c r="B32" s="33">
        <f>COUNTIF('Danh mục tối ưu'!$D$5:$D$110,$A32)</f>
        <v/>
      </c>
      <c r="C32" s="33">
        <f>COUNTIFS('Danh mục tối ưu'!$D$5:$D$110,$A32,'Danh mục tối ưu'!$K$5:$K$110,"P0")</f>
        <v/>
      </c>
    </row>
    <row r="33" ht="15" customHeight="1" s="27">
      <c r="A33" s="36" t="inlineStr">
        <is>
          <t>T12 Kiểm thử sản phẩm (unit, đột biến, hồi quy, HIL)</t>
        </is>
      </c>
      <c r="B33" s="33">
        <f>COUNTIF('Danh mục tối ưu'!$D$5:$D$110,$A33)</f>
        <v/>
      </c>
      <c r="C33" s="33">
        <f>COUNTIFS('Danh mục tối ưu'!$D$5:$D$110,$A33,'Danh mục tối ưu'!$K$5:$K$110,"P0")</f>
        <v/>
      </c>
    </row>
    <row r="34" ht="15" customHeight="1" s="27">
      <c r="A34" s="36" t="inlineStr">
        <is>
          <t>T13 RAG &amp; trích xuất datasheet</t>
        </is>
      </c>
      <c r="B34" s="33">
        <f>COUNTIF('Danh mục tối ưu'!$D$5:$D$110,$A34)</f>
        <v/>
      </c>
      <c r="C34" s="33">
        <f>COUNTIFS('Danh mục tối ưu'!$D$5:$D$110,$A34,'Danh mục tối ưu'!$K$5:$K$110,"P0")</f>
        <v/>
      </c>
    </row>
    <row r="35" ht="15" customHeight="1" s="27">
      <c r="A35" s="36" t="inlineStr">
        <is>
          <t>T14 Bộ nhớ, nén &amp; phục hồi phiên</t>
        </is>
      </c>
      <c r="B35" s="33">
        <f>COUNTIF('Danh mục tối ưu'!$D$5:$D$110,$A35)</f>
        <v/>
      </c>
      <c r="C35" s="33">
        <f>COUNTIFS('Danh mục tối ưu'!$D$5:$D$110,$A35,'Danh mục tối ưu'!$K$5:$K$110,"P0")</f>
        <v/>
      </c>
    </row>
    <row r="36" ht="15" customHeight="1" s="27">
      <c r="A36" s="36" t="inlineStr">
        <is>
          <t>T15 Đo lường &amp; bộ đánh giá (eval)</t>
        </is>
      </c>
      <c r="B36" s="33">
        <f>COUNTIF('Danh mục tối ưu'!$D$5:$D$110,$A36)</f>
        <v/>
      </c>
      <c r="C36" s="33">
        <f>COUNTIFS('Danh mục tối ưu'!$D$5:$D$110,$A36,'Danh mục tối ưu'!$K$5:$K$110,"P0")</f>
        <v/>
      </c>
    </row>
    <row r="38" ht="15" customHeight="1" s="27">
      <c r="A38" s="30" t="inlineStr">
        <is>
          <t>4. Kết luận chính</t>
        </is>
      </c>
    </row>
    <row r="39" ht="51.75" customHeight="1" s="27">
      <c r="A39" s="38" t="inlineStr">
        <is>
          <t>• Lõi đã có nền rất tốt: vòng ReAct qua ba lớp xác định (hook → policy → hook), thẻ duyệt người (HITL) R0–R4, plan mode khoá công cụ ghi, tiêu chí-trước cho mô phỏng có máy chấm bằng mã, ghi transcript trước (write-ahead), phát hiện quay vòng và lượt im lặng.</t>
        </is>
      </c>
    </row>
    <row r="40" ht="51.75" customHeight="1" s="27">
      <c r="A40" s="38" t="inlineStr">
        <is>
          <t>• Ba lỗ hổng nền cần vá trước mọi tối ưu khác: (1) lịch sử gọi–trả công cụ lệch cặp với Gemini khi có thẻ cổng giữa lô; (2) tác tử con gọi thẳng registry.run, đi vòng qua hook/policy/plan mode; (3) hook Stop coi MỌI task.run là đã kiểm chứng.</t>
        </is>
      </c>
    </row>
    <row r="41" ht="51.75" customHeight="1" s="27">
      <c r="A41" s="38" t="inlineStr">
        <is>
          <t>• Nhiều 'ô xanh giả' còn sót ở nơi chưa áp nguyên tắc 'chương trình đo, EIDE phán': unit test tự khai dat, PASS/FAIL HDL dò chuỗi con, độ nhạy HDL tự khai, đột biến không biên dịch được tính là 'bắt được', sch.netlist báo 0 lỗi trong khi phần lớn luật ERC 'chưa đủ dữ kiện'.</t>
        </is>
      </c>
    </row>
    <row r="42" ht="51.75" customHeight="1" s="27">
      <c r="A42" s="38" t="inlineStr">
        <is>
          <t>• Khoảng trống lớn nhất so với 18 mẫu: Agentic RAG (chỉ có khớp chuỗi trong 1 tài liệu, không SVD, không bảng PDF), Reflexion (không có bài học dài hạn), Parallelization/LLMCompiler (mọi lời gọi tuần tự), Evaluator–Optimizer có vòng sửa (ERC, harden test, verifier bác).</t>
        </is>
      </c>
    </row>
    <row r="43" ht="51.75" customHeight="1" s="27">
      <c r="A43" s="38" t="inlineStr">
        <is>
          <t>• Chi phí ngữ cảnh: 73 công cụ luôn hiện ≈ 26 nghìn token lược đồ mỗi lời gọi (gấp ~6,5 lần ngân sách 4000 khai trong config nhưng không dùng); khối nhắc mỗi lượt bị lưu lặp vĩnh viễn trong transcript; không có trần token mỗi lượt.</t>
        </is>
      </c>
    </row>
    <row r="44" ht="51.75" customHeight="1" s="27">
      <c r="A44" s="38" t="inlineStr">
        <is>
          <t>• Mạch &amp; HDL: ERC thiếu luật quá áp, kiểu chân, ngắn mạch nguồn, decoupling/boot; luồng HDL không có cổng giữa chặng, không kiểm ràng buộc chân .cst, không formal. Đây là nơi lỗi đắt nhất (hỏng phần cứng) mà hiện chỉ trông vào trí nhớ của mô hình.</t>
        </is>
      </c>
    </row>
    <row r="45" ht="51.75" customHeight="1" s="27">
      <c r="A45" s="38" t="inlineStr">
        <is>
          <t>• Nguyên tắc leo thang: làm GĐ1 + bộ đo lường (T15) trước; chỉ thêm mẫu tốn kém (Debate, ToT, song song nhiều worker) khi số đo cho thấy bậc hiện tại chưa đủ.</t>
        </is>
      </c>
    </row>
    <row r="47" ht="15" customHeight="1" s="27">
      <c r="A47" s="30" t="inlineStr">
        <is>
          <t>5. Chú giải</t>
        </is>
      </c>
    </row>
    <row r="48" ht="15" customHeight="1" s="27">
      <c r="A48" s="39" t="inlineStr">
        <is>
          <t>P0</t>
        </is>
      </c>
      <c r="B48" s="40" t="inlineStr">
        <is>
          <t>Làm ngay — lỗi nền/an toàn hoặc ô xanh giả, ảnh hưởng lớn</t>
        </is>
      </c>
    </row>
    <row r="49" ht="15" customHeight="1" s="27">
      <c r="A49" s="41" t="inlineStr">
        <is>
          <t>P1</t>
        </is>
      </c>
      <c r="B49" s="40" t="inlineStr">
        <is>
          <t>Quan trọng — tăng rõ độ thông minh/độ phủ kiểm thử</t>
        </is>
      </c>
    </row>
    <row r="50" ht="15" customHeight="1" s="27">
      <c r="A50" s="42" t="inlineStr">
        <is>
          <t>P2</t>
        </is>
      </c>
      <c r="B50" s="40" t="inlineStr">
        <is>
          <t>Nên làm — cải thiện chất lượng, ít khẩn</t>
        </is>
      </c>
    </row>
    <row r="51" ht="15" customHeight="1" s="27">
      <c r="A51" s="43" t="inlineStr">
        <is>
          <t>P3</t>
        </is>
      </c>
      <c r="B51" s="40" t="inlineStr">
        <is>
          <t>Có thì tốt</t>
        </is>
      </c>
    </row>
    <row r="52" ht="15" customHeight="1" s="27">
      <c r="A52" s="44" t="inlineStr">
        <is>
          <t>S / M / L / XL</t>
        </is>
      </c>
      <c r="B52" s="40" t="inlineStr">
        <is>
          <t>Công sức ước: S ≤ 2 ngày · M ≈ 3–7 ngày · L ≈ 2–4 tuần · XL &gt; 1 tháng</t>
        </is>
      </c>
    </row>
    <row r="53" ht="15" customHeight="1" s="27">
      <c r="A53" s="44" t="inlineStr">
        <is>
          <t>Mã Mx-yy</t>
        </is>
      </c>
      <c r="B53" s="40" t="inlineStr">
        <is>
          <t>x = mảng (1 lõi, 2 phân tích–thiết kế PM, 3 mạch–HDL, 4 kiểm thử, 5 tri thức–bộ nhớ); yy = số thứ tự</t>
        </is>
      </c>
    </row>
  </sheetData>
  <mergeCells count="13">
    <mergeCell ref="B51:G51"/>
    <mergeCell ref="A44:G44"/>
    <mergeCell ref="A40:G40"/>
    <mergeCell ref="A39:G39"/>
    <mergeCell ref="A41:G41"/>
    <mergeCell ref="B49:G49"/>
    <mergeCell ref="B50:G50"/>
    <mergeCell ref="A43:G43"/>
    <mergeCell ref="A42:G42"/>
    <mergeCell ref="B52:G52"/>
    <mergeCell ref="B53:G53"/>
    <mergeCell ref="B48:G48"/>
    <mergeCell ref="A45:G4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53"/>
  <sheetViews>
    <sheetView workbookViewId="0">
      <pane ySplit="4" topLeftCell="A5" activePane="bottomLeft" state="frozen"/>
      <selection pane="bottomLeft"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ngày 07/10/2026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14</v>
      </c>
      <c r="C5" s="61" t="inlineStr">
        <is>
          <t>14 việc đầu của Giai đoạn 1, theo đúng thứ tự # của kế hoạch</t>
        </is>
      </c>
    </row>
    <row r="6">
      <c r="A6" s="60" t="inlineStr">
        <is>
          <t>Đang làm (chưa commit)</t>
        </is>
      </c>
      <c r="B6" s="60" t="n">
        <v>1</v>
      </c>
      <c r="C6" s="61" t="inlineStr">
        <is>
          <t>M3-13 — mã và ca kiểm đã có trên nhánh toi-uu/M3-13; còn chạy toàn bộ + DEV-LOG + commit</t>
        </is>
      </c>
    </row>
    <row r="7">
      <c r="A7" s="60" t="inlineStr">
        <is>
          <t>Chưa làm</t>
        </is>
      </c>
      <c r="B7" s="60" t="n">
        <v>91</v>
      </c>
      <c r="C7" s="61" t="inlineStr">
        <is>
          <t>91 việc còn lại trong 106</t>
        </is>
      </c>
    </row>
    <row r="8">
      <c r="A8" s="62" t="inlineStr">
        <is>
          <t>TỔNG</t>
        </is>
      </c>
      <c r="B8" s="62" t="n">
        <v>106</v>
      </c>
      <c r="C8" s="61" t="inlineStr"/>
    </row>
    <row r="10">
      <c r="A10" s="59" t="inlineStr">
        <is>
          <t>Phép đo của cả đợt</t>
        </is>
      </c>
      <c r="B10" s="59" t="inlineStr">
        <is>
          <t>Trước (06/10)</t>
        </is>
      </c>
      <c r="C10" s="59" t="inlineStr">
        <is>
          <t>Sau (07/10)</t>
        </is>
      </c>
      <c r="D10" s="59" t="inlineStr">
        <is>
          <t>Ghi chú</t>
        </is>
      </c>
    </row>
    <row r="11">
      <c r="A11" s="63" t="inlineStr">
        <is>
          <t>Ca đơn vị Python (pytest -q)</t>
        </is>
      </c>
      <c r="B11" s="63" t="inlineStr">
        <is>
          <t>1 610</t>
        </is>
      </c>
      <c r="C11" s="63" t="inlineStr">
        <is>
          <t>1 732</t>
        </is>
      </c>
      <c r="D11" s="63" t="inlineStr">
        <is>
          <t>+122 ca;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bắt được 1 đường dẫn tôi ghi sai trong README, đã sửa</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DEV-343</t>
        </is>
      </c>
      <c r="D15" s="63" t="inlineStr">
        <is>
          <t>14 mục, mỗi việc một mục</t>
        </is>
      </c>
    </row>
    <row r="16">
      <c r="A16" s="63" t="inlineStr">
        <is>
          <t>Cờ tính năng mới</t>
        </is>
      </c>
      <c r="B16" s="63" t="inlineStr">
        <is>
          <t>1 (schematic)</t>
        </is>
      </c>
      <c r="C16" s="63" t="inlineStr">
        <is>
          <t>7</t>
        </is>
      </c>
      <c r="D16" s="63" t="inlineStr">
        <is>
          <t>6 cờ mới, TẤT CẢ mặc định TẮT</t>
        </is>
      </c>
    </row>
    <row r="17">
      <c r="A17" s="63" t="inlineStr">
        <is>
          <t>Mã lỗi mới</t>
        </is>
      </c>
      <c r="B17" s="63" t="inlineStr">
        <is>
          <t>—</t>
        </is>
      </c>
      <c r="C17" s="63" t="inlineStr">
        <is>
          <t>E4031 · E4032 · E6012</t>
        </is>
      </c>
      <c r="D17" s="63" t="inlineStr">
        <is>
          <t>lấy từ bảng cấp phát §6 của kế hoạch</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chưa ghi</t>
        </is>
      </c>
      <c r="F34" s="64" t="inlineStr">
        <is>
          <t>testbench Verilog THẬT của bài 3 (lõi RISC-V): pcpi_dot4 bắt 1/1, pcpi_mac bắt 1/1 (phép phá 'đảo điều kiện if' làm bộ kiểm đỏ); pcpi_vmini CHƯA đo được — tb cần thêm mô-đun ram ngoài phần nó tự include</t>
        </is>
      </c>
      <c r="G34" s="64" t="inlineStr">
        <is>
          <t>không có cờ (công cụ mới core=False)</t>
        </is>
      </c>
    </row>
    <row r="36">
      <c r="A36" s="59" t="inlineStr">
        <is>
          <t>Việc còn MỞ (ngoài 91 việc chưa làm)</t>
        </is>
      </c>
      <c r="B36" s="59" t="inlineStr">
        <is>
          <t>Vì sao còn mở</t>
        </is>
      </c>
    </row>
    <row r="37">
      <c r="A37" s="63" t="inlineStr">
        <is>
          <t>Sáu cờ mới đều còn TẮT</t>
        </is>
      </c>
      <c r="B37" s="63" t="inlineStr">
        <is>
          <t>GON_CONG_CU · TRUY_VET · REQ_PHU · REQ_CHAT_LUONG · KE_HOACH_CONG_KIEM · ERC_TU_DONG. Cả sáu đổi thứ Agent nhìn thấy hoặc đọc mỗi lượt, nên chỉ bộ 76 ca chạy HAI chế độ mới nói được chúng làm Agent khá hơn hay tệ hơn — bộ ấy tốn tiền mô hình nên chưa chạy.</t>
        </is>
      </c>
    </row>
    <row r="38">
      <c r="A38" s="63" t="inlineStr">
        <is>
          <t>kiem_cap_goi_tra() chưa thành hàng rào</t>
        </is>
      </c>
      <c r="B38" s="63" t="inlineStr">
        <is>
          <t>Soát được mọi phiên đã lưu, nhưng chưa hook nào gọi nó tự động — bắt được chuyện cũ, chưa chặn được chuyện mới.</t>
        </is>
      </c>
    </row>
    <row r="39">
      <c r="A39" s="63" t="inlineStr">
        <is>
          <t>Luật ERC quá áp chưa nổ trên dữ liệu thật</t>
        </is>
      </c>
      <c r="B39" s="63" t="inlineStr">
        <is>
          <t>Đường dẫn đã thông ở M3-07, nhưng ba kho có Fact điện áp thì không có mô hình mạch, và ngược lại. Phải chờ một dự án có cả hai.</t>
        </is>
      </c>
    </row>
    <row r="40">
      <c r="A40" s="63" t="inlineStr">
        <is>
          <t>Cột “Mã nguồn” của ma trận truy vết trống ở mọi dự án</t>
        </is>
      </c>
      <c r="B40" s="63" t="inlineStr">
        <is>
          <t>Nó đọc hien_thuc_req — trường vừa mới tồn tại, chưa tệp nào trên đĩa từng khai. Nên “chưa hiện thực” ở đó nghĩa là “chưa ai KHAI”, không phải “chưa ai viết”.</t>
        </is>
      </c>
    </row>
    <row r="41">
      <c r="A41" s="63" t="inlineStr">
        <is>
          <t>Lỗi _go_dau trong src/eide/tools/design.py</t>
        </is>
      </c>
      <c r="B41" s="63" t="inlineStr">
        <is>
          <t>Viết .replace('d','d') nên 'ổn định' và 'ON DINH' không khớp nhau. Hàm ấy đang dùng cho một phép kiểm an toàn (người có thật sự chọn không). Tìm thấy ở M2-03, CHƯA sửa vì ngoài phạm vi — cần bộ ca kiểm riêng.</t>
        </is>
      </c>
    </row>
    <row r="42">
      <c r="A42" s="63" t="inlineStr">
        <is>
          <t>subagent req-critic (bước 4 của M2-03)</t>
        </is>
      </c>
      <c r="B42" s="63" t="inlineStr">
        <is>
          <t>Kế hoạch ghi “tuỳ chọn, gộp M2-13”. Chưa làm, đúng theo kế hoạch.</t>
        </is>
      </c>
    </row>
    <row r="44">
      <c r="A44" s="59" t="inlineStr">
        <is>
          <t>Lỗi tìm thấy trong CHÍNH PHÉP ĐO của tôi</t>
        </is>
      </c>
      <c r="B44" s="59" t="inlineStr">
        <is>
          <t>Lộ ra ở đâu</t>
        </is>
      </c>
    </row>
    <row r="45">
      <c r="A45" s="63" t="inlineStr">
        <is>
          <t>Kịch bản đo bị hàng rào của sản phẩm chặn (ghi tệp chưa đọc, E4020) và trả về một con số hợp lý thay vì nổ — 6→2 trông đẹp y như 9→3 đúng</t>
        </is>
      </c>
      <c r="B45" s="63" t="inlineStr">
        <is>
          <t>M2-01 · DEV-333</t>
        </is>
      </c>
    </row>
    <row r="46">
      <c r="A46" s="63" t="inlineStr">
        <is>
          <t>Ca kiểm dựng trên điều tôi tự nhớ sai: “thiết” bỏ dấu KHÔNG chứa “it”; chỗ va thật là bit/unit/init/exit</t>
        </is>
      </c>
      <c r="B46" s="63" t="inlineStr">
        <is>
          <t>M2-03 · DEV-335</t>
        </is>
      </c>
    </row>
    <row r="47">
      <c r="A47" s="63" t="inlineStr">
        <is>
          <t>Phép phá dài ĐÚNG BẰNG mã gốc (0.6 → 0.0) nên __pycache__ cũ còn hiệu lực — phép đo chạy mã khác với mã trong tệp</t>
        </is>
      </c>
      <c r="B47" s="63" t="inlineStr">
        <is>
          <t>M2-03 · DEV-335</t>
        </is>
      </c>
    </row>
    <row r="48">
      <c r="A48" s="63" t="inlineStr">
        <is>
          <t>Phép đo trả lời ĐÚNG một câu hỏi KHÁC: đếm ở mức dự án ra 0 chỗ cần chặn; câu phải hỏi là “lần ghi NÀY đã được kiểm chưa” → 19/26</t>
        </is>
      </c>
      <c r="B48" s="63" t="inlineStr">
        <is>
          <t>M2-06 · DEV-336</t>
        </is>
      </c>
    </row>
    <row r="49">
      <c r="A49" s="63" t="inlineStr">
        <is>
          <t>Ca kiểm RỖNG: dàn dựng không có net đất nào, nên nó xanh cả khi tôi bỏ hẳn phép bỏ qua net đất</t>
        </is>
      </c>
      <c r="B49" s="63" t="inlineStr">
        <is>
          <t>M3-01 · DEV-338</t>
        </is>
      </c>
    </row>
    <row r="50">
      <c r="A50" s="63" t="inlineStr">
        <is>
          <t>Hai phép phá chỉ ra THIẾT KẾ sai, không chỉ ca kiểm yếu (miễn net đất quá rộng; nhánh iout_max chưa ca nào chạm tới)</t>
        </is>
      </c>
      <c r="B50" s="63" t="inlineStr">
        <is>
          <t>M3-03 · DEV-339</t>
        </is>
      </c>
    </row>
    <row r="51">
      <c r="A51" s="63" t="inlineStr">
        <is>
          <t>Phép phá của tôi cũng SAI, và ca âm xanh vì lý do khác — hai cái sai che nhau</t>
        </is>
      </c>
      <c r="B51" s="63" t="inlineStr">
        <is>
          <t>M3-07 · DEV-341</t>
        </is>
      </c>
    </row>
    <row r="52">
      <c r="A52" s="63" t="inlineStr">
        <is>
          <t>Ca kiểm đo chính câu lệnh của mình (đặt bộ đếm = 3 rồi khẳng định nó khác rỗng, trong khi thực tế nó rỗng)</t>
        </is>
      </c>
      <c r="B52" s="63" t="inlineStr">
        <is>
          <t>M3-10 · DEV-342</t>
        </is>
      </c>
    </row>
    <row r="53">
      <c r="A53" s="63" t="inlineStr">
        <is>
          <t>Regex mà KẾ HOẠCH ghi sẵn từ chối oan 588/846 bản ghi thật; và ba ca kiểm xanh vì lý do sai (tệp giả dùng $4 thay $3; “FAILED” chứa “FAIL”)</t>
        </is>
      </c>
      <c r="B53" s="63" t="inlineStr">
        <is>
          <t>M3-12 · DEV-343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ngày 08/10/2026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16</v>
      </c>
      <c r="C5" s="61" t="inlineStr">
        <is>
          <t>16 việc đầu của Giai đoạn 1, theo đúng thứ tự # của kế hoạch</t>
        </is>
      </c>
    </row>
    <row r="6">
      <c r="A6" s="60" t="inlineStr">
        <is>
          <t>Đang làm (chưa commit)</t>
        </is>
      </c>
      <c r="B6" s="60" t="n">
        <v>0</v>
      </c>
      <c r="C6" s="61" t="inlineStr">
        <is>
          <t>không việc nào đang dở — M3-13 đã chốt và gộp main sáng 08/10</t>
        </is>
      </c>
    </row>
    <row r="7">
      <c r="A7" s="60" t="inlineStr">
        <is>
          <t>Chưa làm</t>
        </is>
      </c>
      <c r="B7" s="60" t="n">
        <v>90</v>
      </c>
      <c r="C7" s="61" t="inlineStr">
        <is>
          <t>90 việc còn lại trong 106</t>
        </is>
      </c>
    </row>
    <row r="8">
      <c r="A8" s="62" t="inlineStr">
        <is>
          <t>TỔNG</t>
        </is>
      </c>
      <c r="B8" s="62" t="n">
        <v>106</v>
      </c>
      <c r="C8" s="61" t="n"/>
    </row>
    <row r="10">
      <c r="A10" s="59" t="inlineStr">
        <is>
          <t>Phép đo của cả đợt</t>
        </is>
      </c>
      <c r="B10" s="59" t="inlineStr">
        <is>
          <t>Trước (06/10)</t>
        </is>
      </c>
      <c r="C10" s="59" t="inlineStr">
        <is>
          <t>Sau (08/10)</t>
        </is>
      </c>
      <c r="D10" s="59" t="inlineStr">
        <is>
          <t>Ghi chú</t>
        </is>
      </c>
    </row>
    <row r="11">
      <c r="A11" s="63" t="inlineStr">
        <is>
          <t>Ca đơn vị Python (pytest -q)</t>
        </is>
      </c>
      <c r="B11" s="63" t="inlineStr">
        <is>
          <t>1 610</t>
        </is>
      </c>
      <c r="C11" s="63" t="inlineStr">
        <is>
          <t>1 773</t>
        </is>
      </c>
      <c r="D11" s="63" t="inlineStr">
        <is>
          <t>+163 ca so với 06/10;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0 chỗ LỆCH CHẮC CHẮN cả hai lượt. Hôm nay nó bắt đúng chuyện cần bắt: hai công cụ mới làm README lệch số công cụ 127 → 129, và số 'cần đọc lại' nhảy 11 → 15 → về 11 sau khi sửa</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DEV-345</t>
        </is>
      </c>
      <c r="D15" s="63" t="inlineStr">
        <is>
          <t>16 mục, mỗi việc một mục</t>
        </is>
      </c>
    </row>
    <row r="16">
      <c r="A16" s="63" t="inlineStr">
        <is>
          <t>Cờ tính năng mới</t>
        </is>
      </c>
      <c r="B16" s="63" t="inlineStr">
        <is>
          <t>1 (schematic)</t>
        </is>
      </c>
      <c r="C16" s="63" t="inlineStr">
        <is>
          <t>7</t>
        </is>
      </c>
      <c r="D16" s="63" t="inlineStr">
        <is>
          <t>6 cờ mới, TẤT CẢ mặc định TẮT</t>
        </is>
      </c>
    </row>
    <row r="17">
      <c r="A17" s="63" t="inlineStr">
        <is>
          <t>Mã lỗi mới</t>
        </is>
      </c>
      <c r="B17" s="63" t="inlineStr">
        <is>
          <t>—</t>
        </is>
      </c>
      <c r="C17" s="63" t="inlineStr">
        <is>
          <t>E4031 · E4032 · E6012 · E4033</t>
        </is>
      </c>
      <c r="D17" s="63" t="inlineStr">
        <is>
          <t>E4033 của M3-18 KHÔNG lấy theo kế hoạch: tôi chọn E4031 trước, rồi grep thấy loop.py:1085 đã dùng E4031 cho 'chưa chạy, vì chờ cổng'</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DEV-344</t>
        </is>
      </c>
      <c r="F34" s="64" t="inlineStr">
        <is>
          <t>testbench Verilog THẬT của bài 3: tb_pcpi_dot4 1/1, tb_pcpi_mac 1/1, tb_pcpi_vmini không đo được (tb gọi bản bram HAI CỔNG đã bị bỏ 02/10) — mẫu số là TỆP, không phải phép phá</t>
        </is>
      </c>
      <c r="G34" s="64" t="inlineStr">
        <is>
          <t>không có cờ (công cụ mới core=False)</t>
        </is>
      </c>
    </row>
    <row r="35">
      <c r="A35" s="64" t="inlineStr">
        <is>
          <t>16</t>
        </is>
      </c>
      <c r="B35" s="64" t="inlineStr">
        <is>
          <t>M3-18</t>
        </is>
      </c>
      <c r="C35" s="64" t="inlineStr">
        <is>
          <t>3. Mạch, ERC, HDL/FPGA</t>
        </is>
      </c>
      <c r="D35" s="64" t="inlineStr">
        <is>
          <t>P0</t>
        </is>
      </c>
      <c r="E35" s="64" t="inlineStr">
        <is>
          <t>DEV-345</t>
        </is>
      </c>
      <c r="F35" s="64" t="inlineStr">
        <is>
          <t>6 cặp (mạng cổng, .cst) thật → 1 chỗ CHẶN: blinky của riscv-tn20k-b dựng bitstream 4,6 MB với chân đồng hồ do nextpnr tự chọn (rơi đúng chân 4 — bằng may). Cả 7 tệp .cst thật đọc hết, 0 lỗi cú pháp</t>
        </is>
      </c>
      <c r="G35" s="64" t="inlineStr">
        <is>
          <t>không có cờ (công cụ mới core=False)</t>
        </is>
      </c>
    </row>
    <row r="37">
      <c r="A37" s="59" t="inlineStr">
        <is>
          <t>Việc còn MỞ (ngoài 90 việc chưa làm)</t>
        </is>
      </c>
      <c r="B37" s="59" t="inlineStr">
        <is>
          <t>Vì sao còn mở</t>
        </is>
      </c>
    </row>
    <row r="38">
      <c r="A38" s="63" t="inlineStr">
        <is>
          <t>Sáu cờ mới đều còn TẮT</t>
        </is>
      </c>
      <c r="B38" s="63" t="inlineStr">
        <is>
          <t>GON_CONG_CU · TRUY_VET · REQ_PHU · REQ_CHAT_LUONG · KE_HOACH_CONG_KIEM · ERC_TU_DONG. Cả sáu đổi thứ Agent nhìn thấy hoặc đọc mỗi lượt, nên chỉ bộ 76 ca chạy HAI chế độ mới nói được chúng làm Agent khá hơn hay tệ hơn — bộ ấy tốn tiền mô hình nên chưa chạy.</t>
        </is>
      </c>
    </row>
    <row r="39">
      <c r="A39" s="63" t="inlineStr">
        <is>
          <t>kiem_cap_goi_tra() chưa thành hàng rào</t>
        </is>
      </c>
      <c r="B39" s="63" t="inlineStr">
        <is>
          <t>Soát được mọi phiên đã lưu, nhưng chưa hook nào gọi nó tự động — bắt được chuyện cũ, chưa chặn được chuyện mới.</t>
        </is>
      </c>
    </row>
    <row r="40">
      <c r="A40" s="63" t="inlineStr">
        <is>
          <t>Luật ERC quá áp chưa nổ trên dữ liệu thật</t>
        </is>
      </c>
      <c r="B40" s="63" t="inlineStr">
        <is>
          <t>Đường dẫn đã thông ở M3-07, nhưng ba kho có Fact điện áp thì không có mô hình mạch, và ngược lại. Phải chờ một dự án có cả hai.</t>
        </is>
      </c>
    </row>
    <row r="41">
      <c r="A41" s="63" t="inlineStr">
        <is>
          <t>Cột “Mã nguồn” của ma trận truy vết trống ở mọi dự án</t>
        </is>
      </c>
      <c r="B41" s="63" t="inlineStr">
        <is>
          <t>Nó đọc hien_thuc_req — trường vừa mới tồn tại, chưa tệp nào trên đĩa từng khai. Nên “chưa hiện thực” ở đó nghĩa là “chưa ai KHAI”, không phải “chưa ai viết”.</t>
        </is>
      </c>
    </row>
    <row r="42">
      <c r="A42" s="63" t="inlineStr">
        <is>
          <t>Lỗi _go_dau trong src/eide/tools/design.py</t>
        </is>
      </c>
      <c r="B42" s="63" t="inlineStr">
        <is>
          <t>Viết .replace('d','d') nên 'ổn định' và 'ON DINH' không khớp nhau. Hàm ấy đang dùng cho một phép kiểm an toàn (người có thật sự chọn không). Tìm thấy ở M2-03, CHƯA sửa vì ngoài phạm vi — cần bộ ca kiểm riêng.</t>
        </is>
      </c>
    </row>
    <row r="43">
      <c r="A43" s="63" t="inlineStr">
        <is>
          <t>subagent req-critic (bước 4 của M2-03)</t>
        </is>
      </c>
      <c r="B43" s="63" t="inlineStr">
        <is>
          <t>Kế hoạch ghi “tuỳ chọn, gộp M2-13”. Chưa làm, đúng theo kế hoạch.</t>
        </is>
      </c>
    </row>
    <row r="44">
      <c r="A44" s="63" t="inlineStr">
        <is>
          <t>Hai luật kiểm chân FPGA chưa có dữ liệu để nổ</t>
        </is>
      </c>
      <c r="B44" s="63" t="inlineStr">
        <is>
          <t>chan_lech_kit và io_type_lech_bank cần Fact chân kit. Không kho nào trong repo có Fact pin:tangnano20k.* hay khoá vccio — nên hôm nay chỉ 3 trong 5 luật của M3-18 kết luận được gì trên dữ liệu thật. Cùng hình dạng với luật ERC quá áp.</t>
        </is>
      </c>
    </row>
    <row r="45">
      <c r="A45" s="63" t="inlineStr">
        <is>
          <t>Một bitstream cũ đã dựng với chân đồng hồ tự chọn</t>
        </is>
      </c>
      <c r="B45" s="63" t="inlineStr">
        <is>
          <t>blinky của du-lieu/riscv-tn20k-b — xem DEV-345 và README §8. Không sửa hiện vật cũ: đó là dữ liệu của những lượt đo đã chốt. Từ nay phép kiểm chặn trước nextpnr.</t>
        </is>
      </c>
    </row>
    <row r="46">
      <c r="A46" s="63" t="inlineStr">
        <is>
          <t>Hai công cụ mới nhất chưa lượt Agent nào GỌI</t>
        </is>
      </c>
      <c r="B46" s="63" t="inlineStr">
        <is>
          <t>hdl.sensitivity và hdl.constraints_check: mã của cả hai đã chạy trên hiện vật thật, nhưng đó là tôi gọi hàm, không phải tác tử gọi công cụ. README §8 đếm cả hai vào phần chưa dùng thật.</t>
        </is>
      </c>
    </row>
    <row r="48">
      <c r="A48" s="59" t="inlineStr">
        <is>
          <t>Lỗi tìm thấy trong CHÍNH PHÉP ĐO của tôi</t>
        </is>
      </c>
      <c r="B48" s="59" t="inlineStr">
        <is>
          <t>Lộ ra ở đâu</t>
        </is>
      </c>
    </row>
    <row r="49">
      <c r="A49" s="63" t="inlineStr">
        <is>
          <t>Kịch bản đo bị hàng rào của sản phẩm chặn (ghi tệp chưa đọc, E4020) và trả về một con số hợp lý thay vì nổ — 6→2 trông đẹp y như 9→3 đúng</t>
        </is>
      </c>
      <c r="B49" s="63" t="inlineStr">
        <is>
          <t>M2-01 · DEV-333</t>
        </is>
      </c>
    </row>
    <row r="50">
      <c r="A50" s="63" t="inlineStr">
        <is>
          <t>Ca kiểm dựng trên điều tôi tự nhớ sai: “thiết” bỏ dấu KHÔNG chứa “it”; chỗ va thật là bit/unit/init/exit</t>
        </is>
      </c>
      <c r="B50" s="63" t="inlineStr">
        <is>
          <t>M2-03 · DEV-335</t>
        </is>
      </c>
    </row>
    <row r="51">
      <c r="A51" s="63" t="inlineStr">
        <is>
          <t>Phép phá dài ĐÚNG BẰNG mã gốc (0.6 → 0.0) nên __pycache__ cũ còn hiệu lực — phép đo chạy mã khác với mã trong tệp</t>
        </is>
      </c>
      <c r="B51" s="63" t="inlineStr">
        <is>
          <t>M2-03 · DEV-335</t>
        </is>
      </c>
    </row>
    <row r="52">
      <c r="A52" s="63" t="inlineStr">
        <is>
          <t>Phép đo trả lời ĐÚNG một câu hỏi KHÁC: đếm ở mức dự án ra 0 chỗ cần chặn; câu phải hỏi là “lần ghi NÀY đã được kiểm chưa” → 19/26</t>
        </is>
      </c>
      <c r="B52" s="63" t="inlineStr">
        <is>
          <t>M2-06 · DEV-336</t>
        </is>
      </c>
    </row>
    <row r="53">
      <c r="A53" s="63" t="inlineStr">
        <is>
          <t>Ca kiểm RỖNG: dàn dựng không có net đất nào, nên nó xanh cả khi tôi bỏ hẳn phép bỏ qua net đất</t>
        </is>
      </c>
      <c r="B53" s="63" t="inlineStr">
        <is>
          <t>M3-01 · DEV-338</t>
        </is>
      </c>
    </row>
    <row r="54">
      <c r="A54" s="63" t="inlineStr">
        <is>
          <t>Hai phép phá chỉ ra THIẾT KẾ sai, không chỉ ca kiểm yếu (miễn net đất quá rộng; nhánh iout_max chưa ca nào chạm tới)</t>
        </is>
      </c>
      <c r="B54" s="63" t="inlineStr">
        <is>
          <t>M3-03 · DEV-339</t>
        </is>
      </c>
    </row>
    <row r="55">
      <c r="A55" s="63" t="inlineStr">
        <is>
          <t>Phép phá của tôi cũng SAI, và ca âm xanh vì lý do khác — hai cái sai che nhau</t>
        </is>
      </c>
      <c r="B55" s="63" t="inlineStr">
        <is>
          <t>M3-07 · DEV-341</t>
        </is>
      </c>
    </row>
    <row r="56">
      <c r="A56" s="63" t="inlineStr">
        <is>
          <t>Ca kiểm đo chính câu lệnh của mình (đặt bộ đếm = 3 rồi khẳng định nó khác rỗng, trong khi thực tế nó rỗng)</t>
        </is>
      </c>
      <c r="B56" s="63" t="inlineStr">
        <is>
          <t>M3-10 · DEV-342</t>
        </is>
      </c>
    </row>
    <row r="57">
      <c r="A57" s="63" t="inlineStr">
        <is>
          <t>Regex mà KẾ HOẠCH ghi sẵn từ chối oan 588/846 bản ghi thật; và ba ca kiểm xanh vì lý do sai (tệp giả dùng $4 thay $3; “FAILED” chứa “FAIL”)</t>
        </is>
      </c>
      <c r="B57" s="63" t="inlineStr">
        <is>
          <t>M3-12 · DEV-343</t>
        </is>
      </c>
    </row>
    <row r="58">
      <c r="A58" s="63" t="inlineStr">
        <is>
          <t>"Phá lại thì đỏ 6/6" sai về TẬP, không sai về số: sáu phép phá ấy chọn đúng sáu chỗ đã có ca canh. Phá bằng tập rộng hơn ra 7/9.</t>
        </is>
      </c>
      <c r="B58" s="63" t="inlineStr">
        <is>
          <t>M3-13 · DEV-344</t>
        </is>
      </c>
    </row>
    <row r="59">
      <c r="A59" s="63" t="inlineStr">
        <is>
          <t>409 'blocker' gần như toàn bộ từ một cặp vô nghĩa (mạng cổng của lõi CPU tổng hợp riêng, không bao giờ đem đặt-đi dây). Con số thật là 1.</t>
        </is>
      </c>
      <c r="B59" s="63" t="inlineStr">
        <is>
          <t>M3-18 · DEV-345</t>
        </is>
      </c>
    </row>
    <row r="60">
      <c r="A60" s="63" t="inlineStr">
        <is>
          <t>Phép quét tệp .cst thật chỉ thu 4 trong 7 tệp mà ca kiểm vẫn xanh — câu 'mọi tệp .cst thật đều đọc được' nói về phần phép quét chạm tới.</t>
        </is>
      </c>
      <c r="B60" s="63" t="inlineStr">
        <is>
          <t>M3-18 · DEV-345</t>
        </is>
      </c>
    </row>
    <row r="61">
      <c r="A61" s="63" t="inlineStr">
        <is>
          <t>Một ca kiểm và một phép phá nhắm hai NHÁNH khác nhau, nên ca mới xanh mà phép phá vẫn LỌT. Mất một lượt mới thấy.</t>
        </is>
      </c>
      <c r="B61" s="63" t="inlineStr">
        <is>
          <t>M3-18 · DEV-345</t>
        </is>
      </c>
    </row>
    <row r="62">
      <c r="A62" s="63" t="n"/>
      <c r="B62" s="6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chiều 08/10/2026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17</v>
      </c>
      <c r="C5" s="61" t="inlineStr">
        <is>
          <t>17 việc đầu của Giai đoạn 1, theo đúng thứ tự # của kế hoạch</t>
        </is>
      </c>
    </row>
    <row r="6">
      <c r="A6" s="60" t="inlineStr">
        <is>
          <t>Đang làm (chưa commit)</t>
        </is>
      </c>
      <c r="B6" s="60" t="n">
        <v>0</v>
      </c>
      <c r="C6" s="61" t="inlineStr">
        <is>
          <t>không việc nào đang dở</t>
        </is>
      </c>
    </row>
    <row r="7">
      <c r="A7" s="60" t="inlineStr">
        <is>
          <t>Chưa làm</t>
        </is>
      </c>
      <c r="B7" s="60" t="n">
        <v>89</v>
      </c>
      <c r="C7" s="61" t="inlineStr">
        <is>
          <t>89 việc còn lại trong 106</t>
        </is>
      </c>
    </row>
    <row r="8">
      <c r="A8" s="62" t="inlineStr">
        <is>
          <t>TỔNG</t>
        </is>
      </c>
      <c r="B8" s="62" t="n">
        <v>106</v>
      </c>
      <c r="C8" s="61" t="n"/>
    </row>
    <row r="10">
      <c r="A10" s="59" t="inlineStr">
        <is>
          <t>Phép đo của cả đợt</t>
        </is>
      </c>
      <c r="B10" s="59" t="inlineStr">
        <is>
          <t>Trước (06/10)</t>
        </is>
      </c>
      <c r="C10" s="59" t="inlineStr">
        <is>
          <t>Sau (08/10)</t>
        </is>
      </c>
      <c r="D10" s="59" t="inlineStr">
        <is>
          <t>Ghi chú</t>
        </is>
      </c>
    </row>
    <row r="11">
      <c r="A11" s="63" t="inlineStr">
        <is>
          <t>Ca đơn vị Python (pytest -q)</t>
        </is>
      </c>
      <c r="B11" s="63" t="inlineStr">
        <is>
          <t>1 610</t>
        </is>
      </c>
      <c r="C11" s="63" t="inlineStr">
        <is>
          <t>1 791</t>
        </is>
      </c>
      <c r="D11" s="63" t="inlineStr">
        <is>
          <t>+181 ca so với 06/10;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0 chỗ LỆCH CHẮC CHẮN cả hai lượt. Hôm nay nó bắt đúng chuyện cần bắt: hai công cụ mới làm README lệch số công cụ 127 → 129, và số 'cần đọc lại' nhảy 11 → 15 → về 11 sau khi sửa</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DEV-346</t>
        </is>
      </c>
      <c r="D15" s="63" t="inlineStr">
        <is>
          <t>17 mục, mỗi việc một mục</t>
        </is>
      </c>
    </row>
    <row r="16">
      <c r="A16" s="63" t="inlineStr">
        <is>
          <t>Cờ tính năng mới</t>
        </is>
      </c>
      <c r="B16" s="63" t="inlineStr">
        <is>
          <t>1 (schematic)</t>
        </is>
      </c>
      <c r="C16" s="63" t="inlineStr">
        <is>
          <t>7</t>
        </is>
      </c>
      <c r="D16" s="63" t="inlineStr">
        <is>
          <t>6 cờ mới, TẤT CẢ mặc định TẮT</t>
        </is>
      </c>
    </row>
    <row r="17">
      <c r="A17" s="63" t="inlineStr">
        <is>
          <t>Mã lỗi mới</t>
        </is>
      </c>
      <c r="B17" s="63" t="inlineStr">
        <is>
          <t>—</t>
        </is>
      </c>
      <c r="C17" s="63" t="inlineStr">
        <is>
          <t>E4031 · E4032 · E6012 · E4033 · E4024</t>
        </is>
      </c>
      <c r="D17" s="63" t="inlineStr">
        <is>
          <t>E4033 (M3-18) và E4024 (M4-01). M4-01 còn DÙNG LẠI E4008/E4009/E4023 của sim.run — cùng một chuyện thì cùng một mã, một mã mới cho cùng một chuyện là bắt người đọc học hai lần</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DEV-344</t>
        </is>
      </c>
      <c r="F34" s="64" t="inlineStr">
        <is>
          <t>testbench Verilog THẬT của bài 3: tb_pcpi_dot4 1/1, tb_pcpi_mac 1/1, tb_pcpi_vmini không đo được (tb gọi bản bram HAI CỔNG đã bị bỏ 02/10) — mẫu số là TỆP, không phải phép phá</t>
        </is>
      </c>
      <c r="G34" s="64" t="inlineStr">
        <is>
          <t>không có cờ (công cụ mới core=False)</t>
        </is>
      </c>
    </row>
    <row r="35">
      <c r="A35" s="64" t="inlineStr">
        <is>
          <t>16</t>
        </is>
      </c>
      <c r="B35" s="64" t="inlineStr">
        <is>
          <t>M3-18</t>
        </is>
      </c>
      <c r="C35" s="64" t="inlineStr">
        <is>
          <t>3. Mạch, ERC, HDL/FPGA</t>
        </is>
      </c>
      <c r="D35" s="64" t="inlineStr">
        <is>
          <t>P0</t>
        </is>
      </c>
      <c r="E35" s="64" t="inlineStr">
        <is>
          <t>DEV-345</t>
        </is>
      </c>
      <c r="F35" s="64" t="inlineStr">
        <is>
          <t>6 cặp (mạng cổng, .cst) thật → 1 chỗ CHẶN: blinky của riscv-tn20k-b dựng bitstream 4,6 MB với chân đồng hồ do nextpnr tự chọn (rơi đúng chân 4 — bằng may). Cả 7 tệp .cst thật đọc hết, 0 lỗi cú pháp</t>
        </is>
      </c>
      <c r="G35" s="64" t="inlineStr">
        <is>
          <t>không có cờ (công cụ mới core=False)</t>
        </is>
      </c>
    </row>
    <row r="36">
      <c r="A36" s="64" t="inlineStr">
        <is>
          <t>17</t>
        </is>
      </c>
      <c r="B36" s="64" t="inlineStr">
        <is>
          <t>M4-01</t>
        </is>
      </c>
      <c r="C36" s="64" t="inlineStr">
        <is>
          <t>4. Kiểm thử &amp; chất lượng</t>
        </is>
      </c>
      <c r="D36" s="64" t="inlineStr">
        <is>
          <t>P0</t>
        </is>
      </c>
      <c r="E36" s="64" t="inlineStr">
        <is>
          <t>DEV-346</t>
        </is>
      </c>
      <c r="F36" s="64" t="inlineStr">
        <is>
          <t>18 ca chạy trình biên dịch C thật: tệp test in số đo {"T1":300} với ngưỡng &lt;=255 → EIDE phán 1 ca HỎNG. Chưa kho cũ nào có tiêu chí unit test để đo lại trên dữ liệu thật</t>
        </is>
      </c>
      <c r="G36" s="64" t="inlineStr">
        <is>
          <t>không có cờ (công cụ mới core=False)</t>
        </is>
      </c>
    </row>
    <row r="38">
      <c r="A38" s="59" t="inlineStr">
        <is>
          <t>Việc còn MỞ (ngoài 89 việc chưa làm)</t>
        </is>
      </c>
      <c r="B38" s="59" t="inlineStr">
        <is>
          <t>Vì sao còn mở</t>
        </is>
      </c>
    </row>
    <row r="39">
      <c r="A39" s="63" t="inlineStr">
        <is>
          <t>Sáu cờ mới đều còn TẮT</t>
        </is>
      </c>
      <c r="B39" s="63" t="inlineStr">
        <is>
          <t>GON_CONG_CU · TRUY_VET · REQ_PHU · REQ_CHAT_LUONG · KE_HOACH_CONG_KIEM · ERC_TU_DONG. Cả sáu đổi thứ Agent nhìn thấy hoặc đọc mỗi lượt, nên chỉ bộ 76 ca chạy HAI chế độ mới nói được chúng làm Agent khá hơn hay tệ hơn — bộ ấy tốn tiền mô hình nên chưa chạy.</t>
        </is>
      </c>
    </row>
    <row r="40">
      <c r="A40" s="63" t="inlineStr">
        <is>
          <t>kiem_cap_goi_tra() chưa thành hàng rào</t>
        </is>
      </c>
      <c r="B40" s="63" t="inlineStr">
        <is>
          <t>Soát được mọi phiên đã lưu, nhưng chưa hook nào gọi nó tự động — bắt được chuyện cũ, chưa chặn được chuyện mới.</t>
        </is>
      </c>
    </row>
    <row r="41">
      <c r="A41" s="63" t="inlineStr">
        <is>
          <t>Luật ERC quá áp chưa nổ trên dữ liệu thật</t>
        </is>
      </c>
      <c r="B41" s="63" t="inlineStr">
        <is>
          <t>Đường dẫn đã thông ở M3-07, nhưng ba kho có Fact điện áp thì không có mô hình mạch, và ngược lại. Phải chờ một dự án có cả hai.</t>
        </is>
      </c>
    </row>
    <row r="42">
      <c r="A42" s="63" t="inlineStr">
        <is>
          <t>Cột “Mã nguồn” của ma trận truy vết trống ở mọi dự án</t>
        </is>
      </c>
      <c r="B42" s="63" t="inlineStr">
        <is>
          <t>Nó đọc hien_thuc_req — trường vừa mới tồn tại, chưa tệp nào trên đĩa từng khai. Nên “chưa hiện thực” ở đó nghĩa là “chưa ai KHAI”, không phải “chưa ai viết”.</t>
        </is>
      </c>
    </row>
    <row r="43">
      <c r="A43" s="63" t="inlineStr">
        <is>
          <t>Lỗi _go_dau trong src/eide/tools/design.py</t>
        </is>
      </c>
      <c r="B43" s="63" t="inlineStr">
        <is>
          <t>Viết .replace('d','d') nên 'ổn định' và 'ON DINH' không khớp nhau. Hàm ấy đang dùng cho một phép kiểm an toàn (người có thật sự chọn không). Tìm thấy ở M2-03, CHƯA sửa vì ngoài phạm vi — cần bộ ca kiểm riêng.</t>
        </is>
      </c>
    </row>
    <row r="44">
      <c r="A44" s="63" t="inlineStr">
        <is>
          <t>subagent req-critic (bước 4 của M2-03)</t>
        </is>
      </c>
      <c r="B44" s="63" t="inlineStr">
        <is>
          <t>Kế hoạch ghi “tuỳ chọn, gộp M2-13”. Chưa làm, đúng theo kế hoạch.</t>
        </is>
      </c>
    </row>
    <row r="45">
      <c r="A45" s="63" t="inlineStr">
        <is>
          <t>Hai luật kiểm chân FPGA chưa có dữ liệu để nổ</t>
        </is>
      </c>
      <c r="B45" s="63" t="inlineStr">
        <is>
          <t>chan_lech_kit và io_type_lech_bank cần Fact chân kit. Không kho nào trong repo có Fact pin:tangnano20k.* hay khoá vccio — nên hôm nay chỉ 3 trong 5 luật của M3-18 kết luận được gì trên dữ liệu thật. Cùng hình dạng với luật ERC quá áp.</t>
        </is>
      </c>
    </row>
    <row r="46">
      <c r="A46" s="63" t="inlineStr">
        <is>
          <t>Một bitstream cũ đã dựng với chân đồng hồ tự chọn</t>
        </is>
      </c>
      <c r="B46" s="63" t="inlineStr">
        <is>
          <t>blinky của du-lieu/riscv-tn20k-b — xem DEV-345 và README §8. Không sửa hiện vật cũ: đó là dữ liệu của những lượt đo đã chốt. Từ nay phép kiểm chặn trước nextpnr.</t>
        </is>
      </c>
    </row>
    <row r="47">
      <c r="A47" s="63" t="inlineStr">
        <is>
          <t>Ba công cụ mới nhất chưa lượt Agent nào GỌI</t>
        </is>
      </c>
      <c r="B47" s="63" t="inlineStr">
        <is>
          <t>hdl.sensitivity · hdl.constraints_check · test.criteria. Mã của cả ba đã chạy trên hiện vật thật, nhưng đó là tôi gọi hàm, không phải tác tử gọi công cụ. README §8 đếm cả ba vào phần chưa dùng thật.</t>
        </is>
      </c>
    </row>
    <row r="49">
      <c r="A49" s="59" t="inlineStr">
        <is>
          <t>Lỗi tìm thấy trong CHÍNH PHÉP ĐO của tôi</t>
        </is>
      </c>
      <c r="B49" s="59" t="inlineStr">
        <is>
          <t>Lộ ra ở đâu</t>
        </is>
      </c>
    </row>
    <row r="50">
      <c r="A50" s="63" t="inlineStr">
        <is>
          <t>Kịch bản đo bị hàng rào của sản phẩm chặn (ghi tệp chưa đọc, E4020) và trả về một con số hợp lý thay vì nổ — 6→2 trông đẹp y như 9→3 đúng</t>
        </is>
      </c>
      <c r="B50" s="63" t="inlineStr">
        <is>
          <t>M2-01 · DEV-333</t>
        </is>
      </c>
    </row>
    <row r="51">
      <c r="A51" s="63" t="inlineStr">
        <is>
          <t>Ca kiểm dựng trên điều tôi tự nhớ sai: “thiết” bỏ dấu KHÔNG chứa “it”; chỗ va thật là bit/unit/init/exit</t>
        </is>
      </c>
      <c r="B51" s="63" t="inlineStr">
        <is>
          <t>M2-03 · DEV-335</t>
        </is>
      </c>
    </row>
    <row r="52">
      <c r="A52" s="63" t="inlineStr">
        <is>
          <t>Phép phá dài ĐÚNG BẰNG mã gốc (0.6 → 0.0) nên __pycache__ cũ còn hiệu lực — phép đo chạy mã khác với mã trong tệp</t>
        </is>
      </c>
      <c r="B52" s="63" t="inlineStr">
        <is>
          <t>M2-03 · DEV-335</t>
        </is>
      </c>
    </row>
    <row r="53">
      <c r="A53" s="63" t="inlineStr">
        <is>
          <t>Phép đo trả lời ĐÚNG một câu hỏi KHÁC: đếm ở mức dự án ra 0 chỗ cần chặn; câu phải hỏi là “lần ghi NÀY đã được kiểm chưa” → 19/26</t>
        </is>
      </c>
      <c r="B53" s="63" t="inlineStr">
        <is>
          <t>M2-06 · DEV-336</t>
        </is>
      </c>
    </row>
    <row r="54">
      <c r="A54" s="63" t="inlineStr">
        <is>
          <t>Ca kiểm RỖNG: dàn dựng không có net đất nào, nên nó xanh cả khi tôi bỏ hẳn phép bỏ qua net đất</t>
        </is>
      </c>
      <c r="B54" s="63" t="inlineStr">
        <is>
          <t>M3-01 · DEV-338</t>
        </is>
      </c>
    </row>
    <row r="55">
      <c r="A55" s="63" t="inlineStr">
        <is>
          <t>Hai phép phá chỉ ra THIẾT KẾ sai, không chỉ ca kiểm yếu (miễn net đất quá rộng; nhánh iout_max chưa ca nào chạm tới)</t>
        </is>
      </c>
      <c r="B55" s="63" t="inlineStr">
        <is>
          <t>M3-03 · DEV-339</t>
        </is>
      </c>
    </row>
    <row r="56">
      <c r="A56" s="63" t="inlineStr">
        <is>
          <t>Phép phá của tôi cũng SAI, và ca âm xanh vì lý do khác — hai cái sai che nhau</t>
        </is>
      </c>
      <c r="B56" s="63" t="inlineStr">
        <is>
          <t>M3-07 · DEV-341</t>
        </is>
      </c>
    </row>
    <row r="57">
      <c r="A57" s="63" t="inlineStr">
        <is>
          <t>Ca kiểm đo chính câu lệnh của mình (đặt bộ đếm = 3 rồi khẳng định nó khác rỗng, trong khi thực tế nó rỗng)</t>
        </is>
      </c>
      <c r="B57" s="63" t="inlineStr">
        <is>
          <t>M3-10 · DEV-342</t>
        </is>
      </c>
    </row>
    <row r="58">
      <c r="A58" s="63" t="inlineStr">
        <is>
          <t>Regex mà KẾ HOẠCH ghi sẵn từ chối oan 588/846 bản ghi thật; và ba ca kiểm xanh vì lý do sai (tệp giả dùng $4 thay $3; “FAILED” chứa “FAIL”)</t>
        </is>
      </c>
      <c r="B58" s="63" t="inlineStr">
        <is>
          <t>M3-12 · DEV-343</t>
        </is>
      </c>
    </row>
    <row r="59">
      <c r="A59" s="63" t="inlineStr">
        <is>
          <t>"Phá lại thì đỏ 6/6" sai về TẬP, không sai về số: sáu phép phá ấy chọn đúng sáu chỗ đã có ca canh. Phá bằng tập rộng hơn ra 7/9.</t>
        </is>
      </c>
      <c r="B59" s="63" t="inlineStr">
        <is>
          <t>M3-13 · DEV-344</t>
        </is>
      </c>
    </row>
    <row r="60">
      <c r="A60" s="63" t="inlineStr">
        <is>
          <t>409 'blocker' gần như toàn bộ từ một cặp vô nghĩa (mạng cổng của lõi CPU tổng hợp riêng, không bao giờ đem đặt-đi dây). Con số thật là 1.</t>
        </is>
      </c>
      <c r="B60" s="63" t="inlineStr">
        <is>
          <t>M3-18 · DEV-345</t>
        </is>
      </c>
    </row>
    <row r="61">
      <c r="A61" s="63" t="inlineStr">
        <is>
          <t>Phép quét tệp .cst thật chỉ thu 4 trong 7 tệp mà ca kiểm vẫn xanh — câu 'mọi tệp .cst thật đều đọc được' nói về phần phép quét chạm tới.</t>
        </is>
      </c>
      <c r="B61" s="63" t="inlineStr">
        <is>
          <t>M3-18 · DEV-345</t>
        </is>
      </c>
    </row>
    <row r="62">
      <c r="A62" s="63" t="inlineStr">
        <is>
          <t>Một ca kiểm và một phép phá nhắm hai NHÁNH khác nhau, nên ca mới xanh mà phép phá vẫn LỌT. Mất một lượt mới thấy.</t>
        </is>
      </c>
      <c r="B62" s="63" t="inlineStr">
        <is>
          <t>M3-18 · DEV-345</t>
        </is>
      </c>
    </row>
    <row r="63">
      <c r="A63" s="63" t="inlineStr">
        <is>
          <t>Ca kiểm xanh nhờ một DÒNG KHÁC: kiểm `"TỰ KHAI" in str(kh)` cả khối nên vẫn xanh khi phá chữ ấy ở dòng Kết luận — summary cũng chứa nó. Phép phá bắt được, ca kiểm thì không.</t>
        </is>
      </c>
      <c r="B63" s="63" t="inlineStr">
        <is>
          <t>M4-01 · DEV-346</t>
        </is>
      </c>
    </row>
    <row r="64">
      <c r="A64" s="63" t="inlineStr">
        <is>
          <t>Một phép phá VÔ HIỆU: `them = [] or [[…]]` không đổi hành vi, nên nó báo LỌT oan và suýt làm tôi viết ca kiểm cho một chỗ vốn đã được canh.</t>
        </is>
      </c>
      <c r="B64" s="63" t="inlineStr">
        <is>
          <t>M4-01 · DEV-346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tối 08/10/2026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18</v>
      </c>
      <c r="C5" s="61" t="inlineStr">
        <is>
          <t>18 việc đầu của Giai đoạn 1, theo đúng thứ tự # của kế hoạch</t>
        </is>
      </c>
    </row>
    <row r="6">
      <c r="A6" s="60" t="inlineStr">
        <is>
          <t>Đang làm (chưa commit)</t>
        </is>
      </c>
      <c r="B6" s="60" t="n">
        <v>0</v>
      </c>
      <c r="C6" s="61" t="inlineStr">
        <is>
          <t>không việc nào đang dở</t>
        </is>
      </c>
    </row>
    <row r="7">
      <c r="A7" s="60" t="inlineStr">
        <is>
          <t>Chưa làm</t>
        </is>
      </c>
      <c r="B7" s="60" t="n">
        <v>88</v>
      </c>
      <c r="C7" s="61" t="inlineStr">
        <is>
          <t>88 việc còn lại trong 106</t>
        </is>
      </c>
    </row>
    <row r="8">
      <c r="A8" s="62" t="inlineStr">
        <is>
          <t>TỔNG</t>
        </is>
      </c>
      <c r="B8" s="62" t="n">
        <v>106</v>
      </c>
      <c r="C8" s="61" t="n"/>
    </row>
    <row r="10">
      <c r="A10" s="59" t="inlineStr">
        <is>
          <t>Phép đo của cả đợt</t>
        </is>
      </c>
      <c r="B10" s="59" t="inlineStr">
        <is>
          <t>Trước (06/10)</t>
        </is>
      </c>
      <c r="C10" s="59" t="inlineStr">
        <is>
          <t>Sau (08/10)</t>
        </is>
      </c>
      <c r="D10" s="59" t="inlineStr">
        <is>
          <t>Ghi chú</t>
        </is>
      </c>
    </row>
    <row r="11">
      <c r="A11" s="63" t="inlineStr">
        <is>
          <t>Ca đơn vị Python (pytest -q)</t>
        </is>
      </c>
      <c r="B11" s="63" t="inlineStr">
        <is>
          <t>1 610</t>
        </is>
      </c>
      <c r="C11" s="63" t="inlineStr">
        <is>
          <t>1 816</t>
        </is>
      </c>
      <c r="D11" s="63" t="inlineStr">
        <is>
          <t>+206 ca so với 06/10;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0 chỗ LỆCH CHẮC CHẮN cả hai lượt. Hôm nay nó bắt đúng chuyện cần bắt: hai công cụ mới làm README lệch số công cụ 127 → 129, và số 'cần đọc lại' nhảy 11 → 15 → về 11 sau khi sửa</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DEV-347</t>
        </is>
      </c>
      <c r="D15" s="63" t="inlineStr">
        <is>
          <t>18 mục, mỗi việc một mục</t>
        </is>
      </c>
    </row>
    <row r="16">
      <c r="A16" s="63" t="inlineStr">
        <is>
          <t>Cờ tính năng mới</t>
        </is>
      </c>
      <c r="B16" s="63" t="inlineStr">
        <is>
          <t>1 (schematic)</t>
        </is>
      </c>
      <c r="C16" s="63" t="inlineStr">
        <is>
          <t>8</t>
        </is>
      </c>
      <c r="D16" s="63" t="inlineStr">
        <is>
          <t>7 cờ mới, TẤT CẢ mặc định TẮT. Cờ thứ 7 là SIM_RUNNER_GIOI_HAN (M4-02) — nó giới hạn fs.write của sim-runner trong sim/; hàng rào chính của M4-02 (POL-N6-sua-test) thì KHÔNG sau cờ</t>
        </is>
      </c>
    </row>
    <row r="17">
      <c r="A17" s="63" t="inlineStr">
        <is>
          <t>Mã lỗi mới</t>
        </is>
      </c>
      <c r="B17" s="63" t="inlineStr">
        <is>
          <t>—</t>
        </is>
      </c>
      <c r="C17" s="63" t="inlineStr">
        <is>
          <t>E4031 · E4032 · E6012 · E4033 · E4024</t>
        </is>
      </c>
      <c r="D17" s="63" t="inlineStr">
        <is>
          <t>M4-02 không thêm mã nào: nó DÙNG LẠI E5006 cho cổng ghi của sim-runner. E4033 (M3-18), E4024 (M4-01)</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DEV-344</t>
        </is>
      </c>
      <c r="F34" s="64" t="inlineStr">
        <is>
          <t>testbench Verilog THẬT của bài 3: tb_pcpi_dot4 1/1, tb_pcpi_mac 1/1, tb_pcpi_vmini không đo được (tb gọi bản bram HAI CỔNG đã bị bỏ 02/10) — mẫu số là TỆP, không phải phép phá</t>
        </is>
      </c>
      <c r="G34" s="64" t="inlineStr">
        <is>
          <t>không có cờ (công cụ mới core=False)</t>
        </is>
      </c>
    </row>
    <row r="35">
      <c r="A35" s="64" t="inlineStr">
        <is>
          <t>16</t>
        </is>
      </c>
      <c r="B35" s="64" t="inlineStr">
        <is>
          <t>M3-18</t>
        </is>
      </c>
      <c r="C35" s="64" t="inlineStr">
        <is>
          <t>3. Mạch, ERC, HDL/FPGA</t>
        </is>
      </c>
      <c r="D35" s="64" t="inlineStr">
        <is>
          <t>P0</t>
        </is>
      </c>
      <c r="E35" s="64" t="inlineStr">
        <is>
          <t>DEV-345</t>
        </is>
      </c>
      <c r="F35" s="64" t="inlineStr">
        <is>
          <t>6 cặp (mạng cổng, .cst) thật → 1 chỗ CHẶN: blinky của riscv-tn20k-b dựng bitstream 4,6 MB với chân đồng hồ do nextpnr tự chọn (rơi đúng chân 4 — bằng may). Cả 7 tệp .cst thật đọc hết, 0 lỗi cú pháp</t>
        </is>
      </c>
      <c r="G35" s="64" t="inlineStr">
        <is>
          <t>không có cờ (công cụ mới core=False)</t>
        </is>
      </c>
    </row>
    <row r="36">
      <c r="A36" s="64" t="inlineStr">
        <is>
          <t>17</t>
        </is>
      </c>
      <c r="B36" s="64" t="inlineStr">
        <is>
          <t>M4-01</t>
        </is>
      </c>
      <c r="C36" s="64" t="inlineStr">
        <is>
          <t>4. Kiểm thử &amp; chất lượng</t>
        </is>
      </c>
      <c r="D36" s="64" t="inlineStr">
        <is>
          <t>P0</t>
        </is>
      </c>
      <c r="E36" s="64" t="inlineStr">
        <is>
          <t>DEV-346</t>
        </is>
      </c>
      <c r="F36" s="64" t="inlineStr">
        <is>
          <t>18 ca chạy trình biên dịch C thật: tệp test in số đo {"T1":300} với ngưỡng &lt;=255 → EIDE phán 1 ca HỎNG. Chưa kho cũ nào có tiêu chí unit test để đo lại trên dữ liệu thật</t>
        </is>
      </c>
      <c r="G36" s="64" t="inlineStr">
        <is>
          <t>không có cờ (công cụ mới core=False)</t>
        </is>
      </c>
    </row>
    <row r="37">
      <c r="A37" s="64" t="inlineStr">
        <is>
          <t>18</t>
        </is>
      </c>
      <c r="B37" s="64" t="inlineStr">
        <is>
          <t>M4-02</t>
        </is>
      </c>
      <c r="C37" s="64" t="inlineStr">
        <is>
          <t>4. Kiểm thử &amp; chất lượng</t>
        </is>
      </c>
      <c r="D37" s="64" t="inlineStr">
        <is>
          <t>P0</t>
        </is>
      </c>
      <c r="E37" s="64" t="inlineStr">
        <is>
          <t>DEV-347</t>
        </is>
      </c>
      <c r="F37" s="64" t="inlineStr">
        <is>
          <t>25 ca dựng đúng trạng thái thật (tệp test 3 ca, 1 ca đỏ, hiện vật dat=False) → fs.write còn 1 ca thì test.weakened=True. Và hàng rào cũ criteria.has_result chưa bao giờ nổ ngoài sim-01</t>
        </is>
      </c>
      <c r="G37" s="64" t="inlineStr">
        <is>
          <t>SIM_RUNNER_GIOI_HAN — TẮT</t>
        </is>
      </c>
    </row>
    <row r="39">
      <c r="A39" s="59" t="inlineStr">
        <is>
          <t>Việc còn MỞ (ngoài 88 việc chưa làm)</t>
        </is>
      </c>
      <c r="B39" s="59" t="inlineStr">
        <is>
          <t>Vì sao còn mở</t>
        </is>
      </c>
    </row>
    <row r="40">
      <c r="A40" s="63" t="inlineStr">
        <is>
          <t>Bảy cờ mới đều còn TẮT</t>
        </is>
      </c>
      <c r="B40" s="63" t="inlineStr">
        <is>
          <t>GON_CONG_CU · TRUY_VET · REQ_PHU · REQ_CHAT_LUONG · KE_HOACH_CONG_KIEM · ERC_TU_DONG · SIM_RUNNER_GIOI_HAN. Cả bảy đổi thứ Agent nhìn thấy, đọc, hoặc LÀM ĐƯỢC mỗi lượt, nên chỉ bộ 76 ca chạy hai chế độ mới nói được chúng làm Agent khá hơn hay tệ hơn. Bộ ấy tốn tiền mô hình nên §3.0 bắt hỏi người dùng trước.</t>
        </is>
      </c>
    </row>
    <row r="41">
      <c r="A41" s="63" t="inlineStr">
        <is>
          <t>kiem_cap_goi_tra() chưa thành hàng rào</t>
        </is>
      </c>
      <c r="B41" s="63" t="inlineStr">
        <is>
          <t>Soát được mọi phiên đã lưu, nhưng chưa hook nào gọi nó tự động — bắt được chuyện cũ, chưa chặn được chuyện mới.</t>
        </is>
      </c>
    </row>
    <row r="42">
      <c r="A42" s="63" t="inlineStr">
        <is>
          <t>Luật ERC quá áp chưa nổ trên dữ liệu thật</t>
        </is>
      </c>
      <c r="B42" s="63" t="inlineStr">
        <is>
          <t>Đường dẫn đã thông ở M3-07, nhưng ba kho có Fact điện áp thì không có mô hình mạch, và ngược lại. Phải chờ một dự án có cả hai.</t>
        </is>
      </c>
    </row>
    <row r="43">
      <c r="A43" s="63" t="inlineStr">
        <is>
          <t>Cột “Mã nguồn” của ma trận truy vết trống ở mọi dự án</t>
        </is>
      </c>
      <c r="B43" s="63" t="inlineStr">
        <is>
          <t>Nó đọc hien_thuc_req — trường vừa mới tồn tại, chưa tệp nào trên đĩa từng khai. Nên “chưa hiện thực” ở đó nghĩa là “chưa ai KHAI”, không phải “chưa ai viết”.</t>
        </is>
      </c>
    </row>
    <row r="44">
      <c r="A44" s="63" t="inlineStr">
        <is>
          <t>Lỗi _go_dau trong src/eide/tools/design.py</t>
        </is>
      </c>
      <c r="B44" s="63" t="inlineStr">
        <is>
          <t>Viết .replace('d','d') nên 'ổn định' và 'ON DINH' không khớp nhau. Hàm ấy đang dùng cho một phép kiểm an toàn (người có thật sự chọn không). Tìm thấy ở M2-03, CHƯA sửa vì ngoài phạm vi — cần bộ ca kiểm riêng.</t>
        </is>
      </c>
    </row>
    <row r="45">
      <c r="A45" s="63" t="inlineStr">
        <is>
          <t>subagent req-critic (bước 4 của M2-03)</t>
        </is>
      </c>
      <c r="B45" s="63" t="inlineStr">
        <is>
          <t>Kế hoạch ghi “tuỳ chọn, gộp M2-13”. Chưa làm, đúng theo kế hoạch.</t>
        </is>
      </c>
    </row>
    <row r="46">
      <c r="A46" s="63" t="inlineStr">
        <is>
          <t>Hai luật kiểm chân FPGA chưa có dữ liệu để nổ</t>
        </is>
      </c>
      <c r="B46" s="63" t="inlineStr">
        <is>
          <t>chan_lech_kit và io_type_lech_bank cần Fact chân kit. Không kho nào trong repo có Fact pin:tangnano20k.* hay khoá vccio — nên hôm nay chỉ 3 trong 5 luật của M3-18 kết luận được gì trên dữ liệu thật. Cùng hình dạng với luật ERC quá áp.</t>
        </is>
      </c>
    </row>
    <row r="47">
      <c r="A47" s="63" t="inlineStr">
        <is>
          <t>Một bitstream cũ đã dựng với chân đồng hồ tự chọn</t>
        </is>
      </c>
      <c r="B47" s="63" t="inlineStr">
        <is>
          <t>blinky của du-lieu/riscv-tn20k-b — xem DEV-345 và README §8. Không sửa hiện vật cũ: đó là dữ liệu của những lượt đo đã chốt. Từ nay phép kiểm chặn trước nextpnr.</t>
        </is>
      </c>
    </row>
    <row r="48">
      <c r="A48" s="63" t="inlineStr">
        <is>
          <t>Ba công cụ mới nhất chưa lượt Agent nào GỌI</t>
        </is>
      </c>
      <c r="B48" s="63" t="inlineStr">
        <is>
          <t>hdl.sensitivity · hdl.constraints_check · test.criteria. Mã của cả ba đã chạy trên hiện vật thật, nhưng đó là tôi gọi hàm, không phải tác tử gọi công cụ. README §8 đếm cả ba vào phần chưa dùng thật.</t>
        </is>
      </c>
    </row>
    <row r="49">
      <c r="A49" s="63" t="inlineStr">
        <is>
          <t>POL-N6-sua-test chưa nổ trên một phiên thật nào</t>
        </is>
      </c>
      <c r="B49" s="63" t="inlineStr">
        <is>
          <t>Hook sua_test_sau_do cấp dữ kiện cho lời gọi SẮP xảy ra, nên không soát lại được phiên đã lưu — khác mọi phép đo trước của đợt này. Nó đã có 25 ca kiểm và phá lại 27/27, nhưng chưa lượt tác tử thật nào chạm vào nó. Cùng hình dạng với ba luật kiểm thiếu dữ liệu ở trên, chỉ khác lý do.</t>
        </is>
      </c>
    </row>
    <row r="51">
      <c r="A51" s="59" t="inlineStr">
        <is>
          <t>Lỗi tìm thấy trong CHÍNH PHÉP ĐO của tôi</t>
        </is>
      </c>
      <c r="B51" s="59" t="inlineStr">
        <is>
          <t>Lộ ra ở đâu</t>
        </is>
      </c>
    </row>
    <row r="52">
      <c r="A52" s="63" t="inlineStr">
        <is>
          <t>Kịch bản đo bị hàng rào của sản phẩm chặn (ghi tệp chưa đọc, E4020) và trả về một con số hợp lý thay vì nổ — 6→2 trông đẹp y như 9→3 đúng</t>
        </is>
      </c>
      <c r="B52" s="63" t="inlineStr">
        <is>
          <t>M2-01 · DEV-333</t>
        </is>
      </c>
    </row>
    <row r="53">
      <c r="A53" s="63" t="inlineStr">
        <is>
          <t>Ca kiểm dựng trên điều tôi tự nhớ sai: “thiết” bỏ dấu KHÔNG chứa “it”; chỗ va thật là bit/unit/init/exit</t>
        </is>
      </c>
      <c r="B53" s="63" t="inlineStr">
        <is>
          <t>M2-03 · DEV-335</t>
        </is>
      </c>
    </row>
    <row r="54">
      <c r="A54" s="63" t="inlineStr">
        <is>
          <t>Phép phá dài ĐÚNG BẰNG mã gốc (0.6 → 0.0) nên __pycache__ cũ còn hiệu lực — phép đo chạy mã khác với mã trong tệp</t>
        </is>
      </c>
      <c r="B54" s="63" t="inlineStr">
        <is>
          <t>M2-03 · DEV-335</t>
        </is>
      </c>
    </row>
    <row r="55">
      <c r="A55" s="63" t="inlineStr">
        <is>
          <t>Phép đo trả lời ĐÚNG một câu hỏi KHÁC: đếm ở mức dự án ra 0 chỗ cần chặn; câu phải hỏi là “lần ghi NÀY đã được kiểm chưa” → 19/26</t>
        </is>
      </c>
      <c r="B55" s="63" t="inlineStr">
        <is>
          <t>M2-06 · DEV-336</t>
        </is>
      </c>
    </row>
    <row r="56">
      <c r="A56" s="63" t="inlineStr">
        <is>
          <t>Ca kiểm RỖNG: dàn dựng không có net đất nào, nên nó xanh cả khi tôi bỏ hẳn phép bỏ qua net đất</t>
        </is>
      </c>
      <c r="B56" s="63" t="inlineStr">
        <is>
          <t>M3-01 · DEV-338</t>
        </is>
      </c>
    </row>
    <row r="57">
      <c r="A57" s="63" t="inlineStr">
        <is>
          <t>Hai phép phá chỉ ra THIẾT KẾ sai, không chỉ ca kiểm yếu (miễn net đất quá rộng; nhánh iout_max chưa ca nào chạm tới)</t>
        </is>
      </c>
      <c r="B57" s="63" t="inlineStr">
        <is>
          <t>M3-03 · DEV-339</t>
        </is>
      </c>
    </row>
    <row r="58">
      <c r="A58" s="63" t="inlineStr">
        <is>
          <t>Phép phá của tôi cũng SAI, và ca âm xanh vì lý do khác — hai cái sai che nhau</t>
        </is>
      </c>
      <c r="B58" s="63" t="inlineStr">
        <is>
          <t>M3-07 · DEV-341</t>
        </is>
      </c>
    </row>
    <row r="59">
      <c r="A59" s="63" t="inlineStr">
        <is>
          <t>Ca kiểm đo chính câu lệnh của mình (đặt bộ đếm = 3 rồi khẳng định nó khác rỗng, trong khi thực tế nó rỗng)</t>
        </is>
      </c>
      <c r="B59" s="63" t="inlineStr">
        <is>
          <t>M3-10 · DEV-342</t>
        </is>
      </c>
    </row>
    <row r="60">
      <c r="A60" s="63" t="inlineStr">
        <is>
          <t>Regex mà KẾ HOẠCH ghi sẵn từ chối oan 588/846 bản ghi thật; và ba ca kiểm xanh vì lý do sai (tệp giả dùng $4 thay $3; “FAILED” chứa “FAIL”)</t>
        </is>
      </c>
      <c r="B60" s="63" t="inlineStr">
        <is>
          <t>M3-12 · DEV-343</t>
        </is>
      </c>
    </row>
    <row r="61">
      <c r="A61" s="63" t="inlineStr">
        <is>
          <t>"Phá lại thì đỏ 6/6" sai về TẬP, không sai về số: sáu phép phá ấy chọn đúng sáu chỗ đã có ca canh. Phá bằng tập rộng hơn ra 7/9.</t>
        </is>
      </c>
      <c r="B61" s="63" t="inlineStr">
        <is>
          <t>M3-13 · DEV-344</t>
        </is>
      </c>
    </row>
    <row r="62">
      <c r="A62" s="63" t="inlineStr">
        <is>
          <t>409 'blocker' gần như toàn bộ từ một cặp vô nghĩa (mạng cổng của lõi CPU tổng hợp riêng, không bao giờ đem đặt-đi dây). Con số thật là 1.</t>
        </is>
      </c>
      <c r="B62" s="63" t="inlineStr">
        <is>
          <t>M3-18 · DEV-345</t>
        </is>
      </c>
    </row>
    <row r="63">
      <c r="A63" s="63" t="inlineStr">
        <is>
          <t>Phép quét tệp .cst thật chỉ thu 4 trong 7 tệp mà ca kiểm vẫn xanh — câu 'mọi tệp .cst thật đều đọc được' nói về phần phép quét chạm tới.</t>
        </is>
      </c>
      <c r="B63" s="63" t="inlineStr">
        <is>
          <t>M3-18 · DEV-345</t>
        </is>
      </c>
    </row>
    <row r="64">
      <c r="A64" s="63" t="inlineStr">
        <is>
          <t>Một ca kiểm và một phép phá nhắm hai NHÁNH khác nhau, nên ca mới xanh mà phép phá vẫn LỌT. Mất một lượt mới thấy.</t>
        </is>
      </c>
      <c r="B64" s="63" t="inlineStr">
        <is>
          <t>M3-18 · DEV-345</t>
        </is>
      </c>
    </row>
    <row r="65">
      <c r="A65" s="63" t="inlineStr">
        <is>
          <t>Ca kiểm xanh nhờ một DÒNG KHÁC: kiểm `"TỰ KHAI" in str(kh)` cả khối nên vẫn xanh khi phá chữ ấy ở dòng Kết luận — summary cũng chứa nó. Phép phá bắt được, ca kiểm thì không.</t>
        </is>
      </c>
      <c r="B65" s="63" t="inlineStr">
        <is>
          <t>M4-01 · DEV-346</t>
        </is>
      </c>
    </row>
    <row r="66">
      <c r="A66" s="63" t="inlineStr">
        <is>
          <t>Một phép phá VÔ HIỆU: `them = [] or [[…]]` không đổi hành vi, nên nó báo LỌT oan và suýt làm tôi viết ca kiểm cho một chỗ vốn đã được canh.</t>
        </is>
      </c>
      <c r="B66" s="63" t="inlineStr">
        <is>
          <t>M4-01 · DEV-346</t>
        </is>
      </c>
    </row>
    <row r="67">
      <c r="A67" s="63" t="inlineStr">
        <is>
          <t>HAI phép phá liền nhau VÔ HIỆU ở cùng một dòng: `cu = cu or ""` không đổi hành vi, rồi bỏ is_file() cũng không vì except OSError bắt FileNotFoundError. Phải bỏ cả hai lớp phòng mới phá được.</t>
        </is>
      </c>
      <c r="B67" s="63" t="inlineStr">
        <is>
          <t>M4-02 · DEV-347</t>
        </is>
      </c>
    </row>
    <row r="68">
      <c r="A68" s="63" t="inlineStr">
        <is>
          <t>Một luật mới trỏ tới nhóm dữ kiện chưa khai thì DỪNG CẢ LƯỢT bằng ValueError, không phải 'không nổ' — và nhóm `criteria` của hàng rào N6 cũ cũng chưa bao giờ được khai.</t>
        </is>
      </c>
      <c r="B68" s="63" t="inlineStr">
        <is>
          <t>M4-02 · DEV-347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khuya 08/10/2026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19</v>
      </c>
      <c r="C5" s="61" t="inlineStr">
        <is>
          <t>19 việc đầu của Giai đoạn 1, theo đúng thứ tự # của kế hoạch</t>
        </is>
      </c>
    </row>
    <row r="6">
      <c r="A6" s="60" t="inlineStr">
        <is>
          <t>Đang làm (chưa commit)</t>
        </is>
      </c>
      <c r="B6" s="60" t="n">
        <v>0</v>
      </c>
      <c r="C6" s="61" t="inlineStr">
        <is>
          <t>không việc nào đang dở</t>
        </is>
      </c>
    </row>
    <row r="7">
      <c r="A7" s="60" t="inlineStr">
        <is>
          <t>Chưa làm</t>
        </is>
      </c>
      <c r="B7" s="60" t="n">
        <v>87</v>
      </c>
      <c r="C7" s="61" t="inlineStr">
        <is>
          <t>87 việc còn lại trong 106</t>
        </is>
      </c>
    </row>
    <row r="8">
      <c r="A8" s="62" t="inlineStr">
        <is>
          <t>TỔNG</t>
        </is>
      </c>
      <c r="B8" s="62" t="n">
        <v>106</v>
      </c>
      <c r="C8" s="61" t="n"/>
    </row>
    <row r="10">
      <c r="A10" s="59" t="inlineStr">
        <is>
          <t>Phép đo của cả đợt</t>
        </is>
      </c>
      <c r="B10" s="59" t="inlineStr">
        <is>
          <t>Trước (06/10)</t>
        </is>
      </c>
      <c r="C10" s="59" t="inlineStr">
        <is>
          <t>Sau (08/10)</t>
        </is>
      </c>
      <c r="D10" s="59" t="inlineStr">
        <is>
          <t>Ghi chú</t>
        </is>
      </c>
    </row>
    <row r="11">
      <c r="A11" s="63" t="inlineStr">
        <is>
          <t>Ca đơn vị Python (pytest -q)</t>
        </is>
      </c>
      <c r="B11" s="63" t="inlineStr">
        <is>
          <t>1 610</t>
        </is>
      </c>
      <c r="C11" s="63" t="inlineStr">
        <is>
          <t>1 835</t>
        </is>
      </c>
      <c r="D11" s="63" t="inlineStr">
        <is>
          <t>+225 ca so với 06/10;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0 chỗ LỆCH CHẮC CHẮN cả hai lượt. Hôm nay nó bắt đúng chuyện cần bắt: hai công cụ mới làm README lệch số công cụ 127 → 129, và số 'cần đọc lại' nhảy 11 → 15 → về 11 sau khi sửa</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DEV-348</t>
        </is>
      </c>
      <c r="D15" s="63" t="inlineStr">
        <is>
          <t>19 mục, mỗi việc một mục</t>
        </is>
      </c>
    </row>
    <row r="16">
      <c r="A16" s="63" t="inlineStr">
        <is>
          <t>Cờ tính năng mới</t>
        </is>
      </c>
      <c r="B16" s="63" t="inlineStr">
        <is>
          <t>1 (schematic)</t>
        </is>
      </c>
      <c r="C16" s="63" t="inlineStr">
        <is>
          <t>8</t>
        </is>
      </c>
      <c r="D16" s="63" t="inlineStr">
        <is>
          <t>7 cờ mới, TẤT CẢ mặc định TẮT. Cờ thứ 7 là SIM_RUNNER_GIOI_HAN (M4-02) — nó giới hạn fs.write của sim-runner trong sim/; hàng rào chính của M4-02 (POL-N6-sua-test) thì KHÔNG sau cờ</t>
        </is>
      </c>
    </row>
    <row r="17">
      <c r="A17" s="63" t="inlineStr">
        <is>
          <t>Mã lỗi mới</t>
        </is>
      </c>
      <c r="B17" s="63" t="inlineStr">
        <is>
          <t>—</t>
        </is>
      </c>
      <c r="C17" s="63" t="inlineStr">
        <is>
          <t>E4031 · E4032 · E6012 · E4033 · E4024</t>
        </is>
      </c>
      <c r="D17" s="63" t="inlineStr">
        <is>
          <t>M4-05 không thêm mã nào. M4-02 cũng không (dùng lại E5006). E4033 (M3-18), E4024 (M4-01)</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DEV-344</t>
        </is>
      </c>
      <c r="F34" s="64" t="inlineStr">
        <is>
          <t>testbench Verilog THẬT của bài 3: tb_pcpi_dot4 1/1, tb_pcpi_mac 1/1, tb_pcpi_vmini không đo được (tb gọi bản bram HAI CỔNG đã bị bỏ 02/10) — mẫu số là TỆP, không phải phép phá</t>
        </is>
      </c>
      <c r="G34" s="64" t="inlineStr">
        <is>
          <t>không có cờ (công cụ mới core=False)</t>
        </is>
      </c>
    </row>
    <row r="35">
      <c r="A35" s="64" t="inlineStr">
        <is>
          <t>16</t>
        </is>
      </c>
      <c r="B35" s="64" t="inlineStr">
        <is>
          <t>M3-18</t>
        </is>
      </c>
      <c r="C35" s="64" t="inlineStr">
        <is>
          <t>3. Mạch, ERC, HDL/FPGA</t>
        </is>
      </c>
      <c r="D35" s="64" t="inlineStr">
        <is>
          <t>P0</t>
        </is>
      </c>
      <c r="E35" s="64" t="inlineStr">
        <is>
          <t>DEV-345</t>
        </is>
      </c>
      <c r="F35" s="64" t="inlineStr">
        <is>
          <t>6 cặp (mạng cổng, .cst) thật → 1 chỗ CHẶN: blinky của riscv-tn20k-b dựng bitstream 4,6 MB với chân đồng hồ do nextpnr tự chọn (rơi đúng chân 4 — bằng may). Cả 7 tệp .cst thật đọc hết, 0 lỗi cú pháp</t>
        </is>
      </c>
      <c r="G35" s="64" t="inlineStr">
        <is>
          <t>không có cờ (công cụ mới core=False)</t>
        </is>
      </c>
    </row>
    <row r="36">
      <c r="A36" s="64" t="inlineStr">
        <is>
          <t>17</t>
        </is>
      </c>
      <c r="B36" s="64" t="inlineStr">
        <is>
          <t>M4-01</t>
        </is>
      </c>
      <c r="C36" s="64" t="inlineStr">
        <is>
          <t>4. Kiểm thử &amp; chất lượng</t>
        </is>
      </c>
      <c r="D36" s="64" t="inlineStr">
        <is>
          <t>P0</t>
        </is>
      </c>
      <c r="E36" s="64" t="inlineStr">
        <is>
          <t>DEV-346</t>
        </is>
      </c>
      <c r="F36" s="64" t="inlineStr">
        <is>
          <t>18 ca chạy trình biên dịch C thật: tệp test in số đo {"T1":300} với ngưỡng &lt;=255 → EIDE phán 1 ca HỎNG. Chưa kho cũ nào có tiêu chí unit test để đo lại trên dữ liệu thật</t>
        </is>
      </c>
      <c r="G36" s="64" t="inlineStr">
        <is>
          <t>không có cờ (công cụ mới core=False)</t>
        </is>
      </c>
    </row>
    <row r="37">
      <c r="A37" s="64" t="inlineStr">
        <is>
          <t>18</t>
        </is>
      </c>
      <c r="B37" s="64" t="inlineStr">
        <is>
          <t>M4-02</t>
        </is>
      </c>
      <c r="C37" s="64" t="inlineStr">
        <is>
          <t>4. Kiểm thử &amp; chất lượng</t>
        </is>
      </c>
      <c r="D37" s="64" t="inlineStr">
        <is>
          <t>P0</t>
        </is>
      </c>
      <c r="E37" s="64" t="inlineStr">
        <is>
          <t>DEV-347</t>
        </is>
      </c>
      <c r="F37" s="64" t="inlineStr">
        <is>
          <t>25 ca dựng đúng trạng thái thật (tệp test 3 ca, 1 ca đỏ, hiện vật dat=False) → fs.write còn 1 ca thì test.weakened=True. Và hàng rào cũ criteria.has_result chưa bao giờ nổ ngoài sim-01</t>
        </is>
      </c>
      <c r="G37" s="64" t="inlineStr">
        <is>
          <t>SIM_RUNNER_GIOI_HAN — TẮT</t>
        </is>
      </c>
    </row>
    <row r="38">
      <c r="A38" s="64" t="inlineStr">
        <is>
          <t>19</t>
        </is>
      </c>
      <c r="B38" s="64" t="inlineStr">
        <is>
          <t>M4-05</t>
        </is>
      </c>
      <c r="C38" s="64" t="inlineStr">
        <is>
          <t>4. Kiểm thử &amp; chất lượng</t>
        </is>
      </c>
      <c r="D38" s="64" t="inlineStr">
        <is>
          <t>P1</t>
        </is>
      </c>
      <c r="E38" s="64" t="inlineStr">
        <is>
          <t>DEV-348</t>
        </is>
      </c>
      <c r="F38" s="64" t="inlineStr">
        <is>
          <t>du-lieu/rtos-sinhvien, chạy CẢ HAI hành vi: cũ so_thay=1, mới so_thay=0 — logo_ptit.c từ 'bộ kiểm ĐỎ' thành 'mọi đột biến đều làm hỏng biên dịch'. Một ô xanh giả, đã sửa</t>
        </is>
      </c>
      <c r="G38" s="64" t="inlineStr">
        <is>
          <t>không có cờ — sửa lỗi thuần</t>
        </is>
      </c>
    </row>
    <row r="40">
      <c r="A40" s="59" t="inlineStr">
        <is>
          <t>Việc còn MỞ (ngoài 87 việc chưa làm)</t>
        </is>
      </c>
      <c r="B40" s="59" t="inlineStr">
        <is>
          <t>Vì sao còn mở</t>
        </is>
      </c>
    </row>
    <row r="41">
      <c r="A41" s="63" t="inlineStr">
        <is>
          <t>Bảy cờ mới đều còn TẮT</t>
        </is>
      </c>
      <c r="B41" s="63" t="inlineStr">
        <is>
          <t>GON_CONG_CU · TRUY_VET · REQ_PHU · REQ_CHAT_LUONG · KE_HOACH_CONG_KIEM · ERC_TU_DONG · SIM_RUNNER_GIOI_HAN. Cả bảy đổi thứ Agent nhìn thấy, đọc, hoặc LÀM ĐƯỢC mỗi lượt, nên chỉ bộ 76 ca chạy hai chế độ mới nói được chúng làm Agent khá hơn hay tệ hơn. Bộ ấy tốn tiền mô hình nên §3.0 bắt hỏi người dùng trước.</t>
        </is>
      </c>
    </row>
    <row r="42">
      <c r="A42" s="63" t="inlineStr">
        <is>
          <t>kiem_cap_goi_tra() chưa thành hàng rào</t>
        </is>
      </c>
      <c r="B42" s="63" t="inlineStr">
        <is>
          <t>Soát được mọi phiên đã lưu, nhưng chưa hook nào gọi nó tự động — bắt được chuyện cũ, chưa chặn được chuyện mới.</t>
        </is>
      </c>
    </row>
    <row r="43">
      <c r="A43" s="63" t="inlineStr">
        <is>
          <t>Luật ERC quá áp chưa nổ trên dữ liệu thật</t>
        </is>
      </c>
      <c r="B43" s="63" t="inlineStr">
        <is>
          <t>Đường dẫn đã thông ở M3-07, nhưng ba kho có Fact điện áp thì không có mô hình mạch, và ngược lại. Phải chờ một dự án có cả hai.</t>
        </is>
      </c>
    </row>
    <row r="44">
      <c r="A44" s="63" t="inlineStr">
        <is>
          <t>Cột “Mã nguồn” của ma trận truy vết trống ở mọi dự án</t>
        </is>
      </c>
      <c r="B44" s="63" t="inlineStr">
        <is>
          <t>Nó đọc hien_thuc_req — trường vừa mới tồn tại, chưa tệp nào trên đĩa từng khai. Nên “chưa hiện thực” ở đó nghĩa là “chưa ai KHAI”, không phải “chưa ai viết”.</t>
        </is>
      </c>
    </row>
    <row r="45">
      <c r="A45" s="63" t="inlineStr">
        <is>
          <t>Lỗi _go_dau trong src/eide/tools/design.py</t>
        </is>
      </c>
      <c r="B45" s="63" t="inlineStr">
        <is>
          <t>Viết .replace('d','d') nên 'ổn định' và 'ON DINH' không khớp nhau. Hàm ấy đang dùng cho một phép kiểm an toàn (người có thật sự chọn không). Tìm thấy ở M2-03, CHƯA sửa vì ngoài phạm vi — cần bộ ca kiểm riêng.</t>
        </is>
      </c>
    </row>
    <row r="46">
      <c r="A46" s="63" t="inlineStr">
        <is>
          <t>subagent req-critic (bước 4 của M2-03)</t>
        </is>
      </c>
      <c r="B46" s="63" t="inlineStr">
        <is>
          <t>Kế hoạch ghi “tuỳ chọn, gộp M2-13”. Chưa làm, đúng theo kế hoạch.</t>
        </is>
      </c>
    </row>
    <row r="47">
      <c r="A47" s="63" t="inlineStr">
        <is>
          <t>Hai luật kiểm chân FPGA chưa có dữ liệu để nổ</t>
        </is>
      </c>
      <c r="B47" s="63" t="inlineStr">
        <is>
          <t>chan_lech_kit và io_type_lech_bank cần Fact chân kit. Không kho nào trong repo có Fact pin:tangnano20k.* hay khoá vccio — nên hôm nay chỉ 3 trong 5 luật của M3-18 kết luận được gì trên dữ liệu thật. Cùng hình dạng với luật ERC quá áp.</t>
        </is>
      </c>
    </row>
    <row r="48">
      <c r="A48" s="63" t="inlineStr">
        <is>
          <t>Một bitstream cũ đã dựng với chân đồng hồ tự chọn</t>
        </is>
      </c>
      <c r="B48" s="63" t="inlineStr">
        <is>
          <t>blinky của du-lieu/riscv-tn20k-b — xem DEV-345 và README §8. Không sửa hiện vật cũ: đó là dữ liệu của những lượt đo đã chốt. Từ nay phép kiểm chặn trước nextpnr.</t>
        </is>
      </c>
    </row>
    <row r="49">
      <c r="A49" s="63" t="inlineStr">
        <is>
          <t>Ba công cụ mới nhất chưa lượt Agent nào GỌI</t>
        </is>
      </c>
      <c r="B49" s="63" t="inlineStr">
        <is>
          <t>hdl.sensitivity · hdl.constraints_check · test.criteria. Mã của cả ba đã chạy trên hiện vật thật, nhưng đó là tôi gọi hàm, không phải tác tử gọi công cụ. README §8 đếm cả ba vào phần chưa dùng thật.</t>
        </is>
      </c>
    </row>
    <row r="50">
      <c r="A50" s="63" t="inlineStr">
        <is>
          <t>Bộ kiểm C của ba dự án firmware thật đều KHÔNG đo được độ nhạy</t>
        </is>
      </c>
      <c r="B50" s="63" t="inlineStr">
        <is>
          <t>rtos-sinhvien: 0/12 tệp đo được (4 font khong_thay, control_rtos.c trùng ký hiệu, main.c không dịch trên máy chủ, logo_ptit.c mọi mutant hỏng biên dịch). stm32f469-freertos và thu-nghiem-g6: bộ kiểm ĐỎ SẴN. Đây là trạng thái của dữ liệu đo, không phải lỗi sản phẩm — nhưng nó nghĩa là chưa dự án firmware nào trong repo có một con số độ nhạy đáng tin. Xem DEV-348.</t>
        </is>
      </c>
    </row>
    <row r="51">
      <c r="A51" s="63" t="inlineStr">
        <is>
          <t>POL-N6-sua-test chưa nổ trên một phiên thật nào</t>
        </is>
      </c>
      <c r="B51" s="63" t="inlineStr">
        <is>
          <t>Hook sua_test_sau_do cấp dữ kiện cho lời gọi SẮP xảy ra, nên không soát lại được phiên đã lưu — khác mọi phép đo trước của đợt này. Nó đã có 25 ca kiểm và phá lại 27/27, nhưng chưa lượt tác tử thật nào chạm vào nó. Cùng hình dạng với ba luật kiểm thiếu dữ liệu ở trên, chỉ khác lý do.</t>
        </is>
      </c>
    </row>
    <row r="53">
      <c r="A53" s="59" t="inlineStr">
        <is>
          <t>Lỗi tìm thấy trong CHÍNH PHÉP ĐO của tôi</t>
        </is>
      </c>
      <c r="B53" s="59" t="inlineStr">
        <is>
          <t>Lộ ra ở đâu</t>
        </is>
      </c>
    </row>
    <row r="54">
      <c r="A54" s="63" t="inlineStr">
        <is>
          <t>Kịch bản đo bị hàng rào của sản phẩm chặn (ghi tệp chưa đọc, E4020) và trả về một con số hợp lý thay vì nổ — 6→2 trông đẹp y như 9→3 đúng</t>
        </is>
      </c>
      <c r="B54" s="63" t="inlineStr">
        <is>
          <t>M2-01 · DEV-333</t>
        </is>
      </c>
    </row>
    <row r="55">
      <c r="A55" s="63" t="inlineStr">
        <is>
          <t>Ca kiểm dựng trên điều tôi tự nhớ sai: “thiết” bỏ dấu KHÔNG chứa “it”; chỗ va thật là bit/unit/init/exit</t>
        </is>
      </c>
      <c r="B55" s="63" t="inlineStr">
        <is>
          <t>M2-03 · DEV-335</t>
        </is>
      </c>
    </row>
    <row r="56">
      <c r="A56" s="63" t="inlineStr">
        <is>
          <t>Phép phá dài ĐÚNG BẰNG mã gốc (0.6 → 0.0) nên __pycache__ cũ còn hiệu lực — phép đo chạy mã khác với mã trong tệp</t>
        </is>
      </c>
      <c r="B56" s="63" t="inlineStr">
        <is>
          <t>M2-03 · DEV-335</t>
        </is>
      </c>
    </row>
    <row r="57">
      <c r="A57" s="63" t="inlineStr">
        <is>
          <t>Phép đo trả lời ĐÚNG một câu hỏi KHÁC: đếm ở mức dự án ra 0 chỗ cần chặn; câu phải hỏi là “lần ghi NÀY đã được kiểm chưa” → 19/26</t>
        </is>
      </c>
      <c r="B57" s="63" t="inlineStr">
        <is>
          <t>M2-06 · DEV-336</t>
        </is>
      </c>
    </row>
    <row r="58">
      <c r="A58" s="63" t="inlineStr">
        <is>
          <t>Ca kiểm RỖNG: dàn dựng không có net đất nào, nên nó xanh cả khi tôi bỏ hẳn phép bỏ qua net đất</t>
        </is>
      </c>
      <c r="B58" s="63" t="inlineStr">
        <is>
          <t>M3-01 · DEV-338</t>
        </is>
      </c>
    </row>
    <row r="59">
      <c r="A59" s="63" t="inlineStr">
        <is>
          <t>Hai phép phá chỉ ra THIẾT KẾ sai, không chỉ ca kiểm yếu (miễn net đất quá rộng; nhánh iout_max chưa ca nào chạm tới)</t>
        </is>
      </c>
      <c r="B59" s="63" t="inlineStr">
        <is>
          <t>M3-03 · DEV-339</t>
        </is>
      </c>
    </row>
    <row r="60">
      <c r="A60" s="63" t="inlineStr">
        <is>
          <t>Phép phá của tôi cũng SAI, và ca âm xanh vì lý do khác — hai cái sai che nhau</t>
        </is>
      </c>
      <c r="B60" s="63" t="inlineStr">
        <is>
          <t>M3-07 · DEV-341</t>
        </is>
      </c>
    </row>
    <row r="61">
      <c r="A61" s="63" t="inlineStr">
        <is>
          <t>Ca kiểm đo chính câu lệnh của mình (đặt bộ đếm = 3 rồi khẳng định nó khác rỗng, trong khi thực tế nó rỗng)</t>
        </is>
      </c>
      <c r="B61" s="63" t="inlineStr">
        <is>
          <t>M3-10 · DEV-342</t>
        </is>
      </c>
    </row>
    <row r="62">
      <c r="A62" s="63" t="inlineStr">
        <is>
          <t>Regex mà KẾ HOẠCH ghi sẵn từ chối oan 588/846 bản ghi thật; và ba ca kiểm xanh vì lý do sai (tệp giả dùng $4 thay $3; “FAILED” chứa “FAIL”)</t>
        </is>
      </c>
      <c r="B62" s="63" t="inlineStr">
        <is>
          <t>M3-12 · DEV-343</t>
        </is>
      </c>
    </row>
    <row r="63">
      <c r="A63" s="63" t="inlineStr">
        <is>
          <t>"Phá lại thì đỏ 6/6" sai về TẬP, không sai về số: sáu phép phá ấy chọn đúng sáu chỗ đã có ca canh. Phá bằng tập rộng hơn ra 7/9.</t>
        </is>
      </c>
      <c r="B63" s="63" t="inlineStr">
        <is>
          <t>M3-13 · DEV-344</t>
        </is>
      </c>
    </row>
    <row r="64">
      <c r="A64" s="63" t="inlineStr">
        <is>
          <t>409 'blocker' gần như toàn bộ từ một cặp vô nghĩa (mạng cổng của lõi CPU tổng hợp riêng, không bao giờ đem đặt-đi dây). Con số thật là 1.</t>
        </is>
      </c>
      <c r="B64" s="63" t="inlineStr">
        <is>
          <t>M3-18 · DEV-345</t>
        </is>
      </c>
    </row>
    <row r="65">
      <c r="A65" s="63" t="inlineStr">
        <is>
          <t>Phép quét tệp .cst thật chỉ thu 4 trong 7 tệp mà ca kiểm vẫn xanh — câu 'mọi tệp .cst thật đều đọc được' nói về phần phép quét chạm tới.</t>
        </is>
      </c>
      <c r="B65" s="63" t="inlineStr">
        <is>
          <t>M3-18 · DEV-345</t>
        </is>
      </c>
    </row>
    <row r="66">
      <c r="A66" s="63" t="inlineStr">
        <is>
          <t>Một ca kiểm và một phép phá nhắm hai NHÁNH khác nhau, nên ca mới xanh mà phép phá vẫn LỌT. Mất một lượt mới thấy.</t>
        </is>
      </c>
      <c r="B66" s="63" t="inlineStr">
        <is>
          <t>M3-18 · DEV-345</t>
        </is>
      </c>
    </row>
    <row r="67">
      <c r="A67" s="63" t="inlineStr">
        <is>
          <t>Ca kiểm xanh nhờ một DÒNG KHÁC: kiểm `"TỰ KHAI" in str(kh)` cả khối nên vẫn xanh khi phá chữ ấy ở dòng Kết luận — summary cũng chứa nó. Phép phá bắt được, ca kiểm thì không.</t>
        </is>
      </c>
      <c r="B67" s="63" t="inlineStr">
        <is>
          <t>M4-01 · DEV-346</t>
        </is>
      </c>
    </row>
    <row r="68">
      <c r="A68" s="63" t="inlineStr">
        <is>
          <t>Một phép phá VÔ HIỆU: `them = [] or [[…]]` không đổi hành vi, nên nó báo LỌT oan và suýt làm tôi viết ca kiểm cho một chỗ vốn đã được canh.</t>
        </is>
      </c>
      <c r="B68" s="63" t="inlineStr">
        <is>
          <t>M4-01 · DEV-346</t>
        </is>
      </c>
    </row>
    <row r="69">
      <c r="A69" s="63" t="inlineStr">
        <is>
          <t>HAI phép phá liền nhau VÔ HIỆU ở cùng một dòng: `cu = cu or ""` không đổi hành vi, rồi bỏ is_file() cũng không vì except OSError bắt FileNotFoundError. Phải bỏ cả hai lớp phòng mới phá được.</t>
        </is>
      </c>
      <c r="B69" s="63" t="inlineStr">
        <is>
          <t>M4-02 · DEV-347</t>
        </is>
      </c>
    </row>
    <row r="70">
      <c r="A70" s="63" t="inlineStr">
        <is>
          <t>Một luật mới trỏ tới nhóm dữ kiện chưa khai thì DỪNG CẢ LƯỢT bằng ValueError, không phải 'không nổ' — và nhóm `criteria` của hàng rào N6 cũ cũng chưa bao giờ được khai.</t>
        </is>
      </c>
      <c r="B70" s="63" t="inlineStr">
        <is>
          <t>M4-02 · DEV-347</t>
        </is>
      </c>
    </row>
    <row r="71">
      <c r="A71" s="63" t="inlineStr">
        <is>
          <t>Phép đo ĐỔ ngay lượt đầu trên dữ liệu thật (IndexError), và lỗi ấy nghĩa là test.sensitivity chưa bao giờ chạy nổi trên một tệp firmware thật — mọi con số cũ đều từ tệp nhỏ do ca kiểm tự dựng.</t>
        </is>
      </c>
      <c r="B71" s="63" t="inlineStr">
        <is>
          <t>M4-05 · DEV-348</t>
        </is>
      </c>
    </row>
    <row r="72">
      <c r="A72" s="63" t="inlineStr">
        <is>
          <t>Bốn chỗ LỌT cùng một hình dạng: luật ĐÚNG, nằm ở chỗ ca kiểm không với tới — hai closure, một bảng phép không dựng nổi ca, và một tầng báo lại mà mọi ca cũ đều đi qua với stillborn == 0.</t>
        </is>
      </c>
      <c r="B72" s="63" t="inlineStr">
        <is>
          <t>M4-05 · DEV-348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ngày 09/10/2026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20</v>
      </c>
      <c r="C5" s="61" t="inlineStr">
        <is>
          <t>20 việc đầu của Giai đoạn 1, theo đúng thứ tự # của kế hoạch</t>
        </is>
      </c>
    </row>
    <row r="6">
      <c r="A6" s="60" t="inlineStr">
        <is>
          <t>Đang làm (chưa commit)</t>
        </is>
      </c>
      <c r="B6" s="60" t="n">
        <v>0</v>
      </c>
      <c r="C6" s="61" t="inlineStr">
        <is>
          <t>không việc nào đang dở</t>
        </is>
      </c>
    </row>
    <row r="7">
      <c r="A7" s="60" t="inlineStr">
        <is>
          <t>Chưa làm</t>
        </is>
      </c>
      <c r="B7" s="60" t="n">
        <v>86</v>
      </c>
      <c r="C7" s="61" t="inlineStr">
        <is>
          <t>86 việc còn lại trong 106</t>
        </is>
      </c>
    </row>
    <row r="8">
      <c r="A8" s="62" t="inlineStr">
        <is>
          <t>TỔNG</t>
        </is>
      </c>
      <c r="B8" s="62" t="n">
        <v>106</v>
      </c>
      <c r="C8" s="61" t="n"/>
    </row>
    <row r="10">
      <c r="A10" s="59" t="inlineStr">
        <is>
          <t>Phép đo của cả đợt</t>
        </is>
      </c>
      <c r="B10" s="59" t="inlineStr">
        <is>
          <t>Trước (06/10)</t>
        </is>
      </c>
      <c r="C10" s="59" t="inlineStr">
        <is>
          <t>Sau (08/10)</t>
        </is>
      </c>
      <c r="D10" s="59" t="inlineStr">
        <is>
          <t>Ghi chú</t>
        </is>
      </c>
    </row>
    <row r="11">
      <c r="A11" s="63" t="inlineStr">
        <is>
          <t>Ca đơn vị Python (pytest -q)</t>
        </is>
      </c>
      <c r="B11" s="63" t="inlineStr">
        <is>
          <t>1 610</t>
        </is>
      </c>
      <c r="C11" s="63" t="inlineStr">
        <is>
          <t>1 846</t>
        </is>
      </c>
      <c r="D11" s="63" t="inlineStr">
        <is>
          <t>+236 ca so với 06/10;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0 chỗ LỆCH CHẮC CHẮN cả hai lượt. Hôm nay nó bắt đúng chuyện cần bắt: hai công cụ mới làm README lệch số công cụ 127 → 129, và số 'cần đọc lại' nhảy 11 → 15 → về 11 sau khi sửa</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DEV-349</t>
        </is>
      </c>
      <c r="D15" s="63" t="inlineStr">
        <is>
          <t>20 mục, mỗi việc một mục</t>
        </is>
      </c>
    </row>
    <row r="16">
      <c r="A16" s="63" t="inlineStr">
        <is>
          <t>Cờ tính năng mới</t>
        </is>
      </c>
      <c r="B16" s="63" t="inlineStr">
        <is>
          <t>1 (schematic)</t>
        </is>
      </c>
      <c r="C16" s="63" t="inlineStr">
        <is>
          <t>8</t>
        </is>
      </c>
      <c r="D16" s="63" t="inlineStr">
        <is>
          <t>7 cờ mới, TẤT CẢ mặc định TẮT. Cờ thứ 7 là SIM_RUNNER_GIOI_HAN (M4-02) — nó giới hạn fs.write của sim-runner trong sim/; hàng rào chính của M4-02 (POL-N6-sua-test) thì KHÔNG sau cờ</t>
        </is>
      </c>
    </row>
    <row r="17">
      <c r="A17" s="63" t="inlineStr">
        <is>
          <t>Mã lỗi mới</t>
        </is>
      </c>
      <c r="B17" s="63" t="inlineStr">
        <is>
          <t>—</t>
        </is>
      </c>
      <c r="C17" s="63" t="inlineStr">
        <is>
          <t>E4031 · E4032 · E6012 · E4033 · E4024</t>
        </is>
      </c>
      <c r="D17" s="63" t="inlineStr">
        <is>
          <t>M4-05 không thêm mã nào. M4-02 cũng không (dùng lại E5006). E4033 (M3-18), E4024 (M4-01)</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DEV-344</t>
        </is>
      </c>
      <c r="F34" s="64" t="inlineStr">
        <is>
          <t>testbench Verilog THẬT của bài 3: tb_pcpi_dot4 1/1, tb_pcpi_mac 1/1, tb_pcpi_vmini không đo được (tb gọi bản bram HAI CỔNG đã bị bỏ 02/10) — mẫu số là TỆP, không phải phép phá</t>
        </is>
      </c>
      <c r="G34" s="64" t="inlineStr">
        <is>
          <t>không có cờ (công cụ mới core=False)</t>
        </is>
      </c>
    </row>
    <row r="35">
      <c r="A35" s="64" t="inlineStr">
        <is>
          <t>16</t>
        </is>
      </c>
      <c r="B35" s="64" t="inlineStr">
        <is>
          <t>M3-18</t>
        </is>
      </c>
      <c r="C35" s="64" t="inlineStr">
        <is>
          <t>3. Mạch, ERC, HDL/FPGA</t>
        </is>
      </c>
      <c r="D35" s="64" t="inlineStr">
        <is>
          <t>P0</t>
        </is>
      </c>
      <c r="E35" s="64" t="inlineStr">
        <is>
          <t>DEV-345</t>
        </is>
      </c>
      <c r="F35" s="64" t="inlineStr">
        <is>
          <t>6 cặp (mạng cổng, .cst) thật → 1 chỗ CHẶN: blinky của riscv-tn20k-b dựng bitstream 4,6 MB với chân đồng hồ do nextpnr tự chọn (rơi đúng chân 4 — bằng may). Cả 7 tệp .cst thật đọc hết, 0 lỗi cú pháp</t>
        </is>
      </c>
      <c r="G35" s="64" t="inlineStr">
        <is>
          <t>không có cờ (công cụ mới core=False)</t>
        </is>
      </c>
    </row>
    <row r="36">
      <c r="A36" s="64" t="inlineStr">
        <is>
          <t>17</t>
        </is>
      </c>
      <c r="B36" s="64" t="inlineStr">
        <is>
          <t>M4-01</t>
        </is>
      </c>
      <c r="C36" s="64" t="inlineStr">
        <is>
          <t>4. Kiểm thử &amp; chất lượng</t>
        </is>
      </c>
      <c r="D36" s="64" t="inlineStr">
        <is>
          <t>P0</t>
        </is>
      </c>
      <c r="E36" s="64" t="inlineStr">
        <is>
          <t>DEV-346</t>
        </is>
      </c>
      <c r="F36" s="64" t="inlineStr">
        <is>
          <t>18 ca chạy trình biên dịch C thật: tệp test in số đo {"T1":300} với ngưỡng &lt;=255 → EIDE phán 1 ca HỎNG. Chưa kho cũ nào có tiêu chí unit test để đo lại trên dữ liệu thật</t>
        </is>
      </c>
      <c r="G36" s="64" t="inlineStr">
        <is>
          <t>không có cờ (công cụ mới core=False)</t>
        </is>
      </c>
    </row>
    <row r="37">
      <c r="A37" s="64" t="inlineStr">
        <is>
          <t>18</t>
        </is>
      </c>
      <c r="B37" s="64" t="inlineStr">
        <is>
          <t>M4-02</t>
        </is>
      </c>
      <c r="C37" s="64" t="inlineStr">
        <is>
          <t>4. Kiểm thử &amp; chất lượng</t>
        </is>
      </c>
      <c r="D37" s="64" t="inlineStr">
        <is>
          <t>P0</t>
        </is>
      </c>
      <c r="E37" s="64" t="inlineStr">
        <is>
          <t>DEV-347</t>
        </is>
      </c>
      <c r="F37" s="64" t="inlineStr">
        <is>
          <t>25 ca dựng đúng trạng thái thật (tệp test 3 ca, 1 ca đỏ, hiện vật dat=False) → fs.write còn 1 ca thì test.weakened=True. Và hàng rào cũ criteria.has_result chưa bao giờ nổ ngoài sim-01</t>
        </is>
      </c>
      <c r="G37" s="64" t="inlineStr">
        <is>
          <t>SIM_RUNNER_GIOI_HAN — TẮT</t>
        </is>
      </c>
    </row>
    <row r="38">
      <c r="A38" s="64" t="inlineStr">
        <is>
          <t>19</t>
        </is>
      </c>
      <c r="B38" s="64" t="inlineStr">
        <is>
          <t>M4-05</t>
        </is>
      </c>
      <c r="C38" s="64" t="inlineStr">
        <is>
          <t>4. Kiểm thử &amp; chất lượng</t>
        </is>
      </c>
      <c r="D38" s="64" t="inlineStr">
        <is>
          <t>P1</t>
        </is>
      </c>
      <c r="E38" s="64" t="inlineStr">
        <is>
          <t>DEV-348</t>
        </is>
      </c>
      <c r="F38" s="64" t="inlineStr">
        <is>
          <t>du-lieu/rtos-sinhvien, chạy CẢ HAI hành vi: cũ so_thay=1, mới so_thay=0 — logo_ptit.c từ 'bộ kiểm ĐỎ' thành 'mọi đột biến đều làm hỏng biên dịch'. Một ô xanh giả, đã sửa</t>
        </is>
      </c>
      <c r="G38" s="64" t="inlineStr">
        <is>
          <t>không có cờ — sửa lỗi thuần</t>
        </is>
      </c>
    </row>
    <row r="39">
      <c r="A39" s="64" t="inlineStr">
        <is>
          <t>20</t>
        </is>
      </c>
      <c r="B39" s="64" t="inlineStr">
        <is>
          <t>M4-19</t>
        </is>
      </c>
      <c r="C39" s="64" t="inlineStr">
        <is>
          <t>4. Kiểm thử &amp; chất lượng</t>
        </is>
      </c>
      <c r="D39" s="64" t="inlineStr">
        <is>
          <t>P2</t>
        </is>
      </c>
      <c r="E39" s="64" t="inlineStr">
        <is>
          <t>DEV-349</t>
        </is>
      </c>
      <c r="F39" s="64" t="inlineStr">
        <is>
          <t>chạy TẠI CHỖ trên ba dự án firmware thật: kết luận giống hệt lượt đột biến tại chỗ của M4-05, và 50/50 tệp giữ nguyên cả sha256 lẫn mtime</t>
        </is>
      </c>
      <c r="G39" s="64" t="inlineStr">
        <is>
          <t>không có cờ — sửa lỗi thuần</t>
        </is>
      </c>
    </row>
    <row r="41">
      <c r="A41" s="59" t="inlineStr">
        <is>
          <t>Việc còn MỞ (ngoài 86 việc chưa làm)</t>
        </is>
      </c>
      <c r="B41" s="59" t="inlineStr">
        <is>
          <t>Vì sao còn mở</t>
        </is>
      </c>
    </row>
    <row r="42">
      <c r="A42" s="63" t="inlineStr">
        <is>
          <t>Bảy cờ mới đều còn TẮT</t>
        </is>
      </c>
      <c r="B42" s="63" t="inlineStr">
        <is>
          <t>GON_CONG_CU · TRUY_VET · REQ_PHU · REQ_CHAT_LUONG · KE_HOACH_CONG_KIEM · ERC_TU_DONG · SIM_RUNNER_GIOI_HAN. Cả bảy đổi thứ Agent nhìn thấy, đọc, hoặc LÀM ĐƯỢC mỗi lượt, nên chỉ bộ 76 ca chạy hai chế độ mới nói được chúng làm Agent khá hơn hay tệ hơn. Bộ ấy tốn tiền mô hình nên §3.0 bắt hỏi người dùng trước.</t>
        </is>
      </c>
    </row>
    <row r="43">
      <c r="A43" s="63" t="inlineStr">
        <is>
          <t>kiem_cap_goi_tra() chưa thành hàng rào</t>
        </is>
      </c>
      <c r="B43" s="63" t="inlineStr">
        <is>
          <t>Soát được mọi phiên đã lưu, nhưng chưa hook nào gọi nó tự động — bắt được chuyện cũ, chưa chặn được chuyện mới.</t>
        </is>
      </c>
    </row>
    <row r="44">
      <c r="A44" s="63" t="inlineStr">
        <is>
          <t>Luật ERC quá áp chưa nổ trên dữ liệu thật</t>
        </is>
      </c>
      <c r="B44" s="63" t="inlineStr">
        <is>
          <t>Đường dẫn đã thông ở M3-07, nhưng ba kho có Fact điện áp thì không có mô hình mạch, và ngược lại. Phải chờ một dự án có cả hai.</t>
        </is>
      </c>
    </row>
    <row r="45">
      <c r="A45" s="63" t="inlineStr">
        <is>
          <t>Cột “Mã nguồn” của ma trận truy vết trống ở mọi dự án</t>
        </is>
      </c>
      <c r="B45" s="63" t="inlineStr">
        <is>
          <t>Nó đọc hien_thuc_req — trường vừa mới tồn tại, chưa tệp nào trên đĩa từng khai. Nên “chưa hiện thực” ở đó nghĩa là “chưa ai KHAI”, không phải “chưa ai viết”.</t>
        </is>
      </c>
    </row>
    <row r="46">
      <c r="A46" s="63" t="inlineStr">
        <is>
          <t>Lỗi _go_dau trong src/eide/tools/design.py</t>
        </is>
      </c>
      <c r="B46" s="63" t="inlineStr">
        <is>
          <t>Viết .replace('d','d') nên 'ổn định' và 'ON DINH' không khớp nhau. Hàm ấy đang dùng cho một phép kiểm an toàn (người có thật sự chọn không). Tìm thấy ở M2-03, CHƯA sửa vì ngoài phạm vi — cần bộ ca kiểm riêng.</t>
        </is>
      </c>
    </row>
    <row r="47">
      <c r="A47" s="63" t="inlineStr">
        <is>
          <t>subagent req-critic (bước 4 của M2-03)</t>
        </is>
      </c>
      <c r="B47" s="63" t="inlineStr">
        <is>
          <t>Kế hoạch ghi “tuỳ chọn, gộp M2-13”. Chưa làm, đúng theo kế hoạch.</t>
        </is>
      </c>
    </row>
    <row r="48">
      <c r="A48" s="63" t="inlineStr">
        <is>
          <t>Hai luật kiểm chân FPGA chưa có dữ liệu để nổ</t>
        </is>
      </c>
      <c r="B48" s="63" t="inlineStr">
        <is>
          <t>chan_lech_kit và io_type_lech_bank cần Fact chân kit. Không kho nào trong repo có Fact pin:tangnano20k.* hay khoá vccio — nên hôm nay chỉ 3 trong 5 luật của M3-18 kết luận được gì trên dữ liệu thật. Cùng hình dạng với luật ERC quá áp.</t>
        </is>
      </c>
    </row>
    <row r="49">
      <c r="A49" s="63" t="inlineStr">
        <is>
          <t>Một bitstream cũ đã dựng với chân đồng hồ tự chọn</t>
        </is>
      </c>
      <c r="B49" s="63" t="inlineStr">
        <is>
          <t>blinky của du-lieu/riscv-tn20k-b — xem DEV-345 và README §8. Không sửa hiện vật cũ: đó là dữ liệu của những lượt đo đã chốt. Từ nay phép kiểm chặn trước nextpnr.</t>
        </is>
      </c>
    </row>
    <row r="50">
      <c r="A50" s="63" t="inlineStr">
        <is>
          <t>Ba công cụ mới nhất chưa lượt Agent nào GỌI</t>
        </is>
      </c>
      <c r="B50" s="63" t="inlineStr">
        <is>
          <t>hdl.sensitivity · hdl.constraints_check · test.criteria. Mã của cả ba đã chạy trên hiện vật thật, nhưng đó là tôi gọi hàm, không phải tác tử gọi công cụ. README §8 đếm cả ba vào phần chưa dùng thật.</t>
        </is>
      </c>
    </row>
    <row r="51">
      <c r="A51" s="63" t="inlineStr">
        <is>
          <t>Bộ kiểm C của ba dự án firmware thật đều KHÔNG đo được độ nhạy</t>
        </is>
      </c>
      <c r="B51" s="63" t="inlineStr">
        <is>
          <t>rtos-sinhvien: 0/12 tệp đo được (4 font khong_thay, control_rtos.c trùng ký hiệu, main.c không dịch trên máy chủ, logo_ptit.c mọi mutant hỏng biên dịch). stm32f469-freertos và thu-nghiem-g6: bộ kiểm ĐỎ SẴN. Đây là trạng thái của dữ liệu đo, không phải lỗi sản phẩm — nhưng nó nghĩa là chưa dự án firmware nào trong repo có một con số độ nhạy đáng tin. Xem DEV-348.</t>
        </is>
      </c>
    </row>
    <row r="52">
      <c r="A52" s="63" t="inlineStr">
        <is>
          <t>POL-N6-sua-test chưa nổ trên một phiên thật nào</t>
        </is>
      </c>
      <c r="B52" s="63" t="inlineStr">
        <is>
          <t>Hook sua_test_sau_do cấp dữ kiện cho lời gọi SẮP xảy ra, nên không soát lại được phiên đã lưu — khác mọi phép đo trước của đợt này. Nó đã có 25 ca kiểm và phá lại 27/27, nhưng chưa lượt tác tử thật nào chạm vào nó. Cùng hình dạng với ba luật kiểm thiếu dữ liệu ở trên, chỉ khác lý do.</t>
        </is>
      </c>
    </row>
    <row r="54">
      <c r="A54" s="59" t="inlineStr">
        <is>
          <t>Lỗi tìm thấy trong CHÍNH PHÉP ĐO của tôi</t>
        </is>
      </c>
      <c r="B54" s="59" t="inlineStr">
        <is>
          <t>Lộ ra ở đâu</t>
        </is>
      </c>
    </row>
    <row r="55">
      <c r="A55" s="63" t="inlineStr">
        <is>
          <t>Kịch bản đo bị hàng rào của sản phẩm chặn (ghi tệp chưa đọc, E4020) và trả về một con số hợp lý thay vì nổ — 6→2 trông đẹp y như 9→3 đúng</t>
        </is>
      </c>
      <c r="B55" s="63" t="inlineStr">
        <is>
          <t>M2-01 · DEV-333</t>
        </is>
      </c>
    </row>
    <row r="56">
      <c r="A56" s="63" t="inlineStr">
        <is>
          <t>Ca kiểm dựng trên điều tôi tự nhớ sai: “thiết” bỏ dấu KHÔNG chứa “it”; chỗ va thật là bit/unit/init/exit</t>
        </is>
      </c>
      <c r="B56" s="63" t="inlineStr">
        <is>
          <t>M2-03 · DEV-335</t>
        </is>
      </c>
    </row>
    <row r="57">
      <c r="A57" s="63" t="inlineStr">
        <is>
          <t>Phép phá dài ĐÚNG BẰNG mã gốc (0.6 → 0.0) nên __pycache__ cũ còn hiệu lực — phép đo chạy mã khác với mã trong tệp</t>
        </is>
      </c>
      <c r="B57" s="63" t="inlineStr">
        <is>
          <t>M2-03 · DEV-335</t>
        </is>
      </c>
    </row>
    <row r="58">
      <c r="A58" s="63" t="inlineStr">
        <is>
          <t>Phép đo trả lời ĐÚNG một câu hỏi KHÁC: đếm ở mức dự án ra 0 chỗ cần chặn; câu phải hỏi là “lần ghi NÀY đã được kiểm chưa” → 19/26</t>
        </is>
      </c>
      <c r="B58" s="63" t="inlineStr">
        <is>
          <t>M2-06 · DEV-336</t>
        </is>
      </c>
    </row>
    <row r="59">
      <c r="A59" s="63" t="inlineStr">
        <is>
          <t>Ca kiểm RỖNG: dàn dựng không có net đất nào, nên nó xanh cả khi tôi bỏ hẳn phép bỏ qua net đất</t>
        </is>
      </c>
      <c r="B59" s="63" t="inlineStr">
        <is>
          <t>M3-01 · DEV-338</t>
        </is>
      </c>
    </row>
    <row r="60">
      <c r="A60" s="63" t="inlineStr">
        <is>
          <t>Hai phép phá chỉ ra THIẾT KẾ sai, không chỉ ca kiểm yếu (miễn net đất quá rộng; nhánh iout_max chưa ca nào chạm tới)</t>
        </is>
      </c>
      <c r="B60" s="63" t="inlineStr">
        <is>
          <t>M3-03 · DEV-339</t>
        </is>
      </c>
    </row>
    <row r="61">
      <c r="A61" s="63" t="inlineStr">
        <is>
          <t>Phép phá của tôi cũng SAI, và ca âm xanh vì lý do khác — hai cái sai che nhau</t>
        </is>
      </c>
      <c r="B61" s="63" t="inlineStr">
        <is>
          <t>M3-07 · DEV-341</t>
        </is>
      </c>
    </row>
    <row r="62">
      <c r="A62" s="63" t="inlineStr">
        <is>
          <t>Ca kiểm đo chính câu lệnh của mình (đặt bộ đếm = 3 rồi khẳng định nó khác rỗng, trong khi thực tế nó rỗng)</t>
        </is>
      </c>
      <c r="B62" s="63" t="inlineStr">
        <is>
          <t>M3-10 · DEV-342</t>
        </is>
      </c>
    </row>
    <row r="63">
      <c r="A63" s="63" t="inlineStr">
        <is>
          <t>Regex mà KẾ HOẠCH ghi sẵn từ chối oan 588/846 bản ghi thật; và ba ca kiểm xanh vì lý do sai (tệp giả dùng $4 thay $3; “FAILED” chứa “FAIL”)</t>
        </is>
      </c>
      <c r="B63" s="63" t="inlineStr">
        <is>
          <t>M3-12 · DEV-343</t>
        </is>
      </c>
    </row>
    <row r="64">
      <c r="A64" s="63" t="inlineStr">
        <is>
          <t>"Phá lại thì đỏ 6/6" sai về TẬP, không sai về số: sáu phép phá ấy chọn đúng sáu chỗ đã có ca canh. Phá bằng tập rộng hơn ra 7/9.</t>
        </is>
      </c>
      <c r="B64" s="63" t="inlineStr">
        <is>
          <t>M3-13 · DEV-344</t>
        </is>
      </c>
    </row>
    <row r="65">
      <c r="A65" s="63" t="inlineStr">
        <is>
          <t>409 'blocker' gần như toàn bộ từ một cặp vô nghĩa (mạng cổng của lõi CPU tổng hợp riêng, không bao giờ đem đặt-đi dây). Con số thật là 1.</t>
        </is>
      </c>
      <c r="B65" s="63" t="inlineStr">
        <is>
          <t>M3-18 · DEV-345</t>
        </is>
      </c>
    </row>
    <row r="66">
      <c r="A66" s="63" t="inlineStr">
        <is>
          <t>Phép quét tệp .cst thật chỉ thu 4 trong 7 tệp mà ca kiểm vẫn xanh — câu 'mọi tệp .cst thật đều đọc được' nói về phần phép quét chạm tới.</t>
        </is>
      </c>
      <c r="B66" s="63" t="inlineStr">
        <is>
          <t>M3-18 · DEV-345</t>
        </is>
      </c>
    </row>
    <row r="67">
      <c r="A67" s="63" t="inlineStr">
        <is>
          <t>Một ca kiểm và một phép phá nhắm hai NHÁNH khác nhau, nên ca mới xanh mà phép phá vẫn LỌT. Mất một lượt mới thấy.</t>
        </is>
      </c>
      <c r="B67" s="63" t="inlineStr">
        <is>
          <t>M3-18 · DEV-345</t>
        </is>
      </c>
    </row>
    <row r="68">
      <c r="A68" s="63" t="inlineStr">
        <is>
          <t>Ca kiểm xanh nhờ một DÒNG KHÁC: kiểm `"TỰ KHAI" in str(kh)` cả khối nên vẫn xanh khi phá chữ ấy ở dòng Kết luận — summary cũng chứa nó. Phép phá bắt được, ca kiểm thì không.</t>
        </is>
      </c>
      <c r="B68" s="63" t="inlineStr">
        <is>
          <t>M4-01 · DEV-346</t>
        </is>
      </c>
    </row>
    <row r="69">
      <c r="A69" s="63" t="inlineStr">
        <is>
          <t>Một phép phá VÔ HIỆU: `them = [] or [[…]]` không đổi hành vi, nên nó báo LỌT oan và suýt làm tôi viết ca kiểm cho một chỗ vốn đã được canh.</t>
        </is>
      </c>
      <c r="B69" s="63" t="inlineStr">
        <is>
          <t>M4-01 · DEV-346</t>
        </is>
      </c>
    </row>
    <row r="70">
      <c r="A70" s="63" t="inlineStr">
        <is>
          <t>HAI phép phá liền nhau VÔ HIỆU ở cùng một dòng: `cu = cu or ""` không đổi hành vi, rồi bỏ is_file() cũng không vì except OSError bắt FileNotFoundError. Phải bỏ cả hai lớp phòng mới phá được.</t>
        </is>
      </c>
      <c r="B70" s="63" t="inlineStr">
        <is>
          <t>M4-02 · DEV-347</t>
        </is>
      </c>
    </row>
    <row r="71">
      <c r="A71" s="63" t="inlineStr">
        <is>
          <t>Một luật mới trỏ tới nhóm dữ kiện chưa khai thì DỪNG CẢ LƯỢT bằng ValueError, không phải 'không nổ' — và nhóm `criteria` của hàng rào N6 cũ cũng chưa bao giờ được khai.</t>
        </is>
      </c>
      <c r="B71" s="63" t="inlineStr">
        <is>
          <t>M4-02 · DEV-347</t>
        </is>
      </c>
    </row>
    <row r="72">
      <c r="A72" s="63" t="inlineStr">
        <is>
          <t>Phép đo ĐỔ ngay lượt đầu trên dữ liệu thật (IndexError), và lỗi ấy nghĩa là test.sensitivity chưa bao giờ chạy nổi trên một tệp firmware thật — mọi con số cũ đều từ tệp nhỏ do ca kiểm tự dựng.</t>
        </is>
      </c>
      <c r="B72" s="63" t="inlineStr">
        <is>
          <t>M4-05 · DEV-348</t>
        </is>
      </c>
    </row>
    <row r="73">
      <c r="A73" s="63" t="inlineStr">
        <is>
          <t>Bốn chỗ LỌT cùng một hình dạng: luật ĐÚNG, nằm ở chỗ ca kiểm không với tới — hai closure, một bảng phép không dựng nổi ca, và một tầng báo lại mà mọi ca cũ đều đi qua với stillborn == 0.</t>
        </is>
      </c>
      <c r="B73" s="63" t="inlineStr">
        <is>
          <t>M4-05 · DEV-348</t>
        </is>
      </c>
    </row>
    <row r="74">
      <c r="A74" s="26" t="inlineStr">
        <is>
          <t>Tôi thêm MỘT cờ biên dịch để tránh một cáo buộc sai, và nó sinh ra MƯỜI MỘT cáo buộc sai khác: -I che header hệ thống, nên 11/12 tệp bị xếp là 'không dịch được trên máy chủ'. Phải là -iquote.</t>
        </is>
      </c>
      <c r="B74" s="26" t="inlineStr">
        <is>
          <t>M4-19 · DEV-349</t>
        </is>
      </c>
    </row>
    <row r="75">
      <c r="A75" s="26" t="inlineStr">
        <is>
          <t>Gắn cờ biên dịch cho cả LƯỢT MỐC là đổi chính cái mốc mà mọi so sánh dựa vào — mốc của cả ba dự án thật từ XANH thành ĐỎ.</t>
        </is>
      </c>
      <c r="B75" s="26" t="inlineStr">
        <is>
          <t>M4-19 · DEV-349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chiều 09/10/2026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21</v>
      </c>
      <c r="C5" s="61" t="inlineStr">
        <is>
          <t>21 việc đầu của Giai đoạn 1, theo đúng thứ tự # của kế hoạch</t>
        </is>
      </c>
    </row>
    <row r="6">
      <c r="A6" s="60" t="inlineStr">
        <is>
          <t>Đang làm (chưa commit)</t>
        </is>
      </c>
      <c r="B6" s="60" t="n">
        <v>0</v>
      </c>
      <c r="C6" s="61" t="inlineStr">
        <is>
          <t>không việc nào đang dở</t>
        </is>
      </c>
    </row>
    <row r="7">
      <c r="A7" s="60" t="inlineStr">
        <is>
          <t>Chưa làm</t>
        </is>
      </c>
      <c r="B7" s="60" t="n">
        <v>85</v>
      </c>
      <c r="C7" s="61" t="inlineStr">
        <is>
          <t>85 việc còn lại trong 106</t>
        </is>
      </c>
    </row>
    <row r="8">
      <c r="A8" s="62" t="inlineStr">
        <is>
          <t>TỔNG</t>
        </is>
      </c>
      <c r="B8" s="62" t="n">
        <v>106</v>
      </c>
      <c r="C8" s="61" t="n"/>
    </row>
    <row r="10">
      <c r="A10" s="59" t="inlineStr">
        <is>
          <t>Phép đo của cả đợt</t>
        </is>
      </c>
      <c r="B10" s="59" t="inlineStr">
        <is>
          <t>Trước (06/10)</t>
        </is>
      </c>
      <c r="C10" s="59" t="inlineStr">
        <is>
          <t>Sau (09/10)</t>
        </is>
      </c>
      <c r="D10" s="59" t="inlineStr">
        <is>
          <t>Ghi chú</t>
        </is>
      </c>
    </row>
    <row r="11">
      <c r="A11" s="63" t="inlineStr">
        <is>
          <t>Ca đơn vị Python (pytest -q)</t>
        </is>
      </c>
      <c r="B11" s="63" t="inlineStr">
        <is>
          <t>1 610</t>
        </is>
      </c>
      <c r="C11" s="63" t="inlineStr">
        <is>
          <t>1 862</t>
        </is>
      </c>
      <c r="D11" s="63" t="inlineStr">
        <is>
          <t>+252 ca so với 06/10;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0 chỗ LỆCH CHẮC CHẮN cả hai lượt. Hôm nay nó bắt đúng chuyện cần bắt: hai công cụ mới làm README lệch số công cụ 127 → 129, và số 'cần đọc lại' nhảy 11 → 15 → về 11 sau khi sửa</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DEV-350</t>
        </is>
      </c>
      <c r="D15" s="63" t="inlineStr">
        <is>
          <t>21 mục, mỗi việc một mục</t>
        </is>
      </c>
    </row>
    <row r="16">
      <c r="A16" s="63" t="inlineStr">
        <is>
          <t>Cờ tính năng mới</t>
        </is>
      </c>
      <c r="B16" s="63" t="inlineStr">
        <is>
          <t>1 (schematic)</t>
        </is>
      </c>
      <c r="C16" s="63" t="inlineStr">
        <is>
          <t>8</t>
        </is>
      </c>
      <c r="D16" s="63" t="inlineStr">
        <is>
          <t>7 cờ mới, TẤT CẢ mặc định TẮT. Cờ thứ 7 là SIM_RUNNER_GIOI_HAN (M4-02) — nó giới hạn fs.write của sim-runner trong sim/; hàng rào chính của M4-02 (POL-N6-sua-test) thì KHÔNG sau cờ</t>
        </is>
      </c>
    </row>
    <row r="17">
      <c r="A17" s="63" t="inlineStr">
        <is>
          <t>Mã lỗi mới</t>
        </is>
      </c>
      <c r="B17" s="63" t="inlineStr">
        <is>
          <t>—</t>
        </is>
      </c>
      <c r="C17" s="63" t="inlineStr">
        <is>
          <t>E4031 · E4032 · E6012 · E4033 · E4024</t>
        </is>
      </c>
      <c r="D17" s="63" t="inlineStr">
        <is>
          <t>M4-04, M4-05 và M4-19 không thêm mã nào; M4-02 dùng lại E5006. E4033 (M3-18), E4024 (M4-01). M4-01 còn DÙNG LẠI E4008/E4009/E4023 của sim.run — cùng một chuyện thì cùng một mã</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DEV-344</t>
        </is>
      </c>
      <c r="F34" s="64" t="inlineStr">
        <is>
          <t>testbench Verilog THẬT của bài 3: tb_pcpi_dot4 1/1, tb_pcpi_mac 1/1, tb_pcpi_vmini không đo được (tb gọi bản bram HAI CỔNG đã bị bỏ 02/10) — mẫu số là TỆP, không phải phép phá</t>
        </is>
      </c>
      <c r="G34" s="64" t="inlineStr">
        <is>
          <t>không có cờ (công cụ mới core=False)</t>
        </is>
      </c>
    </row>
    <row r="35">
      <c r="A35" s="64" t="inlineStr">
        <is>
          <t>16</t>
        </is>
      </c>
      <c r="B35" s="64" t="inlineStr">
        <is>
          <t>M3-18</t>
        </is>
      </c>
      <c r="C35" s="64" t="inlineStr">
        <is>
          <t>3. Mạch, ERC, HDL/FPGA</t>
        </is>
      </c>
      <c r="D35" s="64" t="inlineStr">
        <is>
          <t>P0</t>
        </is>
      </c>
      <c r="E35" s="64" t="inlineStr">
        <is>
          <t>DEV-345</t>
        </is>
      </c>
      <c r="F35" s="64" t="inlineStr">
        <is>
          <t>6 cặp (mạng cổng, .cst) thật → 1 chỗ CHẶN: blinky của riscv-tn20k-b dựng bitstream 4,6 MB với chân đồng hồ do nextpnr tự chọn (rơi đúng chân 4 — bằng may). Cả 7 tệp .cst thật đọc hết, 0 lỗi cú pháp</t>
        </is>
      </c>
      <c r="G35" s="64" t="inlineStr">
        <is>
          <t>không có cờ (công cụ mới core=False)</t>
        </is>
      </c>
    </row>
    <row r="36">
      <c r="A36" s="64" t="inlineStr">
        <is>
          <t>17</t>
        </is>
      </c>
      <c r="B36" s="64" t="inlineStr">
        <is>
          <t>M4-01</t>
        </is>
      </c>
      <c r="C36" s="64" t="inlineStr">
        <is>
          <t>4. Kiểm thử &amp; chất lượng</t>
        </is>
      </c>
      <c r="D36" s="64" t="inlineStr">
        <is>
          <t>P0</t>
        </is>
      </c>
      <c r="E36" s="64" t="inlineStr">
        <is>
          <t>DEV-346</t>
        </is>
      </c>
      <c r="F36" s="64" t="inlineStr">
        <is>
          <t>18 ca chạy trình biên dịch C thật: tệp test in số đo {"T1":300} với ngưỡng &lt;=255 → EIDE phán 1 ca HỎNG. Chưa kho cũ nào có tiêu chí unit test để đo lại trên dữ liệu thật</t>
        </is>
      </c>
      <c r="G36" s="64" t="inlineStr">
        <is>
          <t>không có cờ (công cụ mới core=False)</t>
        </is>
      </c>
    </row>
    <row r="37">
      <c r="A37" s="64" t="inlineStr">
        <is>
          <t>18</t>
        </is>
      </c>
      <c r="B37" s="64" t="inlineStr">
        <is>
          <t>M4-02</t>
        </is>
      </c>
      <c r="C37" s="64" t="inlineStr">
        <is>
          <t>4. Kiểm thử &amp; chất lượng</t>
        </is>
      </c>
      <c r="D37" s="64" t="inlineStr">
        <is>
          <t>P0</t>
        </is>
      </c>
      <c r="E37" s="64" t="inlineStr">
        <is>
          <t>DEV-347</t>
        </is>
      </c>
      <c r="F37" s="64" t="inlineStr">
        <is>
          <t>25 ca dựng đúng trạng thái thật (tệp test 3 ca, 1 ca đỏ, hiện vật dat=False) → fs.write còn 1 ca thì test.weakened=True. Và hàng rào cũ criteria.has_result chưa bao giờ nổ ngoài sim-01</t>
        </is>
      </c>
      <c r="G37" s="64" t="inlineStr">
        <is>
          <t>SIM_RUNNER_GIOI_HAN — TẮT</t>
        </is>
      </c>
    </row>
    <row r="38">
      <c r="A38" s="64" t="inlineStr">
        <is>
          <t>19</t>
        </is>
      </c>
      <c r="B38" s="64" t="inlineStr">
        <is>
          <t>M4-05</t>
        </is>
      </c>
      <c r="C38" s="64" t="inlineStr">
        <is>
          <t>4. Kiểm thử &amp; chất lượng</t>
        </is>
      </c>
      <c r="D38" s="64" t="inlineStr">
        <is>
          <t>P1</t>
        </is>
      </c>
      <c r="E38" s="64" t="inlineStr">
        <is>
          <t>DEV-348</t>
        </is>
      </c>
      <c r="F38" s="64" t="inlineStr">
        <is>
          <t>du-lieu/rtos-sinhvien, chạy CẢ HAI hành vi: cũ so_thay=1, mới so_thay=0 — logo_ptit.c từ 'bộ kiểm ĐỎ' thành 'mọi đột biến đều làm hỏng biên dịch'. Một ô xanh giả, đã sửa</t>
        </is>
      </c>
      <c r="G38" s="64" t="inlineStr">
        <is>
          <t>không có cờ — sửa lỗi thuần</t>
        </is>
      </c>
    </row>
    <row r="39">
      <c r="A39" s="64" t="inlineStr">
        <is>
          <t>20</t>
        </is>
      </c>
      <c r="B39" s="64" t="inlineStr">
        <is>
          <t>M4-19</t>
        </is>
      </c>
      <c r="C39" s="64" t="inlineStr">
        <is>
          <t>4. Kiểm thử &amp; chất lượng</t>
        </is>
      </c>
      <c r="D39" s="64" t="inlineStr">
        <is>
          <t>P2</t>
        </is>
      </c>
      <c r="E39" s="64" t="inlineStr">
        <is>
          <t>DEV-349</t>
        </is>
      </c>
      <c r="F39" s="64" t="inlineStr">
        <is>
          <t>chạy TẠI CHỖ trên ba dự án firmware thật: kết luận giống hệt lượt đột biến tại chỗ của M4-05, và 50/50 tệp giữ nguyên cả sha256 lẫn mtime</t>
        </is>
      </c>
      <c r="G39" s="64" t="inlineStr">
        <is>
          <t>không có cờ — sửa lỗi thuần</t>
        </is>
      </c>
    </row>
    <row r="40">
      <c r="A40" s="64" t="inlineStr">
        <is>
          <t>21</t>
        </is>
      </c>
      <c r="B40" s="64" t="inlineStr">
        <is>
          <t>M4-04</t>
        </is>
      </c>
      <c r="C40" s="64" t="inlineStr">
        <is>
          <t>4. Kiểm thử &amp; chất lượng</t>
        </is>
      </c>
      <c r="D40" s="64" t="inlineStr">
        <is>
          <t>P1</t>
        </is>
      </c>
      <c r="E40" s="64" t="inlineStr">
        <is>
          <t>DEV-350</t>
        </is>
      </c>
      <c r="F40" s="64" t="inlineStr">
        <is>
          <t>TÁI HIỆN được ca DANH-GIA §2.2 bằng máy trên control_rtos.c thật: bảng cũ 0 đột biến cho hằng hex, bảng mới dòng 147 → mutant SỐNG. Và chi_tiet trên 12 tệp thật: 110 s, điểm 0,0</t>
        </is>
      </c>
      <c r="G40" s="64" t="inlineStr">
        <is>
          <t>không có cờ (tham số mới, mặc định giữ hành vi cũ)</t>
        </is>
      </c>
    </row>
    <row r="42">
      <c r="A42" s="59" t="inlineStr">
        <is>
          <t>Việc còn MỞ (ngoài 85 việc chưa làm)</t>
        </is>
      </c>
      <c r="B42" s="59" t="inlineStr">
        <is>
          <t>Vì sao còn mở</t>
        </is>
      </c>
    </row>
    <row r="43">
      <c r="A43" s="63" t="inlineStr">
        <is>
          <t>Bảy cờ mới đều còn TẮT</t>
        </is>
      </c>
      <c r="B43" s="63" t="inlineStr">
        <is>
          <t>GON_CONG_CU · TRUY_VET · REQ_PHU · REQ_CHAT_LUONG · KE_HOACH_CONG_KIEM · ERC_TU_DONG · SIM_RUNNER_GIOI_HAN. Cả bảy đổi thứ Agent nhìn thấy, đọc, hoặc LÀM ĐƯỢC mỗi lượt, nên chỉ bộ 76 ca chạy hai chế độ mới nói được chúng làm Agent khá hơn hay tệ hơn. Bộ ấy tốn tiền mô hình nên §3.0 bắt hỏi người dùng trước.</t>
        </is>
      </c>
    </row>
    <row r="44">
      <c r="A44" s="63" t="inlineStr">
        <is>
          <t>kiem_cap_goi_tra() chưa thành hàng rào</t>
        </is>
      </c>
      <c r="B44" s="63" t="inlineStr">
        <is>
          <t>Soát được mọi phiên đã lưu, nhưng chưa hook nào gọi nó tự động — bắt được chuyện cũ, chưa chặn được chuyện mới.</t>
        </is>
      </c>
    </row>
    <row r="45">
      <c r="A45" s="63" t="inlineStr">
        <is>
          <t>Luật ERC quá áp chưa nổ trên dữ liệu thật</t>
        </is>
      </c>
      <c r="B45" s="63" t="inlineStr">
        <is>
          <t>Đường dẫn đã thông ở M3-07, nhưng ba kho có Fact điện áp thì không có mô hình mạch, và ngược lại. Phải chờ một dự án có cả hai.</t>
        </is>
      </c>
    </row>
    <row r="46">
      <c r="A46" s="63" t="inlineStr">
        <is>
          <t>Cột “Mã nguồn” của ma trận truy vết trống ở mọi dự án</t>
        </is>
      </c>
      <c r="B46" s="63" t="inlineStr">
        <is>
          <t>Nó đọc hien_thuc_req — trường vừa mới tồn tại, chưa tệp nào trên đĩa từng khai. Nên “chưa hiện thực” ở đó nghĩa là “chưa ai KHAI”, không phải “chưa ai viết”.</t>
        </is>
      </c>
    </row>
    <row r="47">
      <c r="A47" s="63" t="inlineStr">
        <is>
          <t>Lỗi _go_dau trong src/eide/tools/design.py</t>
        </is>
      </c>
      <c r="B47" s="63" t="inlineStr">
        <is>
          <t>Viết .replace('d','d') nên 'ổn định' và 'ON DINH' không khớp nhau. Hàm ấy đang dùng cho một phép kiểm an toàn (người có thật sự chọn không). Tìm thấy ở M2-03, CHƯA sửa vì ngoài phạm vi — cần bộ ca kiểm riêng.</t>
        </is>
      </c>
    </row>
    <row r="48">
      <c r="A48" s="63" t="inlineStr">
        <is>
          <t>subagent req-critic (bước 4 của M2-03)</t>
        </is>
      </c>
      <c r="B48" s="63" t="inlineStr">
        <is>
          <t>Kế hoạch ghi “tuỳ chọn, gộp M2-13”. Chưa làm, đúng theo kế hoạch.</t>
        </is>
      </c>
    </row>
    <row r="49">
      <c r="A49" s="63" t="inlineStr">
        <is>
          <t>Hai luật kiểm chân FPGA chưa có dữ liệu để nổ</t>
        </is>
      </c>
      <c r="B49" s="63" t="inlineStr">
        <is>
          <t>chan_lech_kit và io_type_lech_bank cần Fact chân kit. Không kho nào trong repo có Fact pin:tangnano20k.* hay khoá vccio — nên hôm nay chỉ 3 trong 5 luật của M3-18 kết luận được gì trên dữ liệu thật. Cùng hình dạng với luật ERC quá áp.</t>
        </is>
      </c>
    </row>
    <row r="50">
      <c r="A50" s="63" t="inlineStr">
        <is>
          <t>Một bitstream cũ đã dựng với chân đồng hồ tự chọn</t>
        </is>
      </c>
      <c r="B50" s="63" t="inlineStr">
        <is>
          <t>blinky của du-lieu/riscv-tn20k-b — xem DEV-345 và README §8. Không sửa hiện vật cũ: đó là dữ liệu của những lượt đo đã chốt. Từ nay phép kiểm chặn trước nextpnr.</t>
        </is>
      </c>
    </row>
    <row r="51">
      <c r="A51" s="63" t="inlineStr">
        <is>
          <t>Ba công cụ mới nhất chưa lượt Agent nào GỌI</t>
        </is>
      </c>
      <c r="B51" s="63" t="inlineStr">
        <is>
          <t>hdl.sensitivity · hdl.constraints_check · test.criteria. Mã của cả ba đã chạy trên hiện vật thật, nhưng đó là tôi gọi hàm, không phải tác tử gọi công cụ. README §8 đếm cả ba vào phần chưa dùng thật.</t>
        </is>
      </c>
    </row>
    <row r="52">
      <c r="A52" s="63" t="inlineStr">
        <is>
          <t>Bộ kiểm C của ba dự án firmware thật đều KHÔNG đo được độ nhạy</t>
        </is>
      </c>
      <c r="B52" s="63" t="inlineStr">
        <is>
          <t>rtos-sinhvien: 0/12 tệp đo được (4 font khong_thay, control_rtos.c trùng ký hiệu, main.c không dịch trên máy chủ, logo_ptit.c mọi mutant hỏng biên dịch). stm32f469-freertos và thu-nghiem-g6: bộ kiểm ĐỎ SẴN. Đây là trạng thái của dữ liệu đo, không phải lỗi sản phẩm — nhưng nó nghĩa là chưa dự án firmware nào trong repo có một con số độ nhạy đáng tin. Xem DEV-348.</t>
        </is>
      </c>
    </row>
    <row r="53">
      <c r="A53" s="63" t="inlineStr">
        <is>
          <t>POL-N6-sua-test chưa nổ trên một phiên thật nào</t>
        </is>
      </c>
      <c r="B53" s="63" t="inlineStr">
        <is>
          <t>Hook sua_test_sau_do cấp dữ kiện cho lời gọi SẮP xảy ra, nên không soát lại được phiên đã lưu — khác mọi phép đo trước của đợt này. Nó đã có 25 ca kiểm và phá lại 27/27, nhưng chưa lượt tác tử thật nào chạm vào nó. Cùng hình dạng với ba luật kiểm thiếu dữ liệu ở trên, chỉ khác lý do.</t>
        </is>
      </c>
    </row>
    <row r="55">
      <c r="A55" s="59" t="inlineStr">
        <is>
          <t>Lỗi tìm thấy trong CHÍNH PHÉP ĐO của tôi</t>
        </is>
      </c>
      <c r="B55" s="59" t="inlineStr">
        <is>
          <t>Lộ ra ở đâu</t>
        </is>
      </c>
    </row>
    <row r="56">
      <c r="A56" s="63" t="inlineStr">
        <is>
          <t>Kịch bản đo bị hàng rào của sản phẩm chặn (ghi tệp chưa đọc, E4020) và trả về một con số hợp lý thay vì nổ — 6→2 trông đẹp y như 9→3 đúng</t>
        </is>
      </c>
      <c r="B56" s="63" t="inlineStr">
        <is>
          <t>M2-01 · DEV-333</t>
        </is>
      </c>
    </row>
    <row r="57">
      <c r="A57" s="63" t="inlineStr">
        <is>
          <t>Ca kiểm dựng trên điều tôi tự nhớ sai: “thiết” bỏ dấu KHÔNG chứa “it”; chỗ va thật là bit/unit/init/exit</t>
        </is>
      </c>
      <c r="B57" s="63" t="inlineStr">
        <is>
          <t>M2-03 · DEV-335</t>
        </is>
      </c>
    </row>
    <row r="58">
      <c r="A58" s="63" t="inlineStr">
        <is>
          <t>Phép phá dài ĐÚNG BẰNG mã gốc (0.6 → 0.0) nên __pycache__ cũ còn hiệu lực — phép đo chạy mã khác với mã trong tệp</t>
        </is>
      </c>
      <c r="B58" s="63" t="inlineStr">
        <is>
          <t>M2-03 · DEV-335</t>
        </is>
      </c>
    </row>
    <row r="59">
      <c r="A59" s="63" t="inlineStr">
        <is>
          <t>Phép đo trả lời ĐÚNG một câu hỏi KHÁC: đếm ở mức dự án ra 0 chỗ cần chặn; câu phải hỏi là “lần ghi NÀY đã được kiểm chưa” → 19/26</t>
        </is>
      </c>
      <c r="B59" s="63" t="inlineStr">
        <is>
          <t>M2-06 · DEV-336</t>
        </is>
      </c>
    </row>
    <row r="60">
      <c r="A60" s="63" t="inlineStr">
        <is>
          <t>Ca kiểm RỖNG: dàn dựng không có net đất nào, nên nó xanh cả khi tôi bỏ hẳn phép bỏ qua net đất</t>
        </is>
      </c>
      <c r="B60" s="63" t="inlineStr">
        <is>
          <t>M3-01 · DEV-338</t>
        </is>
      </c>
    </row>
    <row r="61">
      <c r="A61" s="63" t="inlineStr">
        <is>
          <t>Hai phép phá chỉ ra THIẾT KẾ sai, không chỉ ca kiểm yếu (miễn net đất quá rộng; nhánh iout_max chưa ca nào chạm tới)</t>
        </is>
      </c>
      <c r="B61" s="63" t="inlineStr">
        <is>
          <t>M3-03 · DEV-339</t>
        </is>
      </c>
    </row>
    <row r="62">
      <c r="A62" s="63" t="inlineStr">
        <is>
          <t>Phép phá của tôi cũng SAI, và ca âm xanh vì lý do khác — hai cái sai che nhau</t>
        </is>
      </c>
      <c r="B62" s="63" t="inlineStr">
        <is>
          <t>M3-07 · DEV-341</t>
        </is>
      </c>
    </row>
    <row r="63">
      <c r="A63" s="63" t="inlineStr">
        <is>
          <t>Ca kiểm đo chính câu lệnh của mình (đặt bộ đếm = 3 rồi khẳng định nó khác rỗng, trong khi thực tế nó rỗng)</t>
        </is>
      </c>
      <c r="B63" s="63" t="inlineStr">
        <is>
          <t>M3-10 · DEV-342</t>
        </is>
      </c>
    </row>
    <row r="64">
      <c r="A64" s="63" t="inlineStr">
        <is>
          <t>Regex mà KẾ HOẠCH ghi sẵn từ chối oan 588/846 bản ghi thật; và ba ca kiểm xanh vì lý do sai (tệp giả dùng $4 thay $3; “FAILED” chứa “FAIL”)</t>
        </is>
      </c>
      <c r="B64" s="63" t="inlineStr">
        <is>
          <t>M3-12 · DEV-343</t>
        </is>
      </c>
    </row>
    <row r="65">
      <c r="A65" s="63" t="inlineStr">
        <is>
          <t>"Phá lại thì đỏ 6/6" sai về TẬP, không sai về số: sáu phép phá ấy chọn đúng sáu chỗ đã có ca canh. Phá bằng tập rộng hơn ra 7/9.</t>
        </is>
      </c>
      <c r="B65" s="63" t="inlineStr">
        <is>
          <t>M3-13 · DEV-344</t>
        </is>
      </c>
    </row>
    <row r="66">
      <c r="A66" s="63" t="inlineStr">
        <is>
          <t>409 'blocker' gần như toàn bộ từ một cặp vô nghĩa (mạng cổng của lõi CPU tổng hợp riêng, không bao giờ đem đặt-đi dây). Con số thật là 1.</t>
        </is>
      </c>
      <c r="B66" s="63" t="inlineStr">
        <is>
          <t>M3-18 · DEV-345</t>
        </is>
      </c>
    </row>
    <row r="67">
      <c r="A67" s="63" t="inlineStr">
        <is>
          <t>Phép quét tệp .cst thật chỉ thu 4 trong 7 tệp mà ca kiểm vẫn xanh — câu 'mọi tệp .cst thật đều đọc được' nói về phần phép quét chạm tới.</t>
        </is>
      </c>
      <c r="B67" s="63" t="inlineStr">
        <is>
          <t>M3-18 · DEV-345</t>
        </is>
      </c>
    </row>
    <row r="68">
      <c r="A68" s="63" t="inlineStr">
        <is>
          <t>Một ca kiểm và một phép phá nhắm hai NHÁNH khác nhau, nên ca mới xanh mà phép phá vẫn LỌT. Mất một lượt mới thấy.</t>
        </is>
      </c>
      <c r="B68" s="63" t="inlineStr">
        <is>
          <t>M3-18 · DEV-345</t>
        </is>
      </c>
    </row>
    <row r="69">
      <c r="A69" s="63" t="inlineStr">
        <is>
          <t>Ca kiểm xanh nhờ một DÒNG KHÁC: kiểm `"TỰ KHAI" in str(kh)` cả khối nên vẫn xanh khi phá chữ ấy ở dòng Kết luận — summary cũng chứa nó. Phép phá bắt được, ca kiểm thì không.</t>
        </is>
      </c>
      <c r="B69" s="63" t="inlineStr">
        <is>
          <t>M4-01 · DEV-346</t>
        </is>
      </c>
    </row>
    <row r="70">
      <c r="A70" s="63" t="inlineStr">
        <is>
          <t>Một phép phá VÔ HIỆU: `them = [] or [[…]]` không đổi hành vi, nên nó báo LỌT oan và suýt làm tôi viết ca kiểm cho một chỗ vốn đã được canh.</t>
        </is>
      </c>
      <c r="B70" s="63" t="inlineStr">
        <is>
          <t>M4-01 · DEV-346</t>
        </is>
      </c>
    </row>
    <row r="71">
      <c r="A71" s="63" t="inlineStr">
        <is>
          <t>HAI phép phá liền nhau VÔ HIỆU ở cùng một dòng: `cu = cu or ""` không đổi hành vi, rồi bỏ is_file() cũng không vì except OSError bắt FileNotFoundError. Phải bỏ cả hai lớp phòng mới phá được.</t>
        </is>
      </c>
      <c r="B71" s="63" t="inlineStr">
        <is>
          <t>M4-02 · DEV-347</t>
        </is>
      </c>
    </row>
    <row r="72">
      <c r="A72" s="63" t="inlineStr">
        <is>
          <t>Một luật mới trỏ tới nhóm dữ kiện chưa khai thì DỪNG CẢ LƯỢT bằng ValueError, không phải 'không nổ' — và nhóm `criteria` của hàng rào N6 cũ cũng chưa bao giờ được khai.</t>
        </is>
      </c>
      <c r="B72" s="63" t="inlineStr">
        <is>
          <t>M4-02 · DEV-347</t>
        </is>
      </c>
    </row>
    <row r="73">
      <c r="A73" s="63" t="inlineStr">
        <is>
          <t>Phép đo ĐỔ ngay lượt đầu trên dữ liệu thật (IndexError), và lỗi ấy nghĩa là test.sensitivity chưa bao giờ chạy nổi trên một tệp firmware thật — mọi con số cũ đều từ tệp nhỏ do ca kiểm tự dựng.</t>
        </is>
      </c>
      <c r="B73" s="63" t="inlineStr">
        <is>
          <t>M4-05 · DEV-348</t>
        </is>
      </c>
    </row>
    <row r="74">
      <c r="A74" s="63" t="inlineStr">
        <is>
          <t>Bốn chỗ LỌT cùng một hình dạng: luật ĐÚNG, nằm ở chỗ ca kiểm không với tới — hai closure, một bảng phép không dựng nổi ca, và một tầng báo lại mà mọi ca cũ đều đi qua với stillborn == 0.</t>
        </is>
      </c>
      <c r="B74" s="63" t="inlineStr">
        <is>
          <t>M4-05 · DEV-348</t>
        </is>
      </c>
    </row>
    <row r="75">
      <c r="A75" s="26" t="inlineStr">
        <is>
          <t>Tôi thêm MỘT cờ biên dịch để tránh một cáo buộc sai, và nó sinh ra MƯỜI MỘT cáo buộc sai khác: -I che header hệ thống, nên 11/12 tệp bị xếp là 'không dịch được trên máy chủ'. Phải là -iquote.</t>
        </is>
      </c>
      <c r="B75" s="26" t="inlineStr">
        <is>
          <t>M4-19 · DEV-349</t>
        </is>
      </c>
    </row>
    <row r="76">
      <c r="A76" s="26" t="inlineStr">
        <is>
          <t>Gắn cờ biên dịch cho cả LƯỢT MỐC là đổi chính cái mốc mà mọi so sánh dựa vào — mốc của cả ba dự án thật từ XANH thành ĐỎ.</t>
        </is>
      </c>
      <c r="B76" s="26" t="inlineStr">
        <is>
          <t>M4-19 · DEV-349</t>
        </is>
      </c>
    </row>
    <row r="77">
      <c r="A77" s="26" t="inlineStr">
        <is>
          <t>Phép đo mới TREO 10 phút trên tệp thật đầu tiên — không đổ, không báo gì, nên nó trông như một lượt chạy lâu. liet_ke dựng CẢ TỆP cho MỖI chỗ khớp: 57 600 chỗ × 720 KB ≈ 41 GB việc chuỗi.</t>
        </is>
      </c>
      <c r="B77" s="26" t="inlineStr">
        <is>
          <t>M4-04 · DEV-350</t>
        </is>
      </c>
    </row>
    <row r="78">
      <c r="A78" s="26" t="inlineStr">
        <is>
          <t>Ca kiểm chi phí của tôi KHÔNG bắt được bản chậm, vì tệp dựng dùng hằng hex TRẦN — _bo_che trả về ngay khi không có chỗ giữ. Chính CHÚ THÍCH mỗi dòng của tệp thật mới làm mỗi lượt bỏ che thành một lượt regex thật.</t>
        </is>
      </c>
      <c r="B78" s="26" t="inlineStr">
        <is>
          <t>M4-04 · DEV-350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tối 09/10/2026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22</v>
      </c>
      <c r="C5" s="61" t="inlineStr">
        <is>
          <t>22 việc đầu của Giai đoạn 1 — việc #22 còn MỘT tiêu chí chưa đạt</t>
        </is>
      </c>
    </row>
    <row r="6">
      <c r="A6" s="60" t="inlineStr">
        <is>
          <t>Đang làm (chưa commit)</t>
        </is>
      </c>
      <c r="B6" s="60" t="n">
        <v>0</v>
      </c>
      <c r="C6" s="61" t="inlineStr">
        <is>
          <t>không việc nào đang dở</t>
        </is>
      </c>
    </row>
    <row r="7">
      <c r="A7" s="60" t="inlineStr">
        <is>
          <t>Chưa làm</t>
        </is>
      </c>
      <c r="B7" s="60" t="n">
        <v>84</v>
      </c>
      <c r="C7" s="61" t="inlineStr">
        <is>
          <t>84 việc còn lại trong 106</t>
        </is>
      </c>
    </row>
    <row r="8">
      <c r="A8" s="62" t="inlineStr">
        <is>
          <t>TỔNG</t>
        </is>
      </c>
      <c r="B8" s="62" t="n">
        <v>106</v>
      </c>
      <c r="C8" s="61" t="n"/>
    </row>
    <row r="10">
      <c r="A10" s="59" t="inlineStr">
        <is>
          <t>Phép đo của cả đợt</t>
        </is>
      </c>
      <c r="B10" s="59" t="inlineStr">
        <is>
          <t>Trước (06/10)</t>
        </is>
      </c>
      <c r="C10" s="59" t="inlineStr">
        <is>
          <t>Sau (09/10)</t>
        </is>
      </c>
      <c r="D10" s="59" t="inlineStr">
        <is>
          <t>Ghi chú</t>
        </is>
      </c>
    </row>
    <row r="11">
      <c r="A11" s="63" t="inlineStr">
        <is>
          <t>Ca đơn vị Python (pytest -q)</t>
        </is>
      </c>
      <c r="B11" s="63" t="inlineStr">
        <is>
          <t>1 610</t>
        </is>
      </c>
      <c r="C11" s="63" t="inlineStr">
        <is>
          <t>1 878</t>
        </is>
      </c>
      <c r="D11" s="63" t="inlineStr">
        <is>
          <t>+268 ca so với 06/10;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0 chỗ LỆCH CHẮC CHẮN cả hai lượt. Hôm nay nó bắt đúng chuyện cần bắt: hai công cụ mới làm README lệch số công cụ 127 → 129, và số 'cần đọc lại' nhảy 11 → 15 → về 11 sau khi sửa</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DEV-351</t>
        </is>
      </c>
      <c r="D15" s="63" t="inlineStr">
        <is>
          <t>22 mục, mỗi việc một mục</t>
        </is>
      </c>
    </row>
    <row r="16">
      <c r="A16" s="63" t="inlineStr">
        <is>
          <t>Cờ tính năng mới</t>
        </is>
      </c>
      <c r="B16" s="63" t="inlineStr">
        <is>
          <t>1 (schematic)</t>
        </is>
      </c>
      <c r="C16" s="63" t="inlineStr">
        <is>
          <t>9</t>
        </is>
      </c>
      <c r="D16" s="63" t="inlineStr">
        <is>
          <t>8 cờ mới, TẤT CẢ mặc định TẮT. Cờ thứ 8 là TEST_HARDEN (M4-06) — Stop hook nhắc đo độ nhạy và công cụ test.harden. Phần ghi deps.upstream của M4-06 thì KHÔNG sau cờ</t>
        </is>
      </c>
    </row>
    <row r="17">
      <c r="A17" s="63" t="inlineStr">
        <is>
          <t>Mã lỗi mới</t>
        </is>
      </c>
      <c r="B17" s="63" t="inlineStr">
        <is>
          <t>—</t>
        </is>
      </c>
      <c r="C17" s="63" t="inlineStr">
        <is>
          <t>E4031 · E4032 · E6012 · E4033 · E4024</t>
        </is>
      </c>
      <c r="D17" s="63" t="inlineStr">
        <is>
          <t>M4-04, M4-05 và M4-19 không thêm mã nào; M4-02 dùng lại E5006. E4033 (M3-18), E4024 (M4-01). M4-01 còn DÙNG LẠI E4008/E4009/E4023 của sim.run — cùng một chuyện thì cùng một mã</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DEV-344</t>
        </is>
      </c>
      <c r="F34" s="64" t="inlineStr">
        <is>
          <t>testbench Verilog THẬT của bài 3: tb_pcpi_dot4 1/1, tb_pcpi_mac 1/1, tb_pcpi_vmini không đo được (tb gọi bản bram HAI CỔNG đã bị bỏ 02/10) — mẫu số là TỆP, không phải phép phá</t>
        </is>
      </c>
      <c r="G34" s="64" t="inlineStr">
        <is>
          <t>không có cờ (công cụ mới core=False)</t>
        </is>
      </c>
    </row>
    <row r="35">
      <c r="A35" s="64" t="inlineStr">
        <is>
          <t>16</t>
        </is>
      </c>
      <c r="B35" s="64" t="inlineStr">
        <is>
          <t>M3-18</t>
        </is>
      </c>
      <c r="C35" s="64" t="inlineStr">
        <is>
          <t>3. Mạch, ERC, HDL/FPGA</t>
        </is>
      </c>
      <c r="D35" s="64" t="inlineStr">
        <is>
          <t>P0</t>
        </is>
      </c>
      <c r="E35" s="64" t="inlineStr">
        <is>
          <t>DEV-345</t>
        </is>
      </c>
      <c r="F35" s="64" t="inlineStr">
        <is>
          <t>6 cặp (mạng cổng, .cst) thật → 1 chỗ CHẶN: blinky của riscv-tn20k-b dựng bitstream 4,6 MB với chân đồng hồ do nextpnr tự chọn (rơi đúng chân 4 — bằng may). Cả 7 tệp .cst thật đọc hết, 0 lỗi cú pháp</t>
        </is>
      </c>
      <c r="G35" s="64" t="inlineStr">
        <is>
          <t>không có cờ (công cụ mới core=False)</t>
        </is>
      </c>
    </row>
    <row r="36">
      <c r="A36" s="64" t="inlineStr">
        <is>
          <t>17</t>
        </is>
      </c>
      <c r="B36" s="64" t="inlineStr">
        <is>
          <t>M4-01</t>
        </is>
      </c>
      <c r="C36" s="64" t="inlineStr">
        <is>
          <t>4. Kiểm thử &amp; chất lượng</t>
        </is>
      </c>
      <c r="D36" s="64" t="inlineStr">
        <is>
          <t>P0</t>
        </is>
      </c>
      <c r="E36" s="64" t="inlineStr">
        <is>
          <t>DEV-346</t>
        </is>
      </c>
      <c r="F36" s="64" t="inlineStr">
        <is>
          <t>18 ca chạy trình biên dịch C thật: tệp test in số đo {"T1":300} với ngưỡng &lt;=255 → EIDE phán 1 ca HỎNG. Chưa kho cũ nào có tiêu chí unit test để đo lại trên dữ liệu thật</t>
        </is>
      </c>
      <c r="G36" s="64" t="inlineStr">
        <is>
          <t>không có cờ (công cụ mới core=False)</t>
        </is>
      </c>
    </row>
    <row r="37">
      <c r="A37" s="64" t="inlineStr">
        <is>
          <t>18</t>
        </is>
      </c>
      <c r="B37" s="64" t="inlineStr">
        <is>
          <t>M4-02</t>
        </is>
      </c>
      <c r="C37" s="64" t="inlineStr">
        <is>
          <t>4. Kiểm thử &amp; chất lượng</t>
        </is>
      </c>
      <c r="D37" s="64" t="inlineStr">
        <is>
          <t>P0</t>
        </is>
      </c>
      <c r="E37" s="64" t="inlineStr">
        <is>
          <t>DEV-347</t>
        </is>
      </c>
      <c r="F37" s="64" t="inlineStr">
        <is>
          <t>25 ca dựng đúng trạng thái thật (tệp test 3 ca, 1 ca đỏ, hiện vật dat=False) → fs.write còn 1 ca thì test.weakened=True. Và hàng rào cũ criteria.has_result chưa bao giờ nổ ngoài sim-01</t>
        </is>
      </c>
      <c r="G37" s="64" t="inlineStr">
        <is>
          <t>SIM_RUNNER_GIOI_HAN — TẮT</t>
        </is>
      </c>
    </row>
    <row r="38">
      <c r="A38" s="64" t="inlineStr">
        <is>
          <t>19</t>
        </is>
      </c>
      <c r="B38" s="64" t="inlineStr">
        <is>
          <t>M4-05</t>
        </is>
      </c>
      <c r="C38" s="64" t="inlineStr">
        <is>
          <t>4. Kiểm thử &amp; chất lượng</t>
        </is>
      </c>
      <c r="D38" s="64" t="inlineStr">
        <is>
          <t>P1</t>
        </is>
      </c>
      <c r="E38" s="64" t="inlineStr">
        <is>
          <t>DEV-348</t>
        </is>
      </c>
      <c r="F38" s="64" t="inlineStr">
        <is>
          <t>du-lieu/rtos-sinhvien, chạy CẢ HAI hành vi: cũ so_thay=1, mới so_thay=0 — logo_ptit.c từ 'bộ kiểm ĐỎ' thành 'mọi đột biến đều làm hỏng biên dịch'. Một ô xanh giả, đã sửa</t>
        </is>
      </c>
      <c r="G38" s="64" t="inlineStr">
        <is>
          <t>không có cờ — sửa lỗi thuần</t>
        </is>
      </c>
    </row>
    <row r="39">
      <c r="A39" s="64" t="inlineStr">
        <is>
          <t>20</t>
        </is>
      </c>
      <c r="B39" s="64" t="inlineStr">
        <is>
          <t>M4-19</t>
        </is>
      </c>
      <c r="C39" s="64" t="inlineStr">
        <is>
          <t>4. Kiểm thử &amp; chất lượng</t>
        </is>
      </c>
      <c r="D39" s="64" t="inlineStr">
        <is>
          <t>P2</t>
        </is>
      </c>
      <c r="E39" s="64" t="inlineStr">
        <is>
          <t>DEV-349</t>
        </is>
      </c>
      <c r="F39" s="64" t="inlineStr">
        <is>
          <t>chạy TẠI CHỖ trên ba dự án firmware thật: kết luận giống hệt lượt đột biến tại chỗ của M4-05, và 50/50 tệp giữ nguyên cả sha256 lẫn mtime</t>
        </is>
      </c>
      <c r="G39" s="64" t="inlineStr">
        <is>
          <t>không có cờ — sửa lỗi thuần</t>
        </is>
      </c>
    </row>
    <row r="40">
      <c r="A40" s="64" t="inlineStr">
        <is>
          <t>21</t>
        </is>
      </c>
      <c r="B40" s="64" t="inlineStr">
        <is>
          <t>M4-04</t>
        </is>
      </c>
      <c r="C40" s="64" t="inlineStr">
        <is>
          <t>4. Kiểm thử &amp; chất lượng</t>
        </is>
      </c>
      <c r="D40" s="64" t="inlineStr">
        <is>
          <t>P1</t>
        </is>
      </c>
      <c r="E40" s="64" t="inlineStr">
        <is>
          <t>DEV-350</t>
        </is>
      </c>
      <c r="F40" s="64" t="inlineStr">
        <is>
          <t>TÁI HIỆN được ca DANH-GIA §2.2 bằng máy trên control_rtos.c thật: bảng cũ 0 đột biến cho hằng hex, bảng mới dòng 147 → mutant SỐNG. Và chi_tiet trên 12 tệp thật: 110 s, điểm 0,0</t>
        </is>
      </c>
      <c r="G40" s="64" t="inlineStr">
        <is>
          <t>không có cờ (tham số mới, mặc định giữ hành vi cũ)</t>
        </is>
      </c>
    </row>
    <row r="41">
      <c r="A41" s="64" t="inlineStr">
        <is>
          <t>22</t>
        </is>
      </c>
      <c r="B41" s="64" t="inlineStr">
        <is>
          <t>M4-06</t>
        </is>
      </c>
      <c r="C41" s="64" t="inlineStr">
        <is>
          <t>4. Kiểm thử &amp; chất lượng</t>
        </is>
      </c>
      <c r="D41" s="64" t="inlineStr">
        <is>
          <t>P0</t>
        </is>
      </c>
      <c r="E41" s="64" t="inlineStr">
        <is>
          <t>DEV-351</t>
        </is>
      </c>
      <c r="F41" s="64" t="inlineStr">
        <is>
          <t>đo TRƯỚC trên logo_ptit.c thật: điểm 0,0 · 30 mutant · 20 sống. Phần SAU chưa đo — cần lời gọi mô hình (§3.0 bắt hỏi trước), và dự án mẫu không có chỗ để đo</t>
        </is>
      </c>
      <c r="G41" s="64" t="inlineStr">
        <is>
          <t>TEST_HARDEN — TẮT</t>
        </is>
      </c>
    </row>
    <row r="43">
      <c r="A43" s="59" t="inlineStr">
        <is>
          <t>Việc còn MỞ (ngoài 84 việc chưa làm)</t>
        </is>
      </c>
      <c r="B43" s="59" t="inlineStr">
        <is>
          <t>Vì sao còn mở</t>
        </is>
      </c>
    </row>
    <row r="44">
      <c r="A44" s="63" t="inlineStr">
        <is>
          <t>Bảy cờ mới đều còn TẮT</t>
        </is>
      </c>
      <c r="B44" s="63" t="inlineStr">
        <is>
          <t>GON_CONG_CU · TRUY_VET · REQ_PHU · REQ_CHAT_LUONG · KE_HOACH_CONG_KIEM · ERC_TU_DONG · SIM_RUNNER_GIOI_HAN. Cả bảy đổi thứ Agent nhìn thấy, đọc, hoặc LÀM ĐƯỢC mỗi lượt, nên chỉ bộ 76 ca chạy hai chế độ mới nói được chúng làm Agent khá hơn hay tệ hơn. Bộ ấy tốn tiền mô hình nên §3.0 bắt hỏi người dùng trước.</t>
        </is>
      </c>
    </row>
    <row r="45">
      <c r="A45" s="63" t="inlineStr">
        <is>
          <t>kiem_cap_goi_tra() chưa thành hàng rào</t>
        </is>
      </c>
      <c r="B45" s="63" t="inlineStr">
        <is>
          <t>Soát được mọi phiên đã lưu, nhưng chưa hook nào gọi nó tự động — bắt được chuyện cũ, chưa chặn được chuyện mới.</t>
        </is>
      </c>
    </row>
    <row r="46">
      <c r="A46" s="63" t="inlineStr">
        <is>
          <t>Luật ERC quá áp chưa nổ trên dữ liệu thật</t>
        </is>
      </c>
      <c r="B46" s="63" t="inlineStr">
        <is>
          <t>Đường dẫn đã thông ở M3-07, nhưng ba kho có Fact điện áp thì không có mô hình mạch, và ngược lại. Phải chờ một dự án có cả hai.</t>
        </is>
      </c>
    </row>
    <row r="47">
      <c r="A47" s="63" t="inlineStr">
        <is>
          <t>Cột “Mã nguồn” của ma trận truy vết trống ở mọi dự án</t>
        </is>
      </c>
      <c r="B47" s="63" t="inlineStr">
        <is>
          <t>Nó đọc hien_thuc_req — trường vừa mới tồn tại, chưa tệp nào trên đĩa từng khai. Nên “chưa hiện thực” ở đó nghĩa là “chưa ai KHAI”, không phải “chưa ai viết”.</t>
        </is>
      </c>
    </row>
    <row r="48">
      <c r="A48" s="63" t="inlineStr">
        <is>
          <t>Lỗi _go_dau trong src/eide/tools/design.py</t>
        </is>
      </c>
      <c r="B48" s="63" t="inlineStr">
        <is>
          <t>Viết .replace('d','d') nên 'ổn định' và 'ON DINH' không khớp nhau. Hàm ấy đang dùng cho một phép kiểm an toàn (người có thật sự chọn không). Tìm thấy ở M2-03, CHƯA sửa vì ngoài phạm vi — cần bộ ca kiểm riêng.</t>
        </is>
      </c>
    </row>
    <row r="49">
      <c r="A49" s="63" t="inlineStr">
        <is>
          <t>subagent req-critic (bước 4 của M2-03)</t>
        </is>
      </c>
      <c r="B49" s="63" t="inlineStr">
        <is>
          <t>Kế hoạch ghi “tuỳ chọn, gộp M2-13”. Chưa làm, đúng theo kế hoạch.</t>
        </is>
      </c>
    </row>
    <row r="50">
      <c r="A50" s="63" t="inlineStr">
        <is>
          <t>Hai luật kiểm chân FPGA chưa có dữ liệu để nổ</t>
        </is>
      </c>
      <c r="B50" s="63" t="inlineStr">
        <is>
          <t>chan_lech_kit và io_type_lech_bank cần Fact chân kit. Không kho nào trong repo có Fact pin:tangnano20k.* hay khoá vccio — nên hôm nay chỉ 3 trong 5 luật của M3-18 kết luận được gì trên dữ liệu thật. Cùng hình dạng với luật ERC quá áp.</t>
        </is>
      </c>
    </row>
    <row r="51">
      <c r="A51" s="63" t="inlineStr">
        <is>
          <t>Một bitstream cũ đã dựng với chân đồng hồ tự chọn</t>
        </is>
      </c>
      <c r="B51" s="63" t="inlineStr">
        <is>
          <t>blinky của du-lieu/riscv-tn20k-b — xem DEV-345 và README §8. Không sửa hiện vật cũ: đó là dữ liệu của những lượt đo đã chốt. Từ nay phép kiểm chặn trước nextpnr.</t>
        </is>
      </c>
    </row>
    <row r="52">
      <c r="A52" s="63" t="inlineStr">
        <is>
          <t>Ba công cụ mới nhất chưa lượt Agent nào GỌI</t>
        </is>
      </c>
      <c r="B52" s="63" t="inlineStr">
        <is>
          <t>hdl.sensitivity · hdl.constraints_check · test.criteria. Mã của cả ba đã chạy trên hiện vật thật, nhưng đó là tôi gọi hàm, không phải tác tử gọi công cụ. README §8 đếm cả ba vào phần chưa dùng thật.</t>
        </is>
      </c>
    </row>
    <row r="53">
      <c r="A53" s="63" t="inlineStr">
        <is>
          <t>Bộ kiểm C của ba dự án firmware thật đều KHÔNG đo được độ nhạy</t>
        </is>
      </c>
      <c r="B53" s="63" t="inlineStr">
        <is>
          <t>rtos-sinhvien: 0/12 tệp đo được (4 font khong_thay, control_rtos.c trùng ký hiệu, main.c không dịch trên máy chủ, logo_ptit.c mọi mutant hỏng biên dịch). stm32f469-freertos và thu-nghiem-g6: bộ kiểm ĐỎ SẴN. Đây là trạng thái của dữ liệu đo, không phải lỗi sản phẩm — nhưng nó nghĩa là chưa dự án firmware nào trong repo có một con số độ nhạy đáng tin. Xem DEV-348.</t>
        </is>
      </c>
    </row>
    <row r="54">
      <c r="A54" s="63" t="inlineStr">
        <is>
          <t>POL-N6-sua-test chưa nổ trên một phiên thật nào</t>
        </is>
      </c>
      <c r="B54" s="63" t="inlineStr">
        <is>
          <t>Hook sua_test_sau_do cấp dữ kiện cho lời gọi SẮP xảy ra, nên không soát lại được phiên đã lưu — khác mọi phép đo trước của đợt này. Nó đã có 25 ca kiểm và phá lại 27/27, nhưng chưa lượt tác tử thật nào chạm vào nó. Cùng hình dạng với ba luật kiểm thiếu dữ liệu ở trên, chỉ khác lý do.</t>
        </is>
      </c>
    </row>
    <row r="55">
      <c r="A55" s="63" t="inlineStr">
        <is>
          <t>Tiêu chí 'mutation score tăng sau harden' của M4-06 chưa đo</t>
        </is>
      </c>
      <c r="B55" s="63" t="inlineStr">
        <is>
          <t>Cần LỜI GỌI MÔ HÌNH, và §3.0 bắt hỏi anh Công trước. Đo 'trước' đã có (điểm 0,0 trên logo_ptit.c). Và dự án mẫu không có chỗ để đo: control_rtos.c là khong_nap_duoc, sáu tệp còn lại là bitmap. Cờ TEST_HARDEN giữ TẮT.</t>
        </is>
      </c>
    </row>
    <row r="56">
      <c r="A56" s="63" t="inlineStr">
        <is>
          <t>Một dự án chỉ dùng được MỘT tệp test</t>
        </is>
      </c>
      <c r="B56" s="63" t="inlineStr">
        <is>
          <t>chay_test dịch MỌI tệp trong test/ cùng nhau, nên tệp thứ hai có main() là trùng ký hiệu. Kiểm trên dữ liệu thật: cả bốn dự án có test/ đều đúng một tệp. M4-06 lách bằng cách thêm ca vào tệp đang có — nhưng ràng buộc ấy vẫn còn, và nó giới hạn cách tổ chức bộ kiểm của mọi dự án.</t>
        </is>
      </c>
    </row>
    <row r="58">
      <c r="A58" s="59" t="inlineStr">
        <is>
          <t>Lỗi tìm thấy trong CHÍNH PHÉP ĐO của tôi</t>
        </is>
      </c>
      <c r="B58" s="59" t="inlineStr">
        <is>
          <t>Lộ ra ở đâu</t>
        </is>
      </c>
    </row>
    <row r="59">
      <c r="A59" s="63" t="inlineStr">
        <is>
          <t>Kịch bản đo bị hàng rào của sản phẩm chặn (ghi tệp chưa đọc, E4020) và trả về một con số hợp lý thay vì nổ — 6→2 trông đẹp y như 9→3 đúng</t>
        </is>
      </c>
      <c r="B59" s="63" t="inlineStr">
        <is>
          <t>M2-01 · DEV-333</t>
        </is>
      </c>
    </row>
    <row r="60">
      <c r="A60" s="63" t="inlineStr">
        <is>
          <t>Ca kiểm dựng trên điều tôi tự nhớ sai: “thiết” bỏ dấu KHÔNG chứa “it”; chỗ va thật là bit/unit/init/exit</t>
        </is>
      </c>
      <c r="B60" s="63" t="inlineStr">
        <is>
          <t>M2-03 · DEV-335</t>
        </is>
      </c>
    </row>
    <row r="61">
      <c r="A61" s="63" t="inlineStr">
        <is>
          <t>Phép phá dài ĐÚNG BẰNG mã gốc (0.6 → 0.0) nên __pycache__ cũ còn hiệu lực — phép đo chạy mã khác với mã trong tệp</t>
        </is>
      </c>
      <c r="B61" s="63" t="inlineStr">
        <is>
          <t>M2-03 · DEV-335</t>
        </is>
      </c>
    </row>
    <row r="62">
      <c r="A62" s="63" t="inlineStr">
        <is>
          <t>Phép đo trả lời ĐÚNG một câu hỏi KHÁC: đếm ở mức dự án ra 0 chỗ cần chặn; câu phải hỏi là “lần ghi NÀY đã được kiểm chưa” → 19/26</t>
        </is>
      </c>
      <c r="B62" s="63" t="inlineStr">
        <is>
          <t>M2-06 · DEV-336</t>
        </is>
      </c>
    </row>
    <row r="63">
      <c r="A63" s="63" t="inlineStr">
        <is>
          <t>Ca kiểm RỖNG: dàn dựng không có net đất nào, nên nó xanh cả khi tôi bỏ hẳn phép bỏ qua net đất</t>
        </is>
      </c>
      <c r="B63" s="63" t="inlineStr">
        <is>
          <t>M3-01 · DEV-338</t>
        </is>
      </c>
    </row>
    <row r="64">
      <c r="A64" s="63" t="inlineStr">
        <is>
          <t>Hai phép phá chỉ ra THIẾT KẾ sai, không chỉ ca kiểm yếu (miễn net đất quá rộng; nhánh iout_max chưa ca nào chạm tới)</t>
        </is>
      </c>
      <c r="B64" s="63" t="inlineStr">
        <is>
          <t>M3-03 · DEV-339</t>
        </is>
      </c>
    </row>
    <row r="65">
      <c r="A65" s="63" t="inlineStr">
        <is>
          <t>Phép phá của tôi cũng SAI, và ca âm xanh vì lý do khác — hai cái sai che nhau</t>
        </is>
      </c>
      <c r="B65" s="63" t="inlineStr">
        <is>
          <t>M3-07 · DEV-341</t>
        </is>
      </c>
    </row>
    <row r="66">
      <c r="A66" s="63" t="inlineStr">
        <is>
          <t>Ca kiểm đo chính câu lệnh của mình (đặt bộ đếm = 3 rồi khẳng định nó khác rỗng, trong khi thực tế nó rỗng)</t>
        </is>
      </c>
      <c r="B66" s="63" t="inlineStr">
        <is>
          <t>M3-10 · DEV-342</t>
        </is>
      </c>
    </row>
    <row r="67">
      <c r="A67" s="63" t="inlineStr">
        <is>
          <t>Regex mà KẾ HOẠCH ghi sẵn từ chối oan 588/846 bản ghi thật; và ba ca kiểm xanh vì lý do sai (tệp giả dùng $4 thay $3; “FAILED” chứa “FAIL”)</t>
        </is>
      </c>
      <c r="B67" s="63" t="inlineStr">
        <is>
          <t>M3-12 · DEV-343</t>
        </is>
      </c>
    </row>
    <row r="68">
      <c r="A68" s="63" t="inlineStr">
        <is>
          <t>"Phá lại thì đỏ 6/6" sai về TẬP, không sai về số: sáu phép phá ấy chọn đúng sáu chỗ đã có ca canh. Phá bằng tập rộng hơn ra 7/9.</t>
        </is>
      </c>
      <c r="B68" s="63" t="inlineStr">
        <is>
          <t>M3-13 · DEV-344</t>
        </is>
      </c>
    </row>
    <row r="69">
      <c r="A69" s="63" t="inlineStr">
        <is>
          <t>409 'blocker' gần như toàn bộ từ một cặp vô nghĩa (mạng cổng của lõi CPU tổng hợp riêng, không bao giờ đem đặt-đi dây). Con số thật là 1.</t>
        </is>
      </c>
      <c r="B69" s="63" t="inlineStr">
        <is>
          <t>M3-18 · DEV-345</t>
        </is>
      </c>
    </row>
    <row r="70">
      <c r="A70" s="63" t="inlineStr">
        <is>
          <t>Phép quét tệp .cst thật chỉ thu 4 trong 7 tệp mà ca kiểm vẫn xanh — câu 'mọi tệp .cst thật đều đọc được' nói về phần phép quét chạm tới.</t>
        </is>
      </c>
      <c r="B70" s="63" t="inlineStr">
        <is>
          <t>M3-18 · DEV-345</t>
        </is>
      </c>
    </row>
    <row r="71">
      <c r="A71" s="63" t="inlineStr">
        <is>
          <t>Một ca kiểm và một phép phá nhắm hai NHÁNH khác nhau, nên ca mới xanh mà phép phá vẫn LỌT. Mất một lượt mới thấy.</t>
        </is>
      </c>
      <c r="B71" s="63" t="inlineStr">
        <is>
          <t>M3-18 · DEV-345</t>
        </is>
      </c>
    </row>
    <row r="72">
      <c r="A72" s="63" t="inlineStr">
        <is>
          <t>Ca kiểm xanh nhờ một DÒNG KHÁC: kiểm `"TỰ KHAI" in str(kh)` cả khối nên vẫn xanh khi phá chữ ấy ở dòng Kết luận — summary cũng chứa nó. Phép phá bắt được, ca kiểm thì không.</t>
        </is>
      </c>
      <c r="B72" s="63" t="inlineStr">
        <is>
          <t>M4-01 · DEV-346</t>
        </is>
      </c>
    </row>
    <row r="73">
      <c r="A73" s="63" t="inlineStr">
        <is>
          <t>Một phép phá VÔ HIỆU: `them = [] or [[…]]` không đổi hành vi, nên nó báo LỌT oan và suýt làm tôi viết ca kiểm cho một chỗ vốn đã được canh.</t>
        </is>
      </c>
      <c r="B73" s="63" t="inlineStr">
        <is>
          <t>M4-01 · DEV-346</t>
        </is>
      </c>
    </row>
    <row r="74">
      <c r="A74" s="63" t="inlineStr">
        <is>
          <t>HAI phép phá liền nhau VÔ HIỆU ở cùng một dòng: `cu = cu or ""` không đổi hành vi, rồi bỏ is_file() cũng không vì except OSError bắt FileNotFoundError. Phải bỏ cả hai lớp phòng mới phá được.</t>
        </is>
      </c>
      <c r="B74" s="63" t="inlineStr">
        <is>
          <t>M4-02 · DEV-347</t>
        </is>
      </c>
    </row>
    <row r="75">
      <c r="A75" s="63" t="inlineStr">
        <is>
          <t>Một luật mới trỏ tới nhóm dữ kiện chưa khai thì DỪNG CẢ LƯỢT bằng ValueError, không phải 'không nổ' — và nhóm `criteria` của hàng rào N6 cũ cũng chưa bao giờ được khai.</t>
        </is>
      </c>
      <c r="B75" s="63" t="inlineStr">
        <is>
          <t>M4-02 · DEV-347</t>
        </is>
      </c>
    </row>
    <row r="76">
      <c r="A76" s="63" t="inlineStr">
        <is>
          <t>Phép đo ĐỔ ngay lượt đầu trên dữ liệu thật (IndexError), và lỗi ấy nghĩa là test.sensitivity chưa bao giờ chạy nổi trên một tệp firmware thật — mọi con số cũ đều từ tệp nhỏ do ca kiểm tự dựng.</t>
        </is>
      </c>
      <c r="B76" s="63" t="inlineStr">
        <is>
          <t>M4-05 · DEV-348</t>
        </is>
      </c>
    </row>
    <row r="77">
      <c r="A77" s="63" t="inlineStr">
        <is>
          <t>Bốn chỗ LỌT cùng một hình dạng: luật ĐÚNG, nằm ở chỗ ca kiểm không với tới — hai closure, một bảng phép không dựng nổi ca, và một tầng báo lại mà mọi ca cũ đều đi qua với stillborn == 0.</t>
        </is>
      </c>
      <c r="B77" s="63" t="inlineStr">
        <is>
          <t>M4-05 · DEV-348</t>
        </is>
      </c>
    </row>
    <row r="78">
      <c r="A78" s="26" t="inlineStr">
        <is>
          <t>Tôi thêm MỘT cờ biên dịch để tránh một cáo buộc sai, và nó sinh ra MƯỜI MỘT cáo buộc sai khác: -I che header hệ thống, nên 11/12 tệp bị xếp là 'không dịch được trên máy chủ'. Phải là -iquote.</t>
        </is>
      </c>
      <c r="B78" s="26" t="inlineStr">
        <is>
          <t>M4-19 · DEV-349</t>
        </is>
      </c>
    </row>
    <row r="79">
      <c r="A79" s="26" t="inlineStr">
        <is>
          <t>Gắn cờ biên dịch cho cả LƯỢT MỐC là đổi chính cái mốc mà mọi so sánh dựa vào — mốc của cả ba dự án thật từ XANH thành ĐỎ.</t>
        </is>
      </c>
      <c r="B79" s="26" t="inlineStr">
        <is>
          <t>M4-19 · DEV-349</t>
        </is>
      </c>
    </row>
    <row r="80">
      <c r="A80" s="26" t="inlineStr">
        <is>
          <t>Phép đo mới TREO 10 phút trên tệp thật đầu tiên — không đổ, không báo gì, nên nó trông như một lượt chạy lâu. liet_ke dựng CẢ TỆP cho MỖI chỗ khớp: 57 600 chỗ × 720 KB ≈ 41 GB việc chuỗi.</t>
        </is>
      </c>
      <c r="B80" s="26" t="inlineStr">
        <is>
          <t>M4-04 · DEV-350</t>
        </is>
      </c>
    </row>
    <row r="81">
      <c r="A81" s="26" t="inlineStr">
        <is>
          <t>Ca kiểm chi phí của tôi KHÔNG bắt được bản chậm, vì tệp dựng dùng hằng hex TRẦN — _bo_che trả về ngay khi không có chỗ giữ. Chính CHÚ THÍCH mỗi dòng của tệp thật mới làm mỗi lượt bỏ che thành một lượt regex thật.</t>
        </is>
      </c>
      <c r="B81" s="26" t="inlineStr">
        <is>
          <t>M4-04 · DEV-350</t>
        </is>
      </c>
    </row>
    <row r="82">
      <c r="A82" s="26" t="inlineStr">
        <is>
          <t>Hook so MỐC THỜI GIAN thay vì số phiên bản: updated_at có độ phân giải thô nên hai lần ghi trong cùng một giây BẰNG NHAU, và phép so 'mới hơn' im lặng sai. Ca kiểm đầu tiên của chính hook ấy đỏ ngay.</t>
        </is>
      </c>
      <c r="B82" s="26" t="inlineStr">
        <is>
          <t>M4-06 · DEV-351</t>
        </is>
      </c>
    </row>
    <row r="83">
      <c r="A83" s="26" t="inlineStr">
        <is>
          <t>Tôi quên mở nhánh và commit thẳng lên main. Nội dung đúng, quy trình §3.1 thì không — đã dựng lại con trỏ toi-uu/M4-06 tại đúng commit.</t>
        </is>
      </c>
      <c r="B83" s="26" t="inlineStr">
        <is>
          <t>M4-06 · DEV-351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78" customWidth="1" style="27" min="1" max="1"/>
    <col width="66" customWidth="1" style="27" min="2" max="2"/>
    <col width="24" customWidth="1" style="27" min="3" max="3"/>
    <col width="8" customWidth="1" style="27" min="4" max="4"/>
    <col width="11" customWidth="1" style="27" min="5" max="5"/>
    <col width="16" customWidth="1" style="27" min="6" max="6"/>
    <col width="34" customWidth="1" style="27" min="7" max="7"/>
  </cols>
  <sheetData>
    <row r="1">
      <c r="A1" s="57" t="inlineStr">
        <is>
          <t>TIẾN ĐỘ ĐỢT TỐI ƯU TÁC TỬ — chốt khuya 09/10/2026</t>
        </is>
      </c>
    </row>
    <row r="2">
      <c r="A2" s="58" t="inlineStr">
        <is>
          <t>Mỗi dòng 'Xong' đều có: mục DEV-LOG tra lại được · số ca kiểm trước→sau · một con số đo trên dữ liệu thật · phần còn nợ. Cột chi tiết nằm ở sheet “Danh mục tối ưu”, cột T–Y.</t>
        </is>
      </c>
    </row>
    <row r="4">
      <c r="A4" s="59" t="inlineStr">
        <is>
          <t>Tổng quan</t>
        </is>
      </c>
      <c r="B4" s="59" t="inlineStr">
        <is>
          <t>Số việc</t>
        </is>
      </c>
      <c r="C4" s="59" t="inlineStr">
        <is>
          <t>Ghi chú</t>
        </is>
      </c>
    </row>
    <row r="5">
      <c r="A5" s="60" t="inlineStr">
        <is>
          <t>Xong (đã gộp vào main, đã đẩy)</t>
        </is>
      </c>
      <c r="B5" s="60" t="n">
        <v>23</v>
      </c>
      <c r="C5" s="61" t="inlineStr">
        <is>
          <t>23 việc đầu của Giai đoạn 1 — việc #22 và #23 mỗi cái còn MỘT tiêu chí chưa đạt</t>
        </is>
      </c>
    </row>
    <row r="6">
      <c r="A6" s="60" t="inlineStr">
        <is>
          <t>Đang làm (chưa commit)</t>
        </is>
      </c>
      <c r="B6" s="60" t="n">
        <v>0</v>
      </c>
      <c r="C6" s="61" t="inlineStr">
        <is>
          <t>không việc nào đang dở</t>
        </is>
      </c>
    </row>
    <row r="7">
      <c r="A7" s="60" t="inlineStr">
        <is>
          <t>Chưa làm</t>
        </is>
      </c>
      <c r="B7" s="60" t="n">
        <v>83</v>
      </c>
      <c r="C7" s="61" t="inlineStr">
        <is>
          <t>83 việc còn lại trong 106</t>
        </is>
      </c>
    </row>
    <row r="8">
      <c r="A8" s="62" t="inlineStr">
        <is>
          <t>TỔNG</t>
        </is>
      </c>
      <c r="B8" s="62" t="n">
        <v>106</v>
      </c>
      <c r="C8" s="61" t="n"/>
    </row>
    <row r="10">
      <c r="A10" s="59" t="inlineStr">
        <is>
          <t>Phép đo của cả đợt</t>
        </is>
      </c>
      <c r="B10" s="59" t="inlineStr">
        <is>
          <t>Trước (06/10)</t>
        </is>
      </c>
      <c r="C10" s="59" t="inlineStr">
        <is>
          <t>Sau (09/10 khuya)</t>
        </is>
      </c>
      <c r="D10" s="59" t="inlineStr">
        <is>
          <t>Ghi chú</t>
        </is>
      </c>
    </row>
    <row r="11">
      <c r="A11" s="63" t="inlineStr">
        <is>
          <t>Ca đơn vị Python (pytest -q)</t>
        </is>
      </c>
      <c r="B11" s="63" t="inlineStr">
        <is>
          <t>1 610</t>
        </is>
      </c>
      <c r="C11" s="63" t="inlineStr">
        <is>
          <t>1 896</t>
        </is>
      </c>
      <c r="D11" s="63" t="inlineStr">
        <is>
          <t>+286 ca so với 06/10; không ca cũ nào đỏ ở bất kỳ bước nào</t>
        </is>
      </c>
    </row>
    <row r="12">
      <c r="A12" s="63" t="inlineStr">
        <is>
          <t>Ca đơn vị giao diện (swift test)</t>
        </is>
      </c>
      <c r="B12" s="63" t="inlineStr">
        <is>
          <t>43</t>
        </is>
      </c>
      <c r="C12" s="63" t="inlineStr">
        <is>
          <t>43</t>
        </is>
      </c>
      <c r="D12" s="63" t="inlineStr">
        <is>
          <t>không nhiệm vụ nào đụng ui/ — kiểu khối A2.2 dùng “table”, Swift đã dựng được</t>
        </is>
      </c>
    </row>
    <row r="13">
      <c r="A13" s="63" t="inlineStr">
        <is>
          <t>kiem_tai_lieu.py</t>
        </is>
      </c>
      <c r="B13" s="63" t="inlineStr">
        <is>
          <t>0 chỗ lệch</t>
        </is>
      </c>
      <c r="C13" s="63" t="inlineStr">
        <is>
          <t>0 chỗ lệch</t>
        </is>
      </c>
      <c r="D13" s="63" t="inlineStr">
        <is>
          <t>0 chỗ LỆCH CHẮC CHẮN mọi lượt. M4-07 không thêm công cụ nào, nên số công cụ giữ 131 — nhưng nó SỬA chỗ đếm: kiem_tai_lieu bật mọi cờ theo Features.ten_co(), và danh sách ấy gõ tay nên cờ thứ 10 vô hình với nó</t>
        </is>
      </c>
    </row>
    <row r="14">
      <c r="A14" s="63" t="inlineStr">
        <is>
          <t>thu_sch.py (cờ schematic bật)</t>
        </is>
      </c>
      <c r="B14" s="63" t="inlineStr">
        <is>
          <t>63/63</t>
        </is>
      </c>
      <c r="C14" s="63" t="inlineStr">
        <is>
          <t>63/63</t>
        </is>
      </c>
      <c r="D14" s="63" t="inlineStr">
        <is>
          <t>chạy ở M3-03 và M3-04, không tụt</t>
        </is>
      </c>
    </row>
    <row r="15">
      <c r="A15" s="63" t="inlineStr">
        <is>
          <t>Mục DEV-LOG mới</t>
        </is>
      </c>
      <c r="B15" s="63" t="inlineStr">
        <is>
          <t>—</t>
        </is>
      </c>
      <c r="C15" s="63" t="inlineStr">
        <is>
          <t>DEV-330 → DEV-352</t>
        </is>
      </c>
      <c r="D15" s="63" t="inlineStr">
        <is>
          <t>23 mục, mỗi việc một mục</t>
        </is>
      </c>
    </row>
    <row r="16">
      <c r="A16" s="63" t="inlineStr">
        <is>
          <t>Cờ tính năng mới</t>
        </is>
      </c>
      <c r="B16" s="63" t="inlineStr">
        <is>
          <t>1 (schematic)</t>
        </is>
      </c>
      <c r="C16" s="63" t="inlineStr">
        <is>
          <t>10</t>
        </is>
      </c>
      <c r="D16" s="63" t="inlineStr">
        <is>
          <t>9 cờ mới, TẤT CẢ mặc định TẮT. Cờ thứ 10 là VERIFIER_GOI_BANG_CHUNG (M4-07) — verifier nhận gói bằng chứng do MÃ dựng từ sổ cái thay cho đề bài tác tử chính tự viết. Phần sửa Features.ten_co() lấy tên cờ từ dataclass thì KHÔNG sau cờ</t>
        </is>
      </c>
    </row>
    <row r="17">
      <c r="A17" s="63" t="inlineStr">
        <is>
          <t>Mã lỗi mới</t>
        </is>
      </c>
      <c r="B17" s="63" t="inlineStr">
        <is>
          <t>—</t>
        </is>
      </c>
      <c r="C17" s="63" t="inlineStr">
        <is>
          <t>E4031 · E4032 · E6012 · E4033 · E4024</t>
        </is>
      </c>
      <c r="D17" s="63" t="inlineStr">
        <is>
          <t>M4-04, M4-05 và M4-19 không thêm mã nào; M4-02 dùng lại E5006. E4033 (M3-18), E4024 (M4-01). M4-01 còn DÙNG LẠI E4008/E4009/E4023 của sim.run — cùng một chuyện thì cùng một mã. M4-07 không thêm mã lỗi nào — nó không dựng thêm cổng chặn, nó đổi ĐẦU VÀO của một tác tử con</t>
        </is>
      </c>
    </row>
    <row r="19">
      <c r="A19" s="59" t="inlineStr">
        <is>
          <t>#</t>
        </is>
      </c>
      <c r="B19" s="59" t="inlineStr">
        <is>
          <t>Mã</t>
        </is>
      </c>
      <c r="C19" s="59" t="inlineStr">
        <is>
          <t>Mảng</t>
        </is>
      </c>
      <c r="D19" s="59" t="inlineStr">
        <is>
          <t>Ưu tiên</t>
        </is>
      </c>
      <c r="E19" s="59" t="inlineStr">
        <is>
          <t>DEV-LOG</t>
        </is>
      </c>
      <c r="F19" s="59" t="inlineStr">
        <is>
          <t>Ca kiểm</t>
        </is>
      </c>
      <c r="G19" s="59" t="inlineStr">
        <is>
          <t>Cờ mặc định</t>
        </is>
      </c>
    </row>
    <row r="20">
      <c r="A20" s="63" t="n">
        <v>1</v>
      </c>
      <c r="B20" s="63" t="inlineStr">
        <is>
          <t>M1-01</t>
        </is>
      </c>
      <c r="C20" s="63" t="inlineStr">
        <is>
          <t>1. Lõi tác tử</t>
        </is>
      </c>
      <c r="D20" s="63" t="inlineStr">
        <is>
          <t>P0</t>
        </is>
      </c>
      <c r="E20" s="63" t="inlineStr">
        <is>
          <t>DEV-330</t>
        </is>
      </c>
      <c r="F20" s="63" t="inlineStr">
        <is>
          <t>105/309 phiên thật có lịch sử tự mâu thuẫn — 255 chỗ (156 kết quả thứ hai cùng id, 74 message chen giữa, 24 kết quả lạc lượt, 1 lời gọi không kết quả)</t>
        </is>
      </c>
      <c r="G20" s="63" t="inlineStr">
        <is>
          <t>không có cờ — sửa lỗi thuần</t>
        </is>
      </c>
    </row>
    <row r="21">
      <c r="A21" s="63" t="n">
        <v>2</v>
      </c>
      <c r="B21" s="63" t="inlineStr">
        <is>
          <t>M1-02</t>
        </is>
      </c>
      <c r="C21" s="63" t="inlineStr">
        <is>
          <t>1. Lõi tác tử</t>
        </is>
      </c>
      <c r="D21" s="63" t="inlineStr">
        <is>
          <t>P0</t>
        </is>
      </c>
      <c r="E21" s="63" t="inlineStr">
        <is>
          <t>DEV-331</t>
        </is>
      </c>
      <c r="F21" s="63" t="inlineStr">
        <is>
          <t>lược đồ công cụ thật: 25 869 token/lời gọi (trần tool_schema=4000 chưa dòng mã nào đọc). Cờ bật: 4 475 token, giảm 82,7 %; 73 → 18 công cụ</t>
        </is>
      </c>
      <c r="G21" s="63" t="inlineStr">
        <is>
          <t>GON_CONG_CU — TẮT</t>
        </is>
      </c>
    </row>
    <row r="22">
      <c r="A22" s="63" t="n">
        <v>3</v>
      </c>
      <c r="B22" s="63" t="inlineStr">
        <is>
          <t>M1-03</t>
        </is>
      </c>
      <c r="C22" s="63" t="inlineStr">
        <is>
          <t>1. Lõi tác tử</t>
        </is>
      </c>
      <c r="D22" s="63" t="inlineStr">
        <is>
          <t>P0</t>
        </is>
      </c>
      <c r="E22" s="63" t="inlineStr">
        <is>
          <t>DEV-332</t>
        </is>
      </c>
      <c r="F22" s="63" t="inlineStr">
        <is>
          <t>1 822 lời gọi của tác tử con trong 26 phiên thật, 0 lần qua lớp luật. Toàn công cụ đọc trừ một build.compile — lỗ hổng chưa bị bước vào, không phải được canh</t>
        </is>
      </c>
      <c r="G22" s="63" t="inlineStr">
        <is>
          <t>không có cờ — sửa lỗi thuần</t>
        </is>
      </c>
    </row>
    <row r="23">
      <c r="A23" s="63" t="n">
        <v>4</v>
      </c>
      <c r="B23" s="63" t="inlineStr">
        <is>
          <t>M2-01</t>
        </is>
      </c>
      <c r="C23" s="63" t="inlineStr">
        <is>
          <t>2. Phân tích &amp; thiết kế phần mềm</t>
        </is>
      </c>
      <c r="D23" s="63" t="inlineStr">
        <is>
          <t>P0</t>
        </is>
      </c>
      <c r="E23" s="63" t="inlineStr">
        <is>
          <t>DEV-333</t>
        </is>
      </c>
      <c r="F23" s="63" t="inlineStr">
        <is>
          <t>kịch bản 3 REQ + 3 phương án + 3 tiêu chí + 3 tệp: sửa MỘT REQ làm 9 hiện vật STALE → còn 3. Phép đo đầu ra 6→2 vì bị hàng rào E4020 chặn, đã sửa kịch bản đo</t>
        </is>
      </c>
      <c r="G23" s="63" t="inlineStr">
        <is>
          <t>TRUY_VET — TẮT (phần nền chạy cả khi tắt)</t>
        </is>
      </c>
    </row>
    <row r="24">
      <c r="A24" s="63" t="n">
        <v>5</v>
      </c>
      <c r="B24" s="63" t="inlineStr">
        <is>
          <t>M2-02</t>
        </is>
      </c>
      <c r="C24" s="63" t="inlineStr">
        <is>
          <t>2. Phân tích &amp; thiết kế phần mềm</t>
        </is>
      </c>
      <c r="D24" s="63" t="inlineStr">
        <is>
          <t>P0</t>
        </is>
      </c>
      <c r="E24" s="63" t="inlineStr">
        <is>
          <t>DEV-334</t>
        </is>
      </c>
      <c r="F24" s="63" t="inlineStr">
        <is>
          <t>63 kho thật: 5/37 REQ có ít nhất một phép đo; 27 chưa có phương án nào nhận; 0 REQ đi hết chuỗi. Cột 'Mã nguồn' trống ở MỌI dự án vì hien_thuc_req vừa mới tồn tại</t>
        </is>
      </c>
      <c r="G24" s="63" t="inlineStr">
        <is>
          <t>REQ_PHU — TẮT (khối A2.2 trên tab không phụ thuộc cờ)</t>
        </is>
      </c>
    </row>
    <row r="25">
      <c r="A25" s="63" t="n">
        <v>6</v>
      </c>
      <c r="B25" s="63" t="inlineStr">
        <is>
          <t>M2-03</t>
        </is>
      </c>
      <c r="C25" s="63" t="inlineStr">
        <is>
          <t>2. Phân tích &amp; thiết kế phần mềm</t>
        </is>
      </c>
      <c r="D25" s="63" t="inlineStr">
        <is>
          <t>P0</t>
        </is>
      </c>
      <c r="E25" s="63" t="inlineStr">
        <is>
          <t>DEV-335</t>
        </is>
      </c>
      <c r="F25" s="63" t="inlineStr">
        <is>
          <t>37 REQ thật: 25 sạch (67 %), 11 thiếu tiêu chí đo được, 2 có từ mơ hồ. Lần đo đầu ra 3 từ mơ hồ, một là kêu oan ('ít nhất 2 lần' là mức đo được) — đã vá</t>
        </is>
      </c>
      <c r="G25" s="63" t="inlineStr">
        <is>
          <t>REQ_CHAT_LUONG — TẮT (module yeu_cau.py luôn có)</t>
        </is>
      </c>
    </row>
    <row r="26">
      <c r="A26" s="63" t="n">
        <v>7</v>
      </c>
      <c r="B26" s="63" t="inlineStr">
        <is>
          <t>M2-06</t>
        </is>
      </c>
      <c r="C26" s="63" t="inlineStr">
        <is>
          <t>2. Phân tích &amp; thiết kế phần mềm</t>
        </is>
      </c>
      <c r="D26" s="63" t="inlineStr">
        <is>
          <t>P0</t>
        </is>
      </c>
      <c r="E26" s="63" t="inlineStr">
        <is>
          <t>DEV-336</t>
        </is>
      </c>
      <c r="F26" s="63" t="inlineStr">
        <is>
          <t>sổ cái thật: 26 lần đánh dấu 'xong' ngay sau một lần ghi mã, 19 lần (73 %) không có phép kiểm nào đạt ở giữa. Phép đo đầu ở mức dự án ra 0 — đúng nhưng đo sai câu hỏi</t>
        </is>
      </c>
      <c r="G26" s="63" t="inlineStr">
        <is>
          <t>KE_HOACH_CONG_KIEM — TẮT</t>
        </is>
      </c>
    </row>
    <row r="27">
      <c r="A27" s="63" t="n">
        <v>8</v>
      </c>
      <c r="B27" s="63" t="inlineStr">
        <is>
          <t>M2-08</t>
        </is>
      </c>
      <c r="C27" s="63" t="inlineStr">
        <is>
          <t>2. Phân tích &amp; thiết kế phần mềm</t>
        </is>
      </c>
      <c r="D27" s="63" t="inlineStr">
        <is>
          <t>P0</t>
        </is>
      </c>
      <c r="E27" s="63" t="inlineStr">
        <is>
          <t>DEV-337</t>
        </is>
      </c>
      <c r="F27" s="63" t="inlineStr">
        <is>
          <t>185 tệp .c thật: 1 758 → 1 786 hàm thấy được (+28 hàm trước đây VÔ HÌNH: 8 ngắt + 20 bị regex tham lam nuốt). 78 hàm nay gắn nhãn 'isr', 70 trong đó vốn đã có trong danh sách</t>
        </is>
      </c>
      <c r="G27" s="63" t="inlineStr">
        <is>
          <t>không có cờ — sửa lỗi thuần</t>
        </is>
      </c>
    </row>
    <row r="28">
      <c r="A28" s="63" t="n">
        <v>9</v>
      </c>
      <c r="B28" s="63" t="inlineStr">
        <is>
          <t>M3-01</t>
        </is>
      </c>
      <c r="C28" s="63" t="inlineStr">
        <is>
          <t>3. Mạch, ERC, HDL/FPGA</t>
        </is>
      </c>
      <c r="D28" s="63" t="inlineStr">
        <is>
          <t>P0</t>
        </is>
      </c>
      <c r="E28" s="63" t="inlineStr">
        <is>
          <t>DEV-338</t>
        </is>
      </c>
      <c r="F28" s="63" t="inlineStr">
        <is>
          <t>0 phát hiện trên 5 mô hình mạch thật — và lý do đáng hơn con số: 3 kho CÓ Fact v_max thì KHÔNG có mô hình mạch, 5 kho có mạch thì không có Fact ấy; thêm nữa Fact dùng chủ thể chip:X mà ERC không tra tiền tố đó</t>
        </is>
      </c>
      <c r="G28" s="63" t="inlineStr">
        <is>
          <t>không có cờ — sửa lỗi thuần</t>
        </is>
      </c>
    </row>
    <row r="29">
      <c r="A29" s="63" t="n">
        <v>10</v>
      </c>
      <c r="B29" s="63" t="inlineStr">
        <is>
          <t>M3-03</t>
        </is>
      </c>
      <c r="C29" s="63" t="inlineStr">
        <is>
          <t>3. Mạch, ERC, HDL/FPGA</t>
        </is>
      </c>
      <c r="D29" s="63" t="inlineStr">
        <is>
          <t>P0</t>
        </is>
      </c>
      <c r="E29" s="63" t="inlineStr">
        <is>
          <t>DEV-339</t>
        </is>
      </c>
      <c r="F29" s="63" t="inlineStr">
        <is>
          <t>8 phát hiện trên 5 mạch thật (6 nguon_khong_cap + 2 net_mot_chan), trong đó net clock I2C nối đúng một chân. SÁU trong tám là 'mô hình chưa khai' chứ không phải 'mạch sai'. robot-canbang: 107 Port lá, KHÔNG Port nào là power_out</t>
        </is>
      </c>
      <c r="G29" s="63" t="inlineStr">
        <is>
          <t>không có cờ — sửa lỗi thuần</t>
        </is>
      </c>
    </row>
    <row r="30">
      <c r="A30" s="63" t="n">
        <v>11</v>
      </c>
      <c r="B30" s="63" t="inlineStr">
        <is>
          <t>M3-04</t>
        </is>
      </c>
      <c r="C30" s="63" t="inlineStr">
        <is>
          <t>3. Mạch, ERC, HDL/FPGA</t>
        </is>
      </c>
      <c r="D30" s="63" t="inlineStr">
        <is>
          <t>P0</t>
        </is>
      </c>
      <c r="E30" s="63" t="inlineStr">
        <is>
          <t>DEV-340</t>
        </is>
      </c>
      <c r="F30" s="63"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G30" s="63" t="inlineStr">
        <is>
          <t>không có cờ — sửa lỗi thuần</t>
        </is>
      </c>
    </row>
    <row r="31">
      <c r="A31" s="63" t="n">
        <v>12</v>
      </c>
      <c r="B31" s="63" t="inlineStr">
        <is>
          <t>M3-07</t>
        </is>
      </c>
      <c r="C31" s="63" t="inlineStr">
        <is>
          <t>3. Mạch, ERC, HDL/FPGA</t>
        </is>
      </c>
      <c r="D31" s="63" t="inlineStr">
        <is>
          <t>P0</t>
        </is>
      </c>
      <c r="E31" s="63" t="inlineStr">
        <is>
          <t>DEV-341</t>
        </is>
      </c>
      <c r="F31" s="63" t="inlineStr">
        <is>
          <t>Fact tới được ERC: 5 → 17 (+12). Ba kho có Fact datasheet thì TOÀN BỘ mang chủ thể chip:, tức trước đó không một Fact nào tới được ERC. Độ phủ 5 mạch thật nay đọc được</t>
        </is>
      </c>
      <c r="G31" s="63" t="inlineStr">
        <is>
          <t>không có cờ — sửa lỗi thuần</t>
        </is>
      </c>
    </row>
    <row r="32">
      <c r="A32" s="63" t="n">
        <v>13</v>
      </c>
      <c r="B32" s="63" t="inlineStr">
        <is>
          <t>M3-10</t>
        </is>
      </c>
      <c r="C32" s="63" t="inlineStr">
        <is>
          <t>3. Mạch, ERC, HDL/FPGA</t>
        </is>
      </c>
      <c r="D32" s="63" t="inlineStr">
        <is>
          <t>P0</t>
        </is>
      </c>
      <c r="E32" s="63" t="inlineStr">
        <is>
          <t>DEV-342</t>
        </is>
      </c>
      <c r="F32" s="63" t="inlineStr">
        <is>
          <t>chi phí đo thật: mạch lớn nhất trong kho 187 nút → ERC 7,6 ms mỗi lần ghi. Trần 2000 nút, vượt thì NÓI RA chứ không im lặng bỏ qua</t>
        </is>
      </c>
      <c r="G32" s="63" t="inlineStr">
        <is>
          <t>ERC_TU_DONG — TẮT</t>
        </is>
      </c>
    </row>
    <row r="33">
      <c r="A33" s="63" t="n">
        <v>14</v>
      </c>
      <c r="B33" s="63" t="inlineStr">
        <is>
          <t>M3-12</t>
        </is>
      </c>
      <c r="C33" s="63" t="inlineStr">
        <is>
          <t>3. Mạch, ERC, HDL/FPGA</t>
        </is>
      </c>
      <c r="D33" s="63" t="inlineStr">
        <is>
          <t>P0</t>
        </is>
      </c>
      <c r="E33" s="63" t="inlineStr">
        <is>
          <t>DEV-343</t>
        </is>
      </c>
      <c r="F33" s="63" t="inlineStr">
        <is>
          <t>846 bản ghi mô phỏng thật: regex mà KẾ HOẠCH ghi sẵn từ chối oan 588/846 (testbench dự án in 'KET QUA: PASS' — nhãn đứng TRƯỚC từ khoá). Nới đúng một chỗ → 846/846 khớp, vẫn bắt đủ bốn ca PASS giả</t>
        </is>
      </c>
      <c r="G33" s="63" t="inlineStr">
        <is>
          <t>không có cờ — sửa lỗi thuần</t>
        </is>
      </c>
    </row>
    <row r="34">
      <c r="A34" s="64" t="n">
        <v>15</v>
      </c>
      <c r="B34" s="64" t="inlineStr">
        <is>
          <t>M3-13</t>
        </is>
      </c>
      <c r="C34" s="64" t="inlineStr">
        <is>
          <t>3. Mạch, ERC, HDL/FPGA</t>
        </is>
      </c>
      <c r="D34" s="64" t="inlineStr">
        <is>
          <t>P0</t>
        </is>
      </c>
      <c r="E34" s="64" t="inlineStr">
        <is>
          <t>DEV-344</t>
        </is>
      </c>
      <c r="F34" s="64" t="inlineStr">
        <is>
          <t>testbench Verilog THẬT của bài 3: tb_pcpi_dot4 1/1, tb_pcpi_mac 1/1, tb_pcpi_vmini không đo được (tb gọi bản bram HAI CỔNG đã bị bỏ 02/10) — mẫu số là TỆP, không phải phép phá</t>
        </is>
      </c>
      <c r="G34" s="64" t="inlineStr">
        <is>
          <t>không có cờ (công cụ mới core=False)</t>
        </is>
      </c>
    </row>
    <row r="35">
      <c r="A35" s="64" t="inlineStr">
        <is>
          <t>16</t>
        </is>
      </c>
      <c r="B35" s="64" t="inlineStr">
        <is>
          <t>M3-18</t>
        </is>
      </c>
      <c r="C35" s="64" t="inlineStr">
        <is>
          <t>3. Mạch, ERC, HDL/FPGA</t>
        </is>
      </c>
      <c r="D35" s="64" t="inlineStr">
        <is>
          <t>P0</t>
        </is>
      </c>
      <c r="E35" s="64" t="inlineStr">
        <is>
          <t>DEV-345</t>
        </is>
      </c>
      <c r="F35" s="64" t="inlineStr">
        <is>
          <t>6 cặp (mạng cổng, .cst) thật → 1 chỗ CHẶN: blinky của riscv-tn20k-b dựng bitstream 4,6 MB với chân đồng hồ do nextpnr tự chọn (rơi đúng chân 4 — bằng may). Cả 7 tệp .cst thật đọc hết, 0 lỗi cú pháp</t>
        </is>
      </c>
      <c r="G35" s="64" t="inlineStr">
        <is>
          <t>không có cờ (công cụ mới core=False)</t>
        </is>
      </c>
    </row>
    <row r="36">
      <c r="A36" s="64" t="inlineStr">
        <is>
          <t>17</t>
        </is>
      </c>
      <c r="B36" s="64" t="inlineStr">
        <is>
          <t>M4-01</t>
        </is>
      </c>
      <c r="C36" s="64" t="inlineStr">
        <is>
          <t>4. Kiểm thử &amp; chất lượng</t>
        </is>
      </c>
      <c r="D36" s="64" t="inlineStr">
        <is>
          <t>P0</t>
        </is>
      </c>
      <c r="E36" s="64" t="inlineStr">
        <is>
          <t>DEV-346</t>
        </is>
      </c>
      <c r="F36" s="64" t="inlineStr">
        <is>
          <t>18 ca chạy trình biên dịch C thật: tệp test in số đo {"T1":300} với ngưỡng &lt;=255 → EIDE phán 1 ca HỎNG. Chưa kho cũ nào có tiêu chí unit test để đo lại trên dữ liệu thật</t>
        </is>
      </c>
      <c r="G36" s="64" t="inlineStr">
        <is>
          <t>không có cờ (công cụ mới core=False)</t>
        </is>
      </c>
    </row>
    <row r="37">
      <c r="A37" s="64" t="inlineStr">
        <is>
          <t>18</t>
        </is>
      </c>
      <c r="B37" s="64" t="inlineStr">
        <is>
          <t>M4-02</t>
        </is>
      </c>
      <c r="C37" s="64" t="inlineStr">
        <is>
          <t>4. Kiểm thử &amp; chất lượng</t>
        </is>
      </c>
      <c r="D37" s="64" t="inlineStr">
        <is>
          <t>P0</t>
        </is>
      </c>
      <c r="E37" s="64" t="inlineStr">
        <is>
          <t>DEV-347</t>
        </is>
      </c>
      <c r="F37" s="64" t="inlineStr">
        <is>
          <t>25 ca dựng đúng trạng thái thật (tệp test 3 ca, 1 ca đỏ, hiện vật dat=False) → fs.write còn 1 ca thì test.weakened=True. Và hàng rào cũ criteria.has_result chưa bao giờ nổ ngoài sim-01</t>
        </is>
      </c>
      <c r="G37" s="64" t="inlineStr">
        <is>
          <t>SIM_RUNNER_GIOI_HAN — TẮT</t>
        </is>
      </c>
    </row>
    <row r="38">
      <c r="A38" s="64" t="inlineStr">
        <is>
          <t>19</t>
        </is>
      </c>
      <c r="B38" s="64" t="inlineStr">
        <is>
          <t>M4-05</t>
        </is>
      </c>
      <c r="C38" s="64" t="inlineStr">
        <is>
          <t>4. Kiểm thử &amp; chất lượng</t>
        </is>
      </c>
      <c r="D38" s="64" t="inlineStr">
        <is>
          <t>P1</t>
        </is>
      </c>
      <c r="E38" s="64" t="inlineStr">
        <is>
          <t>DEV-348</t>
        </is>
      </c>
      <c r="F38" s="64" t="inlineStr">
        <is>
          <t>du-lieu/rtos-sinhvien, chạy CẢ HAI hành vi: cũ so_thay=1, mới so_thay=0 — logo_ptit.c từ 'bộ kiểm ĐỎ' thành 'mọi đột biến đều làm hỏng biên dịch'. Một ô xanh giả, đã sửa</t>
        </is>
      </c>
      <c r="G38" s="64" t="inlineStr">
        <is>
          <t>không có cờ — sửa lỗi thuần</t>
        </is>
      </c>
    </row>
    <row r="39">
      <c r="A39" s="64" t="inlineStr">
        <is>
          <t>20</t>
        </is>
      </c>
      <c r="B39" s="64" t="inlineStr">
        <is>
          <t>M4-19</t>
        </is>
      </c>
      <c r="C39" s="64" t="inlineStr">
        <is>
          <t>4. Kiểm thử &amp; chất lượng</t>
        </is>
      </c>
      <c r="D39" s="64" t="inlineStr">
        <is>
          <t>P2</t>
        </is>
      </c>
      <c r="E39" s="64" t="inlineStr">
        <is>
          <t>DEV-349</t>
        </is>
      </c>
      <c r="F39" s="64" t="inlineStr">
        <is>
          <t>chạy TẠI CHỖ trên ba dự án firmware thật: kết luận giống hệt lượt đột biến tại chỗ của M4-05, và 50/50 tệp giữ nguyên cả sha256 lẫn mtime</t>
        </is>
      </c>
      <c r="G39" s="64" t="inlineStr">
        <is>
          <t>không có cờ — sửa lỗi thuần</t>
        </is>
      </c>
    </row>
    <row r="40">
      <c r="A40" s="64" t="inlineStr">
        <is>
          <t>21</t>
        </is>
      </c>
      <c r="B40" s="64" t="inlineStr">
        <is>
          <t>M4-04</t>
        </is>
      </c>
      <c r="C40" s="64" t="inlineStr">
        <is>
          <t>4. Kiểm thử &amp; chất lượng</t>
        </is>
      </c>
      <c r="D40" s="64" t="inlineStr">
        <is>
          <t>P1</t>
        </is>
      </c>
      <c r="E40" s="64" t="inlineStr">
        <is>
          <t>DEV-350</t>
        </is>
      </c>
      <c r="F40" s="64" t="inlineStr">
        <is>
          <t>TÁI HIỆN được ca DANH-GIA §2.2 bằng máy trên control_rtos.c thật: bảng cũ 0 đột biến cho hằng hex, bảng mới dòng 147 → mutant SỐNG. Và chi_tiet trên 12 tệp thật: 110 s, điểm 0,0</t>
        </is>
      </c>
      <c r="G40" s="64" t="inlineStr">
        <is>
          <t>không có cờ (tham số mới, mặc định giữ hành vi cũ)</t>
        </is>
      </c>
    </row>
    <row r="41">
      <c r="A41" s="64" t="inlineStr">
        <is>
          <t>22</t>
        </is>
      </c>
      <c r="B41" s="64" t="inlineStr">
        <is>
          <t>M4-06</t>
        </is>
      </c>
      <c r="C41" s="64" t="inlineStr">
        <is>
          <t>4. Kiểm thử &amp; chất lượng</t>
        </is>
      </c>
      <c r="D41" s="64" t="inlineStr">
        <is>
          <t>P0</t>
        </is>
      </c>
      <c r="E41" s="64" t="inlineStr">
        <is>
          <t>DEV-351</t>
        </is>
      </c>
      <c r="F41" s="64" t="inlineStr">
        <is>
          <t>đo TRƯỚC trên logo_ptit.c thật: điểm 0,0 · 30 mutant · 20 sống. Phần SAU chưa đo — cần lời gọi mô hình (§3.0 bắt hỏi trước), và dự án mẫu không có chỗ để đo</t>
        </is>
      </c>
      <c r="G41" s="64" t="inlineStr">
        <is>
          <t>TEST_HARDEN — TẮT</t>
        </is>
      </c>
    </row>
    <row r="42">
      <c r="A42" s="64" t="inlineStr">
        <is>
          <t>23</t>
        </is>
      </c>
      <c r="B42" s="64" t="inlineStr">
        <is>
          <t>M4-07</t>
        </is>
      </c>
      <c r="C42" s="64" t="inlineStr">
        <is>
          <t>4. Kiểm thử &amp; chất lượng</t>
        </is>
      </c>
      <c r="D42" s="64" t="inlineStr">
        <is>
          <t>P0</t>
        </is>
      </c>
      <c r="E42" s="64" t="inlineStr">
        <is>
          <t>DEV-352</t>
        </is>
      </c>
      <c r="F42" s="64" t="inlineStr">
        <is>
          <t>sổ cái 42 dự án: 327 lời gọi task.run có việc, 323 là verifier · 209/323 đề bài dài hơn trần 300 ký tự · gói bằng chứng dựng được CÓ NỘI DUNG trên 29/42 dự án, 0 lần đổ · loc_claim bỏ 95/1 706 câu (năm dấu hiệu kế hoạch chỉ bỏ được 11)</t>
        </is>
      </c>
      <c r="G42" s="64" t="inlineStr">
        <is>
          <t>VERIFIER_GOI_BANG_CHUNG — TẮT</t>
        </is>
      </c>
    </row>
    <row r="43">
      <c r="A43" s="59" t="inlineStr">
        <is>
          <t>Việc còn MỞ (ngoài 84 việc chưa làm)</t>
        </is>
      </c>
      <c r="B43" s="59" t="inlineStr">
        <is>
          <t>Vì sao còn mở</t>
        </is>
      </c>
    </row>
    <row r="44">
      <c r="A44" s="63" t="inlineStr">
        <is>
          <t>Bảy cờ mới đều còn TẮT</t>
        </is>
      </c>
      <c r="B44" s="63" t="inlineStr">
        <is>
          <t>GON_CONG_CU · TRUY_VET · REQ_PHU · REQ_CHAT_LUONG · KE_HOACH_CONG_KIEM · ERC_TU_DONG · SIM_RUNNER_GIOI_HAN. Cả bảy đổi thứ Agent nhìn thấy, đọc, hoặc LÀM ĐƯỢC mỗi lượt, nên chỉ bộ 76 ca chạy hai chế độ mới nói được chúng làm Agent khá hơn hay tệ hơn. Bộ ấy tốn tiền mô hình nên §3.0 bắt hỏi người dùng trước.</t>
        </is>
      </c>
    </row>
    <row r="45">
      <c r="A45" s="63" t="inlineStr">
        <is>
          <t>kiem_cap_goi_tra() chưa thành hàng rào</t>
        </is>
      </c>
      <c r="B45" s="63" t="inlineStr">
        <is>
          <t>Soát được mọi phiên đã lưu, nhưng chưa hook nào gọi nó tự động — bắt được chuyện cũ, chưa chặn được chuyện mới.</t>
        </is>
      </c>
    </row>
    <row r="46">
      <c r="A46" s="63" t="inlineStr">
        <is>
          <t>Luật ERC quá áp chưa nổ trên dữ liệu thật</t>
        </is>
      </c>
      <c r="B46" s="63" t="inlineStr">
        <is>
          <t>Đường dẫn đã thông ở M3-07, nhưng ba kho có Fact điện áp thì không có mô hình mạch, và ngược lại. Phải chờ một dự án có cả hai.</t>
        </is>
      </c>
    </row>
    <row r="47">
      <c r="A47" s="63" t="inlineStr">
        <is>
          <t>Cột “Mã nguồn” của ma trận truy vết trống ở mọi dự án</t>
        </is>
      </c>
      <c r="B47" s="63" t="inlineStr">
        <is>
          <t>Nó đọc hien_thuc_req — trường vừa mới tồn tại, chưa tệp nào trên đĩa từng khai. Nên “chưa hiện thực” ở đó nghĩa là “chưa ai KHAI”, không phải “chưa ai viết”.</t>
        </is>
      </c>
    </row>
    <row r="48">
      <c r="A48" s="63" t="inlineStr">
        <is>
          <t>Lỗi _go_dau trong src/eide/tools/design.py</t>
        </is>
      </c>
      <c r="B48" s="63" t="inlineStr">
        <is>
          <t>Viết .replace('d','d') nên 'ổn định' và 'ON DINH' không khớp nhau. Hàm ấy đang dùng cho một phép kiểm an toàn (người có thật sự chọn không). Tìm thấy ở M2-03, CHƯA sửa vì ngoài phạm vi — cần bộ ca kiểm riêng.</t>
        </is>
      </c>
    </row>
    <row r="49">
      <c r="A49" s="63" t="inlineStr">
        <is>
          <t>subagent req-critic (bước 4 của M2-03)</t>
        </is>
      </c>
      <c r="B49" s="63" t="inlineStr">
        <is>
          <t>Kế hoạch ghi “tuỳ chọn, gộp M2-13”. Chưa làm, đúng theo kế hoạch.</t>
        </is>
      </c>
    </row>
    <row r="50">
      <c r="A50" s="63" t="inlineStr">
        <is>
          <t>Hai luật kiểm chân FPGA chưa có dữ liệu để nổ</t>
        </is>
      </c>
      <c r="B50" s="63" t="inlineStr">
        <is>
          <t>chan_lech_kit và io_type_lech_bank cần Fact chân kit. Không kho nào trong repo có Fact pin:tangnano20k.* hay khoá vccio — nên hôm nay chỉ 3 trong 5 luật của M3-18 kết luận được gì trên dữ liệu thật. Cùng hình dạng với luật ERC quá áp.</t>
        </is>
      </c>
    </row>
    <row r="51">
      <c r="A51" s="63" t="inlineStr">
        <is>
          <t>Một bitstream cũ đã dựng với chân đồng hồ tự chọn</t>
        </is>
      </c>
      <c r="B51" s="63" t="inlineStr">
        <is>
          <t>blinky của du-lieu/riscv-tn20k-b — xem DEV-345 và README §8. Không sửa hiện vật cũ: đó là dữ liệu của những lượt đo đã chốt. Từ nay phép kiểm chặn trước nextpnr.</t>
        </is>
      </c>
    </row>
    <row r="52">
      <c r="A52" s="63" t="inlineStr">
        <is>
          <t>Ba công cụ mới nhất chưa lượt Agent nào GỌI</t>
        </is>
      </c>
      <c r="B52" s="63" t="inlineStr">
        <is>
          <t>hdl.sensitivity · hdl.constraints_check · test.criteria. Mã của cả ba đã chạy trên hiện vật thật, nhưng đó là tôi gọi hàm, không phải tác tử gọi công cụ. README §8 đếm cả ba vào phần chưa dùng thật.</t>
        </is>
      </c>
    </row>
    <row r="53">
      <c r="A53" s="63" t="inlineStr">
        <is>
          <t>Bộ kiểm C của ba dự án firmware thật đều KHÔNG đo được độ nhạy</t>
        </is>
      </c>
      <c r="B53" s="63" t="inlineStr">
        <is>
          <t>rtos-sinhvien: 0/12 tệp đo được (4 font khong_thay, control_rtos.c trùng ký hiệu, main.c không dịch trên máy chủ, logo_ptit.c mọi mutant hỏng biên dịch). stm32f469-freertos và thu-nghiem-g6: bộ kiểm ĐỎ SẴN. Đây là trạng thái của dữ liệu đo, không phải lỗi sản phẩm — nhưng nó nghĩa là chưa dự án firmware nào trong repo có một con số độ nhạy đáng tin. Xem DEV-348.</t>
        </is>
      </c>
    </row>
    <row r="54">
      <c r="A54" s="63" t="inlineStr">
        <is>
          <t>POL-N6-sua-test chưa nổ trên một phiên thật nào</t>
        </is>
      </c>
      <c r="B54" s="63" t="inlineStr">
        <is>
          <t>Hook sua_test_sau_do cấp dữ kiện cho lời gọi SẮP xảy ra, nên không soát lại được phiên đã lưu — khác mọi phép đo trước của đợt này. Nó đã có 25 ca kiểm và phá lại 27/27, nhưng chưa lượt tác tử thật nào chạm vào nó. Cùng hình dạng với ba luật kiểm thiếu dữ liệu ở trên, chỉ khác lý do.</t>
        </is>
      </c>
    </row>
    <row r="55">
      <c r="A55" s="63" t="inlineStr">
        <is>
          <t>Tiêu chí 'mutation score tăng sau harden' của M4-06 chưa đo</t>
        </is>
      </c>
      <c r="B55" s="63" t="inlineStr">
        <is>
          <t>Cần LỜI GỌI MÔ HÌNH, và §3.0 bắt hỏi anh Công trước. Đo 'trước' đã có (điểm 0,0 trên logo_ptit.c). Và dự án mẫu không có chỗ để đo: control_rtos.c là khong_nap_duoc, sáu tệp còn lại là bitmap. Cờ TEST_HARDEN giữ TẮT.</t>
        </is>
      </c>
    </row>
    <row r="56">
      <c r="A56" s="63" t="inlineStr">
        <is>
          <t>Một dự án chỉ dùng được MỘT tệp test</t>
        </is>
      </c>
      <c r="B56" s="63" t="inlineStr">
        <is>
          <t>chay_test dịch MỌI tệp trong test/ cùng nhau, nên tệp thứ hai có main() là trùng ký hiệu. Kiểm trên dữ liệu thật: cả bốn dự án có test/ đều đúng một tệp. M4-06 lách bằng cách thêm ca vào tệp đang có — nhưng ràng buộc ấy vẫn còn, và nó giới hạn cách tổ chức bộ kiểm của mọi dự án.</t>
        </is>
      </c>
    </row>
    <row r="57">
      <c r="A57" s="63" t="inlineStr">
        <is>
          <t>Gói bằng chứng chưa lần nào tới một MÔ HÌNH thật</t>
        </is>
      </c>
      <c r="B57" s="63" t="inlineStr">
        <is>
          <t>Nó dựng được trên 29/42 dự án và đọc rất rõ với người, nhưng 'verifier đọc gói này có bác đúng hơn không' là câu hỏi về HÀNH VI MÔ HÌNH, và nó chưa được đo. Tiêu chí xong của M4-07 đòi bộ ca gài lỗi M4-22 — mà M4-22 nằm ở nhiệm vụ SAU trong kế hoạch. Cờ VERIFIER_GOI_BANG_CHUNG giữ TẮT.</t>
        </is>
      </c>
    </row>
    <row r="58">
      <c r="A58" s="63" t="inlineStr">
        <is>
          <t>loc_claim là một phép lọc văn xuôi, và nó leaky CÓ SỐ ĐO</t>
        </is>
      </c>
      <c r="B58" s="63" t="inlineStr">
        <is>
          <t>95 trong 1 706 câu của 323 đề bài thật. Một câu lập luận không mang chữ nào trong sáu dấu hiệu vẫn đi qua. Đừng nhầm nó với hàng rào — hàng rào là gói bằng chứng do MÃ dựng, thứ tác tử chính không soạn được.</t>
        </is>
      </c>
    </row>
    <row r="59">
      <c r="A59" s="59" t="inlineStr">
        <is>
          <t>Lỗi tìm thấy trong CHÍNH PHÉP ĐO của tôi</t>
        </is>
      </c>
      <c r="B59" s="59" t="inlineStr">
        <is>
          <t>Lộ ra ở đâu</t>
        </is>
      </c>
    </row>
    <row r="60">
      <c r="A60" s="63" t="inlineStr">
        <is>
          <t>Kịch bản đo bị hàng rào của sản phẩm chặn (ghi tệp chưa đọc, E4020) và trả về một con số hợp lý thay vì nổ — 6→2 trông đẹp y như 9→3 đúng</t>
        </is>
      </c>
      <c r="B60" s="63" t="inlineStr">
        <is>
          <t>M2-01 · DEV-333</t>
        </is>
      </c>
    </row>
    <row r="61">
      <c r="A61" s="63" t="inlineStr">
        <is>
          <t>Ca kiểm dựng trên điều tôi tự nhớ sai: “thiết” bỏ dấu KHÔNG chứa “it”; chỗ va thật là bit/unit/init/exit</t>
        </is>
      </c>
      <c r="B61" s="63" t="inlineStr">
        <is>
          <t>M2-03 · DEV-335</t>
        </is>
      </c>
    </row>
    <row r="62">
      <c r="A62" s="63" t="inlineStr">
        <is>
          <t>Phép phá dài ĐÚNG BẰNG mã gốc (0.6 → 0.0) nên __pycache__ cũ còn hiệu lực — phép đo chạy mã khác với mã trong tệp</t>
        </is>
      </c>
      <c r="B62" s="63" t="inlineStr">
        <is>
          <t>M2-03 · DEV-335</t>
        </is>
      </c>
    </row>
    <row r="63">
      <c r="A63" s="63" t="inlineStr">
        <is>
          <t>Phép đo trả lời ĐÚNG một câu hỏi KHÁC: đếm ở mức dự án ra 0 chỗ cần chặn; câu phải hỏi là “lần ghi NÀY đã được kiểm chưa” → 19/26</t>
        </is>
      </c>
      <c r="B63" s="63" t="inlineStr">
        <is>
          <t>M2-06 · DEV-336</t>
        </is>
      </c>
    </row>
    <row r="64">
      <c r="A64" s="63" t="inlineStr">
        <is>
          <t>Ca kiểm RỖNG: dàn dựng không có net đất nào, nên nó xanh cả khi tôi bỏ hẳn phép bỏ qua net đất</t>
        </is>
      </c>
      <c r="B64" s="63" t="inlineStr">
        <is>
          <t>M3-01 · DEV-338</t>
        </is>
      </c>
    </row>
    <row r="65">
      <c r="A65" s="63" t="inlineStr">
        <is>
          <t>Hai phép phá chỉ ra THIẾT KẾ sai, không chỉ ca kiểm yếu (miễn net đất quá rộng; nhánh iout_max chưa ca nào chạm tới)</t>
        </is>
      </c>
      <c r="B65" s="63" t="inlineStr">
        <is>
          <t>M3-03 · DEV-339</t>
        </is>
      </c>
    </row>
    <row r="66">
      <c r="A66" s="63" t="inlineStr">
        <is>
          <t>Phép phá của tôi cũng SAI, và ca âm xanh vì lý do khác — hai cái sai che nhau</t>
        </is>
      </c>
      <c r="B66" s="63" t="inlineStr">
        <is>
          <t>M3-07 · DEV-341</t>
        </is>
      </c>
    </row>
    <row r="67">
      <c r="A67" s="63" t="inlineStr">
        <is>
          <t>Ca kiểm đo chính câu lệnh của mình (đặt bộ đếm = 3 rồi khẳng định nó khác rỗng, trong khi thực tế nó rỗng)</t>
        </is>
      </c>
      <c r="B67" s="63" t="inlineStr">
        <is>
          <t>M3-10 · DEV-342</t>
        </is>
      </c>
    </row>
    <row r="68">
      <c r="A68" s="63" t="inlineStr">
        <is>
          <t>Regex mà KẾ HOẠCH ghi sẵn từ chối oan 588/846 bản ghi thật; và ba ca kiểm xanh vì lý do sai (tệp giả dùng $4 thay $3; “FAILED” chứa “FAIL”)</t>
        </is>
      </c>
      <c r="B68" s="63" t="inlineStr">
        <is>
          <t>M3-12 · DEV-343</t>
        </is>
      </c>
    </row>
    <row r="69">
      <c r="A69" s="63" t="inlineStr">
        <is>
          <t>"Phá lại thì đỏ 6/6" sai về TẬP, không sai về số: sáu phép phá ấy chọn đúng sáu chỗ đã có ca canh. Phá bằng tập rộng hơn ra 7/9.</t>
        </is>
      </c>
      <c r="B69" s="63" t="inlineStr">
        <is>
          <t>M3-13 · DEV-344</t>
        </is>
      </c>
    </row>
    <row r="70">
      <c r="A70" s="63" t="inlineStr">
        <is>
          <t>409 'blocker' gần như toàn bộ từ một cặp vô nghĩa (mạng cổng của lõi CPU tổng hợp riêng, không bao giờ đem đặt-đi dây). Con số thật là 1.</t>
        </is>
      </c>
      <c r="B70" s="63" t="inlineStr">
        <is>
          <t>M3-18 · DEV-345</t>
        </is>
      </c>
    </row>
    <row r="71">
      <c r="A71" s="63" t="inlineStr">
        <is>
          <t>Phép quét tệp .cst thật chỉ thu 4 trong 7 tệp mà ca kiểm vẫn xanh — câu 'mọi tệp .cst thật đều đọc được' nói về phần phép quét chạm tới.</t>
        </is>
      </c>
      <c r="B71" s="63" t="inlineStr">
        <is>
          <t>M3-18 · DEV-345</t>
        </is>
      </c>
    </row>
    <row r="72">
      <c r="A72" s="63" t="inlineStr">
        <is>
          <t>Một ca kiểm và một phép phá nhắm hai NHÁNH khác nhau, nên ca mới xanh mà phép phá vẫn LỌT. Mất một lượt mới thấy.</t>
        </is>
      </c>
      <c r="B72" s="63" t="inlineStr">
        <is>
          <t>M3-18 · DEV-345</t>
        </is>
      </c>
    </row>
    <row r="73">
      <c r="A73" s="63" t="inlineStr">
        <is>
          <t>Ca kiểm xanh nhờ một DÒNG KHÁC: kiểm `"TỰ KHAI" in str(kh)` cả khối nên vẫn xanh khi phá chữ ấy ở dòng Kết luận — summary cũng chứa nó. Phép phá bắt được, ca kiểm thì không.</t>
        </is>
      </c>
      <c r="B73" s="63" t="inlineStr">
        <is>
          <t>M4-01 · DEV-346</t>
        </is>
      </c>
    </row>
    <row r="74">
      <c r="A74" s="63" t="inlineStr">
        <is>
          <t>Một phép phá VÔ HIỆU: `them = [] or [[…]]` không đổi hành vi, nên nó báo LỌT oan và suýt làm tôi viết ca kiểm cho một chỗ vốn đã được canh.</t>
        </is>
      </c>
      <c r="B74" s="63" t="inlineStr">
        <is>
          <t>M4-01 · DEV-346</t>
        </is>
      </c>
    </row>
    <row r="75">
      <c r="A75" s="63" t="inlineStr">
        <is>
          <t>HAI phép phá liền nhau VÔ HIỆU ở cùng một dòng: `cu = cu or ""` không đổi hành vi, rồi bỏ is_file() cũng không vì except OSError bắt FileNotFoundError. Phải bỏ cả hai lớp phòng mới phá được.</t>
        </is>
      </c>
      <c r="B75" s="63" t="inlineStr">
        <is>
          <t>M4-02 · DEV-347</t>
        </is>
      </c>
    </row>
    <row r="76">
      <c r="A76" s="63" t="inlineStr">
        <is>
          <t>Một luật mới trỏ tới nhóm dữ kiện chưa khai thì DỪNG CẢ LƯỢT bằng ValueError, không phải 'không nổ' — và nhóm `criteria` của hàng rào N6 cũ cũng chưa bao giờ được khai.</t>
        </is>
      </c>
      <c r="B76" s="63" t="inlineStr">
        <is>
          <t>M4-02 · DEV-347</t>
        </is>
      </c>
    </row>
    <row r="77">
      <c r="A77" s="63" t="inlineStr">
        <is>
          <t>Phép đo ĐỔ ngay lượt đầu trên dữ liệu thật (IndexError), và lỗi ấy nghĩa là test.sensitivity chưa bao giờ chạy nổi trên một tệp firmware thật — mọi con số cũ đều từ tệp nhỏ do ca kiểm tự dựng.</t>
        </is>
      </c>
      <c r="B77" s="63" t="inlineStr">
        <is>
          <t>M4-05 · DEV-348</t>
        </is>
      </c>
    </row>
    <row r="78">
      <c r="A78" s="63" t="inlineStr">
        <is>
          <t>Bốn chỗ LỌT cùng một hình dạng: luật ĐÚNG, nằm ở chỗ ca kiểm không với tới — hai closure, một bảng phép không dựng nổi ca, và một tầng báo lại mà mọi ca cũ đều đi qua với stillborn == 0.</t>
        </is>
      </c>
      <c r="B78" s="63" t="inlineStr">
        <is>
          <t>M4-05 · DEV-348</t>
        </is>
      </c>
    </row>
    <row r="79">
      <c r="A79" s="26" t="inlineStr">
        <is>
          <t>Tôi thêm MỘT cờ biên dịch để tránh một cáo buộc sai, và nó sinh ra MƯỜI MỘT cáo buộc sai khác: -I che header hệ thống, nên 11/12 tệp bị xếp là 'không dịch được trên máy chủ'. Phải là -iquote.</t>
        </is>
      </c>
      <c r="B79" s="26" t="inlineStr">
        <is>
          <t>M4-19 · DEV-349</t>
        </is>
      </c>
    </row>
    <row r="80">
      <c r="A80" s="26" t="inlineStr">
        <is>
          <t>Gắn cờ biên dịch cho cả LƯỢT MỐC là đổi chính cái mốc mà mọi so sánh dựa vào — mốc của cả ba dự án thật từ XANH thành ĐỎ.</t>
        </is>
      </c>
      <c r="B80" s="26" t="inlineStr">
        <is>
          <t>M4-19 · DEV-349</t>
        </is>
      </c>
    </row>
    <row r="81">
      <c r="A81" s="26" t="inlineStr">
        <is>
          <t>Phép đo mới TREO 10 phút trên tệp thật đầu tiên — không đổ, không báo gì, nên nó trông như một lượt chạy lâu. liet_ke dựng CẢ TỆP cho MỖI chỗ khớp: 57 600 chỗ × 720 KB ≈ 41 GB việc chuỗi.</t>
        </is>
      </c>
      <c r="B81" s="26" t="inlineStr">
        <is>
          <t>M4-04 · DEV-350</t>
        </is>
      </c>
    </row>
    <row r="82">
      <c r="A82" s="26" t="inlineStr">
        <is>
          <t>Ca kiểm chi phí của tôi KHÔNG bắt được bản chậm, vì tệp dựng dùng hằng hex TRẦN — _bo_che trả về ngay khi không có chỗ giữ. Chính CHÚ THÍCH mỗi dòng của tệp thật mới làm mỗi lượt bỏ che thành một lượt regex thật.</t>
        </is>
      </c>
      <c r="B82" s="26" t="inlineStr">
        <is>
          <t>M4-04 · DEV-350</t>
        </is>
      </c>
    </row>
    <row r="83">
      <c r="A83" s="26" t="inlineStr">
        <is>
          <t>Hook so MỐC THỜI GIAN thay vì số phiên bản: updated_at có độ phân giải thô nên hai lần ghi trong cùng một giây BẰNG NHAU, và phép so 'mới hơn' im lặng sai. Ca kiểm đầu tiên của chính hook ấy đỏ ngay.</t>
        </is>
      </c>
      <c r="B83" s="26" t="inlineStr">
        <is>
          <t>M4-06 · DEV-351</t>
        </is>
      </c>
    </row>
    <row r="84">
      <c r="A84" s="26" t="inlineStr">
        <is>
          <t>Tôi quên mở nhánh và commit thẳng lên main. Nội dung đúng, quy trình §3.1 thì không — đã dựng lại con trỏ toi-uu/M4-06 tại đúng commit.</t>
        </is>
      </c>
      <c r="B84" s="26" t="inlineStr">
        <is>
          <t>M4-06 · DEV-351</t>
        </is>
      </c>
    </row>
    <row r="85">
      <c r="A85" s="26" t="inlineStr">
        <is>
          <t>Năm dấu hiệu mà KẾ HOẠCH nêu cho loc_claim chỉ bỏ được 11 trong 1 706 câu của 323 đề bài THẬT — phép lọc đúng đề mà gần như không chạm gì. Chỗ rò thật là PHÁN QUYẾT TRÍCH SẴN ("kết quả 'dat: false'"), và phải thêm một dấu hiệu thứ sáu mới lên 95/1 706.</t>
        </is>
      </c>
      <c r="B85" s="26" t="inlineStr">
        <is>
          <t>M4-07 · DEV-352</t>
        </is>
      </c>
    </row>
    <row r="86">
      <c r="A86" s="26" t="inlineStr">
        <is>
          <t>Hai phép phá LỌT vì ca kiểm xanh nhờ MỘT DÒNG KHÁC: xoá hẳn khối B khỏi gói bằng chứng mà bộ kiểm vẫn xanh, do ca của khối A đã thấy đúng tên tệp ấy qua dòng changeset. Cùng hình dạng DEV-344.</t>
        </is>
      </c>
      <c r="B86" s="26" t="inlineStr">
        <is>
          <t>M4-07 · DEV-352</t>
        </is>
      </c>
    </row>
    <row r="87">
      <c r="A87" s="26" t="inlineStr">
        <is>
          <t>Ca kiểm CŨ nêu đúng bất biến "mọi cờ phải có trong ten_co()" mà kiểm nó trên MỘT TÊN GÕ SẴN, nên nó xanh suốt trong khi cờ thứ 10 vô hình: Features.load() trả False cả khi biến môi trường đã đặt. Phép so đúng là so hai TẬP HỢP.</t>
        </is>
      </c>
      <c r="B87" s="26" t="inlineStr">
        <is>
          <t>M4-07 · DEV-352</t>
        </is>
      </c>
    </row>
    <row r="88">
      <c r="A88" s="26" t="inlineStr">
        <is>
          <t>Tôi ghi con số ca kiểm (1 895) vào BỐN tệp tài liệu TRƯỚC khi bộ kiểm đầy đủ chạy xong — số thật là 1 896. Một con số suy ra bằng phép cộng trong đầu trông giống hệt một con số đo được.</t>
        </is>
      </c>
      <c r="B88" s="26" t="inlineStr">
        <is>
          <t>M4-07 · DEV-352</t>
        </is>
      </c>
    </row>
  </sheetData>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Y110"/>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8" customWidth="1" style="26" min="1" max="1"/>
    <col width="18" customWidth="1" style="26" min="2" max="2"/>
    <col width="28" customWidth="1" style="26" min="3" max="3"/>
    <col width="26" customWidth="1" style="26" min="4" max="4"/>
    <col width="30" customWidth="1" style="26" min="5" max="5"/>
    <col width="50" customWidth="1" style="26" min="6" max="7"/>
    <col width="26" customWidth="1" style="26" min="8" max="8"/>
    <col width="60" customWidth="1" style="26" min="9" max="9"/>
    <col width="34" customWidth="1" style="26" min="10" max="10"/>
    <col width="8" customWidth="1" style="26" min="11" max="12"/>
    <col width="11" customWidth="1" style="26" min="13" max="13"/>
    <col width="34" customWidth="1" style="26" min="14" max="15"/>
    <col width="16" customWidth="1" style="26" min="16" max="16"/>
    <col width="13" customWidth="1" style="26" min="17" max="17"/>
    <col width="14" customWidth="1" style="26" min="18" max="18"/>
    <col width="20" customWidth="1" style="26" min="19" max="19"/>
    <col width="12" customWidth="1" style="27" min="20" max="20"/>
    <col width="12" customWidth="1" style="27" min="21" max="21"/>
    <col width="18" customWidth="1" style="27" min="22" max="22"/>
    <col width="62" customWidth="1" style="27" min="23" max="23"/>
    <col width="34" customWidth="1" style="27" min="24" max="24"/>
    <col width="62" customWidth="1" style="27" min="25" max="25"/>
  </cols>
  <sheetData>
    <row r="1" ht="19.5" customHeight="1" s="27">
      <c r="A1" s="28" t="inlineStr">
        <is>
          <t>DANH MỤC ĐIỂM CẦN TỐI ƯU — TÁC TỬ (AGENT) EIDE v3</t>
        </is>
      </c>
    </row>
    <row r="2" ht="15" customHeight="1" s="27">
      <c r="A2" s="29" t="inlineStr">
        <is>
          <t>Mỗi dòng là một phát hiện từ đọc mã thật (vị trí tệp:dòng tại ngày 06/10/2026). Cột Giai đoạn tự tính từ Ưu tiên + Công sức. Cột Trạng thái / Người phụ trách / Ghi chú để anh theo dõi.</t>
        </is>
      </c>
    </row>
    <row r="4" ht="31.5" customHeight="1" s="27">
      <c r="A4" s="31" t="inlineStr">
        <is>
          <t>Mã</t>
        </is>
      </c>
      <c r="B4" s="31" t="inlineStr">
        <is>
          <t>Mảng</t>
        </is>
      </c>
      <c r="C4" s="31" t="inlineStr">
        <is>
          <t>Tính năng / khối</t>
        </is>
      </c>
      <c r="D4" s="31" t="inlineStr">
        <is>
          <t>Chủ đề xuyên suốt</t>
        </is>
      </c>
      <c r="E4" s="31" t="inlineStr">
        <is>
          <t>Vị trí mã</t>
        </is>
      </c>
      <c r="F4" s="31" t="inlineStr">
        <is>
          <t>Hiện trạng (mã đang làm gì)</t>
        </is>
      </c>
      <c r="G4" s="31" t="inlineStr">
        <is>
          <t>Vấn đề / khoảng trống</t>
        </is>
      </c>
      <c r="H4" s="31" t="inlineStr">
        <is>
          <t>Mẫu kiến trúc đối chiếu</t>
        </is>
      </c>
      <c r="I4" s="31" t="inlineStr">
        <is>
          <t>Đề xuất tối ưu</t>
        </is>
      </c>
      <c r="J4" s="31" t="inlineStr">
        <is>
          <t>Lợi ích kỳ vọng</t>
        </is>
      </c>
      <c r="K4" s="31" t="inlineStr">
        <is>
          <t>Ưu tiên</t>
        </is>
      </c>
      <c r="L4" s="31" t="inlineStr">
        <is>
          <t>Công sức</t>
        </is>
      </c>
      <c r="M4" s="31" t="inlineStr">
        <is>
          <t>Giai đoạn</t>
        </is>
      </c>
      <c r="N4" s="31" t="inlineStr">
        <is>
          <t>Rủi ro / đánh đổi</t>
        </is>
      </c>
      <c r="O4" s="31" t="inlineStr">
        <is>
          <t>Chỉ số đo hiệu quả</t>
        </is>
      </c>
      <c r="P4" s="31" t="inlineStr">
        <is>
          <t>Liên quan / trùng với</t>
        </is>
      </c>
      <c r="Q4" s="31" t="inlineStr">
        <is>
          <t>Trạng thái</t>
        </is>
      </c>
      <c r="R4" s="31" t="inlineStr">
        <is>
          <t>Người phụ trách</t>
        </is>
      </c>
      <c r="S4" s="31" t="inlineStr">
        <is>
          <t>Ghi chú</t>
        </is>
      </c>
      <c r="T4" s="45" t="inlineStr">
        <is>
          <t>Ngày xong</t>
        </is>
      </c>
      <c r="U4" s="45" t="inlineStr">
        <is>
          <t>Mục DEV-LOG</t>
        </is>
      </c>
      <c r="V4" s="45" t="inlineStr">
        <is>
          <t>Ca kiểm trước → sau</t>
        </is>
      </c>
      <c r="W4" s="45" t="inlineStr">
        <is>
          <t>Đo trên DỮ LIỆU THẬT</t>
        </is>
      </c>
      <c r="X4" s="45" t="inlineStr">
        <is>
          <t>Cờ mặc định</t>
        </is>
      </c>
      <c r="Y4" s="45" t="inlineStr">
        <is>
          <t>Còn nợ / lưu ý</t>
        </is>
      </c>
    </row>
    <row r="5" ht="135.75" customHeight="1" s="27">
      <c r="A5" s="46" t="inlineStr">
        <is>
          <t>M1-01</t>
        </is>
      </c>
      <c r="B5" s="47" t="inlineStr">
        <is>
          <t>1. Lõi tác tử</t>
        </is>
      </c>
      <c r="C5" s="47" t="inlineStr">
        <is>
          <t>Toàn vẹn cặp function_call ↔ function_response</t>
        </is>
      </c>
      <c r="D5" s="47" t="inlineStr">
        <is>
          <t>T01 Giao thức &amp; độ bền vòng lặp</t>
        </is>
      </c>
      <c r="E5" s="47" t="inlineStr">
        <is>
          <t>loop.py:695-699 (_tool_loop), loop.py:900-913 (_one_tool), loop.py:1375-1440 (_resolve_gate), llm/gemini.py:161 (_to_contents)</t>
        </is>
      </c>
      <c r="F5" s="47" t="inlineStr">
        <is>
          <t>Một phản hồi Gemini có thể chứa nhiều tool_calls. Vòng lặp chạy từng lời gọi một; nếu lời gọi thứ k bật thẻ cổng (awaiting_human) thì `return` ngay, các lời gọi k+1..n không có function_response nào. Trong _one_tool, khi kết quả `ok` mà rỗng, một message role=user (nhac_nho) được append TRƯỚC message tool của chính lời gọi đó, nên một lượt văn bản của người chen giữa function_call và function_response. Khi người duyệt cổng, _resolve_gate append thêm một reminder role=user rồi một function_response THỨ HAI cho cùng call id (lần đầu là lỗi E4003). Mỗi kết quả công cụ còn được bọc trong một Content(role=user) riêng, và from_function_response không truyền `id`.</t>
        </is>
      </c>
      <c r="G5" s="47" t="inlineStr">
        <is>
          <t>Gemini 3.x đòi số function_response bằng số function_call của lượt model, và các response phải đứng liền sau lượt đó. Lịch sử bị lệch như trên gây lỗi 400 lúc chập chờn hoặc làm mô hình hiểu sai. Ca 02/10 ghi trong mã (tác tử tưởng lời giao việc 'bị cắt mất') cùng họ với lỗi này. Thiếu id thì hai lời gọi song song cùng tên không ghép được với response của mình. Đây là lỗi nền: nó làm hỏng đúng những lượt dài, nhiều công cụ.</t>
        </is>
      </c>
      <c r="H5" s="47" t="inlineStr">
        <is>
          <t>ReAct (độ đúng của giao thức tool-calling), Human-in-the-loop (checkpoint chạy tiếp)</t>
        </is>
      </c>
      <c r="I5" s="47" t="inlineStr">
        <is>
          <t>Thêm bước chuẩn hoá `_chuan_hoa_lich_su(messages)` trong gemini._to_contents: (1) gộp mọi message role=tool liền sau một lượt model vào MỘT Content gồm nhiều Part.from_function_response(id=..., name=..., response=...); (2) dời mọi message user/_he_thong chen giữa xuống sau khối response. Trong _tool_loop, khi một lời gọi bật cổng, sinh response tổng hợp cho các lời gọi còn lại: {ok:false, code:'E4010', message_vi:'bị hoãn vì cổng G-x đang chờ duyệt'}. Trong _resolve_gate, thay vì thêm response thứ hai, ghi kết quả thật vào một message user (text) có tham chiếu call id, hoặc thay hẳn response E4003 trong transcript bằng kết quả thật (transcript.thay_toan_bo). Thêm một test bất biến: mọi lượt model có N call thì theo sau đúng N response cùng id.</t>
        </is>
      </c>
      <c r="J5" s="47" t="inlineStr">
        <is>
          <t>Hết lỗi 400 chập chờn ở lượt nhiều công cụ; không còn ca tác tử 'kể sai' vì lịch sử mâu thuẫn; tiền đề bắt buộc để chạy song song lời gọi tool.</t>
        </is>
      </c>
      <c r="K5" s="48" t="inlineStr">
        <is>
          <t>P0</t>
        </is>
      </c>
      <c r="L5" s="48" t="inlineStr">
        <is>
          <t>M</t>
        </is>
      </c>
      <c r="M5" s="48">
        <f>IF(K5="P0",IF(OR(L5="L",L5="XL"),"GĐ2","GĐ1"),IF(K5="P1",IF(L5="S","GĐ2","GĐ3"),"GĐ4"))</f>
        <v/>
      </c>
      <c r="N5" s="47" t="inlineStr">
        <is>
          <t>Đụng vào phát lại transcript cũ (phiên đã lưu) nên phải chuẩn hoá lúc đọc chứ không sửa tệp; cần ReplayGateway để hồi quy.</t>
        </is>
      </c>
      <c r="O5" s="47" t="inlineStr">
        <is>
          <t>Số lỗi 400 INVALID_ARGUMENT / 100 lượt; tỉ lệ lượt có lịch sử vi phạm bất biến (test tĩnh trên ledger); số ca 'tác tử hỏi lại đề bài' sau khi duyệt cổng.</t>
        </is>
      </c>
      <c r="P5" s="47" t="n"/>
      <c r="Q5" s="49" t="inlineStr">
        <is>
          <t>Xong</t>
        </is>
      </c>
      <c r="R5" s="47" t="inlineStr">
        <is>
          <t>Agent (Claude Opus 5)</t>
        </is>
      </c>
      <c r="S5" s="47" t="n"/>
      <c r="T5" s="50" t="inlineStr">
        <is>
          <t>06/10/2026</t>
        </is>
      </c>
      <c r="U5" s="50" t="inlineStr">
        <is>
          <t>DEV-330</t>
        </is>
      </c>
      <c r="V5" s="50" t="inlineStr">
        <is>
          <t>1610 → 1615</t>
        </is>
      </c>
      <c r="W5" s="50" t="inlineStr">
        <is>
          <t>105/309 phiên thật có lịch sử tự mâu thuẫn — 255 chỗ (156 kết quả thứ hai cùng id, 74 message chen giữa, 24 kết quả lạc lượt, 1 lời gọi không kết quả)</t>
        </is>
      </c>
      <c r="X5" s="50" t="inlineStr">
        <is>
          <t>không có cờ — sửa lỗi thuần</t>
        </is>
      </c>
      <c r="Y5" s="50" t="inlineStr">
        <is>
          <t>kiem_cap_goi_tra() mới là THƯỚC ĐO, chưa hook nào chạy nó tự động</t>
        </is>
      </c>
    </row>
    <row r="6" ht="147" customHeight="1" s="27">
      <c r="A6" s="46" t="inlineStr">
        <is>
          <t>M1-02</t>
        </is>
      </c>
      <c r="B6" s="47" t="inlineStr">
        <is>
          <t>1. Lõi tác tử</t>
        </is>
      </c>
      <c r="C6" s="47" t="inlineStr">
        <is>
          <t>Lược đồ công cụ hiển thị mỗi lượt</t>
        </is>
      </c>
      <c r="D6" s="47" t="inlineStr">
        <is>
          <t>T02 Ngữ cảnh, lược đồ công cụ &amp; token</t>
        </is>
      </c>
      <c r="E6" s="47" t="inlineStr">
        <is>
          <t>tools/registry.py:139-144 (visible/declarations), loop.py:667, config.py:137 (tool_schema=4000)</t>
        </is>
      </c>
      <c r="F6" s="47" t="inlineStr">
        <is>
          <t>Đo trực tiếp bằng build_registry(): có 118 công cụ, trong đó 73 là core=True luôn hiện. Khai báo JSON khoảng 77.600 ký tự (≈26k token) được gửi trong MỌI lần gọi LLM. Có những mô tả rất dài (target.flash 2.937 ký tự, store.procedure_set 2.505, tool.propose 2.309). ContextBudget.tool_schema=4000 được khai nhưng không chỗ nào dùng tới. registry._unlocked chỉ tăng mà không bao giờ giảm suốt phiên (tool.search, các hook và _mo_khoa_theo_ngu_canh đều chỉ add).</t>
        </is>
      </c>
      <c r="G6" s="47" t="inlineStr">
        <is>
          <t>Mức 26k token lược đồ gấp khoảng 6,5 lần ngân sách đã định. Một lượt 40 lời gọi tốn khoảng 1 triệu token đầu vào chỉ cho phần lược đồ. Quan trọng hơn, 73 công cụ cùng lúc làm giảm độ chính xác chọn công cụ: nhiều công cụ na ná nhau (store.* / ckm.* / fact.*), mô tả dài thì chìm, và thường có khoảng 31/120 công cụ không bao giờ nổ như chính mã đã đo. Đây là 'lỗi nằm ở mô tả tool' đúng như nguyên tắc của thang đối chiếu.</t>
        </is>
      </c>
      <c r="H6" s="47" t="inlineStr">
        <is>
          <t>Routing (chọn bộ công cụ theo loại việc), Agentic RAG cho công cụ (tool retrieval)</t>
        </is>
      </c>
      <c r="I6" s="47" t="inlineStr">
        <is>
          <t>(1) Cưỡng chế ngân sách: trong _assemble, tính approx_tokens(json(declarations)) và ghi vào asm.tokens['tool_schema']; vượt 4000–6000 thì cảnh báo trong ledger và hạ dần các nhóm ít dùng. (2) Rút core xuống khoảng 15–20 công cụ nền (fs.*, store.get/list, fact.query, ask_user, tool.search, plan.enter, memory.note, task.run). Phần còn lại chia theo `group` thành các 'bộ' (Tài liệu, Firmware/Build, CKM-mạch, Mô phỏng, Phiên bản) và mở theo tín hiệu xác định: thực thể trong mentioned_entities, inventory (có chip chưa, có mã chưa), bước kế hoạch đang làm (b.cong_cu) và S0 annotations. (3) Cắt mỗi mô tả còn ≤400 ký tự: một câu 'khi nào dùng' và một câu 'khi nào KHÔNG dùng'; phần dài chuyển vào hint_for_agent của lỗi. (4) Gỡ khoá theo LRU: công cụ đã mở mà không gọi trong K lượt thì ẩn lại. (5) Giữ thứ tự khai báo ổn định (sắp theo tên) để prefix cache không vỡ.</t>
        </is>
      </c>
      <c r="J6" s="47" t="inlineStr">
        <is>
          <t>Giảm khoảng 60–75 % token đầu vào mỗi lời gọi; chọn công cụ đúng hơn; độ trễ mỗi bước thấp hơn.</t>
        </is>
      </c>
      <c r="K6" s="48" t="inlineStr">
        <is>
          <t>P0</t>
        </is>
      </c>
      <c r="L6" s="48" t="inlineStr">
        <is>
          <t>M</t>
        </is>
      </c>
      <c r="M6" s="48">
        <f>IF(K6="P0",IF(OR(L6="L",L6="XL"),"GĐ2","GĐ1"),IF(K6="P1",IF(L6="S","GĐ2","GĐ3"),"GĐ4"))</f>
        <v/>
      </c>
      <c r="N6" s="47" t="inlineStr">
        <is>
          <t>Ẩn nhầm một công cụ cần thiết sẽ làm tăng số lần tool.search (đây đúng là hình dạng lỗi DEV-302/305). Cần bảng ánh xạ tín hiệu → bộ công cụ và đo trên 76 TC trước khi bật.</t>
        </is>
      </c>
      <c r="O6" s="47" t="inlineStr">
        <is>
          <t>Token lược đồ / lời gọi (mục tiêu ≤6k); tỉ lệ lời gọi sai công cụ (E5004/E5006/schema_violation); số tool.search / lượt; pass rate 76 TC.</t>
        </is>
      </c>
      <c r="P6" s="47" t="inlineStr">
        <is>
          <t>M1-18, M4-18</t>
        </is>
      </c>
      <c r="Q6" s="49" t="inlineStr">
        <is>
          <t>Xong</t>
        </is>
      </c>
      <c r="R6" s="47" t="inlineStr">
        <is>
          <t>Agent (Claude Opus 5)</t>
        </is>
      </c>
      <c r="S6" s="47" t="n"/>
      <c r="T6" s="50" t="inlineStr">
        <is>
          <t>06/10/2026</t>
        </is>
      </c>
      <c r="U6" s="50" t="inlineStr">
        <is>
          <t>DEV-331</t>
        </is>
      </c>
      <c r="V6" s="50" t="inlineStr">
        <is>
          <t>1615 → 1623</t>
        </is>
      </c>
      <c r="W6" s="50" t="inlineStr">
        <is>
          <t>lược đồ công cụ thật: 25 869 token/lời gọi (trần tool_schema=4000 chưa dòng mã nào đọc). Cờ bật: 4 475 token, giảm 82,7 %; 73 → 18 công cụ</t>
        </is>
      </c>
      <c r="X6" s="50" t="inlineStr">
        <is>
          <t>GON_CONG_CU — TẮT</t>
        </is>
      </c>
      <c r="Y6" s="50" t="inlineStr">
        <is>
          <t>cần bộ 76 ca hai chế độ mới dám bật. Luật cắt mô tả 160 ký tự chỉ thu 0,46 % — trung vị một mô tả là 37 ký tự; phần dài nằm ở SỐ LƯỢNG trường, muốn ăn tiếp phải sửa lược đồ từng công cụ (nhiệm vụ khác)</t>
        </is>
      </c>
    </row>
    <row r="7" ht="90.75" customHeight="1" s="27">
      <c r="A7" s="46" t="inlineStr">
        <is>
          <t>M1-03</t>
        </is>
      </c>
      <c r="B7" s="47" t="inlineStr">
        <is>
          <t>1. Lõi tác tử</t>
        </is>
      </c>
      <c r="C7" s="47" t="inlineStr">
        <is>
          <t>Tác tử con (subagent) đi vòng qua hook và policy</t>
        </is>
      </c>
      <c r="D7" s="47" t="inlineStr">
        <is>
          <t>T03 Tác tử con &amp; điều phối song song</t>
        </is>
      </c>
      <c r="E7" s="47" t="inlineStr">
        <is>
          <t>subagent.py:292-316 (chay) — `r = registry.run(call.tool, call.args, ctx)`</t>
        </is>
      </c>
      <c r="F7" s="47" t="inlineStr">
        <is>
          <t>Subagent gọi thẳng registry.run, không qua pre_tool_use (check_sandbox, check_explain, constant_guard, ghi_de_ban_cua_nguoi, doi_tieu_chi), không qua policy.decide (cổng G-*), không qua khoá plan mode (_khoa_khi_soan_ke_hoach), và không qua post_tool_use (ghi sổ tool_result, gắn cờ 'log rỗng'). Subagent 'firmware' có fs.write, fs.edit và build.compile; 'sim-runner' có fs.write và sim.criteria.</t>
        </is>
      </c>
      <c r="G7" s="47" t="inlineStr">
        <is>
          <t>Kiến trúc tuyên bố 'không có đường nào đi vòng qua ba lớp xác định' (docstring loop.py), nhưng subagent chính là đường vòng đó. Tác tử chính có thể giao cho firmware ghi mã chứa hằng số không nguồn (constant_guard không chạy), đè tệp người vừa sửa, hoặc ghi trong lúc kế hoạch còn chưa duyệt. N1/N8/N9 thủng đúng ở nhánh ít ai soi tới.</t>
        </is>
      </c>
      <c r="H7" s="47" t="inlineStr">
        <is>
          <t>Supervisor–Workers (worker phải chịu cùng hàng rào), Human-in-the-loop</t>
        </is>
      </c>
      <c r="I7" s="47" t="inlineStr">
        <is>
          <t>Tách phần thân _one_tool thành một hàm thuần `thuc_thi_cong_cu(call, ctx, *, hooks, policy, registry, che_do)` trả về (ket_qua, the_cong|None), dùng chung cho Agent và subagent.chay. Trong subagent: policy 'ask' → không dựng thẻ mà trả lỗi E4011 'cần người duyệt — ghi vào chua_lam'. Đồng thời áp boc_ket_qua cho kết quả và cộng ctx.tool_calls_used. Thêm test: subagent firmware ghi hằng số không nguồn thì phải bị chặn giống tác tử chính.</t>
        </is>
      </c>
      <c r="J7" s="47" t="inlineStr">
        <is>
          <t>Đóng lỗ hổng an toàn và độ tin cậy; hành vi của tác tử chính và tác tử con nhất quán; ledger đầy đủ cho cả nhánh con.</t>
        </is>
      </c>
      <c r="K7" s="48" t="inlineStr">
        <is>
          <t>P0</t>
        </is>
      </c>
      <c r="L7" s="48" t="inlineStr">
        <is>
          <t>M</t>
        </is>
      </c>
      <c r="M7" s="48">
        <f>IF(K7="P0",IF(OR(L7="L",L7="XL"),"GĐ2","GĐ1"),IF(K7="P1",IF(L7="S","GĐ2","GĐ3"),"GĐ4"))</f>
        <v/>
      </c>
      <c r="N7" s="47" t="inlineStr">
        <is>
          <t>Subagent có thể kẹt nhiều hơn vì bị chặn. Cần hint rõ để nó nộp chua_lam thay vì thử lại.</t>
        </is>
      </c>
      <c r="O7" s="47" t="inlineStr">
        <is>
          <t>Số lời gọi ghi của subagent không có dòng hook/policy trong ledger (mục tiêu 0); số hằng số không nguồn lọt vào mã do subagent ghi.</t>
        </is>
      </c>
      <c r="P7" s="47" t="inlineStr">
        <is>
          <t>M2-14</t>
        </is>
      </c>
      <c r="Q7" s="49" t="inlineStr">
        <is>
          <t>Xong</t>
        </is>
      </c>
      <c r="R7" s="47" t="inlineStr">
        <is>
          <t>Agent (Claude Opus 5)</t>
        </is>
      </c>
      <c r="S7" s="47" t="n"/>
      <c r="T7" s="50" t="inlineStr">
        <is>
          <t>06/10/2026</t>
        </is>
      </c>
      <c r="U7" s="50" t="inlineStr">
        <is>
          <t>DEV-332</t>
        </is>
      </c>
      <c r="V7" s="50" t="inlineStr">
        <is>
          <t>1623 → 1628</t>
        </is>
      </c>
      <c r="W7" s="50" t="inlineStr">
        <is>
          <t>1 822 lời gọi của tác tử con trong 26 phiên thật, 0 lần qua lớp luật. Toàn công cụ đọc trừ một build.compile — lỗ hổng chưa bị bước vào, không phải được canh</t>
        </is>
      </c>
      <c r="X7" s="50" t="inlineStr">
        <is>
          <t>không có cờ — sửa lỗi thuần</t>
        </is>
      </c>
      <c r="Y7" s="50" t="inlineStr">
        <is>
          <t>—</t>
        </is>
      </c>
    </row>
    <row r="8" ht="102" customHeight="1" s="27">
      <c r="A8" s="46" t="inlineStr">
        <is>
          <t>M1-04</t>
        </is>
      </c>
      <c r="B8" s="47" t="inlineStr">
        <is>
          <t>1. Lõi tác tử</t>
        </is>
      </c>
      <c r="C8" s="47" t="inlineStr">
        <is>
          <t>Song song hoá lời gọi công cụ chỉ-đọc</t>
        </is>
      </c>
      <c r="D8" s="47" t="inlineStr">
        <is>
          <t>T03 Tác tử con &amp; điều phối song song</t>
        </is>
      </c>
      <c r="E8" s="47" t="inlineStr">
        <is>
          <t>loop.py:695-699 (for call in rsp.tool_calls), tools/registry.py::run</t>
        </is>
      </c>
      <c r="F8" s="47" t="inlineStr">
        <is>
          <t>Mọi lời gọi chạy TUẦN TỰ, kể cả khi mô hình đã phát song song nhiều lời gọi chỉ-đọc trong một phản hồi (fs.read nhiều tệp, fact.query nhiều thực thể). Mã đo được trên phiên STM32F469: 54 % lời gọi (580/1078) là fs.read/grep/glob. Không có khái niệm DAG hay Joiner.</t>
        </is>
      </c>
      <c r="G8" s="47" t="inlineStr">
        <is>
          <t>Độ trễ cộng dồn theo số lời gọi, trong khi đọc và tra cứu độc lập nhau hoàn toàn chạy song song được. Mô hình cũng không được khuyến khích gom lời gọi, vì hiến pháp không nói gì về việc phát nhiều lời gọi một lúc, nên tiêu nhiều vòng LLM cho việc chỉ cần một vòng.</t>
        </is>
      </c>
      <c r="H8" s="47" t="inlineStr">
        <is>
          <t>LLMCompiler (DAG + chạy song song + Joiner), Parallelization (sectioning)</t>
        </is>
      </c>
      <c r="I8" s="47" t="inlineStr">
        <is>
          <t>Làm sau khi đã sửa toàn vẹn cặp gọi–trả. Chia batch thành hai pha: (a) TUẦN TỰ chạy plan-lock + pre_tool_use + policy.decide cho từng call để giữ thứ tự cổng; (b) các call được allow, có risk=='R1', không writes_artefact và nằm trong _CONG_CU_DOC thì chạy bằng concurrent.futures.ThreadPoolExecutor(max_workers=4); call ghi chạy tuần tự sau đó theo thứ tự mô hình phát. Mỗi call vẫn tính 1 vào tool_calls_used. Thêm một câu vào hiến pháp §Cách làm việc: 'cần đọc nhiều thứ độc lập thì phát nhiều lời gọi trong MỘT lượt'. Cân nhắc thêm công cụ `fs.read_many(paths[])` có trần tổng ký tự.</t>
        </is>
      </c>
      <c r="J8" s="47" t="inlineStr">
        <is>
          <t>Giảm 30–50 % thời gian thực của lượt khám phá; giảm số vòng LLM / lượt; ít chạm trần 300 s hơn.</t>
        </is>
      </c>
      <c r="K8" s="48" t="inlineStr">
        <is>
          <t>P1</t>
        </is>
      </c>
      <c r="L8" s="48" t="inlineStr">
        <is>
          <t>M</t>
        </is>
      </c>
      <c r="M8" s="48">
        <f>IF(K8="P0",IF(OR(L8="L",L8="XL"),"GĐ2","GĐ1"),IF(K8="P1",IF(L8="S","GĐ2","GĐ3"),"GĐ4"))</f>
        <v/>
      </c>
      <c r="N8" s="47" t="inlineStr">
        <is>
          <t>Ctx (da_doc, emit, ledger) cần an toàn luồng: khoá ghi ledger và append messages theo đúng thứ tự call. Kết quả lớn đổ về cùng lúc có thể đẩy ngữ cảnh.</t>
        </is>
      </c>
      <c r="O8" s="47" t="inlineStr">
        <is>
          <t>Số lời gọi / vòng LLM; thời gian trung vị / lượt; tỉ lệ lượt chạm trần thời gian.</t>
        </is>
      </c>
      <c r="P8" s="47" t="inlineStr">
        <is>
          <t>M1-05</t>
        </is>
      </c>
      <c r="Q8" s="48" t="inlineStr">
        <is>
          <t>Chưa làm</t>
        </is>
      </c>
      <c r="R8" s="47" t="n"/>
      <c r="S8" s="47" t="n"/>
    </row>
    <row r="9" ht="102" customHeight="1" s="27">
      <c r="A9" s="46" t="inlineStr">
        <is>
          <t>M1-05</t>
        </is>
      </c>
      <c r="B9" s="47" t="inlineStr">
        <is>
          <t>1. Lõi tác tử</t>
        </is>
      </c>
      <c r="C9" s="47" t="inlineStr">
        <is>
          <t>Supervisor–Workers: subagent tuần tự, không ngân sách, không cắt kết quả</t>
        </is>
      </c>
      <c r="D9" s="47" t="inlineStr">
        <is>
          <t>T03 Tác tử con &amp; điều phối song song</t>
        </is>
      </c>
      <c r="E9" s="47" t="inlineStr">
        <is>
          <t>subagent.py:269-323 (chay), tools/dieu_phoi.py::task_run</t>
        </is>
      </c>
      <c r="F9" s="47" t="inlineStr">
        <is>
          <t>task.run chạy một subagent đồng bộ, với ngữ cảnh sạch (tốt), công cụ bị lọc (tốt) và báo cáo 6 trường (tốt). Nhưng: vòng `for _ in range(dn.toi_da_goi)` đếm số VÒNG LLM chứ không đếm số lời gọi; khi hết vòng không có lượt 'buộc nộp báo cáo' nên dễ ra lỗi E5007. Kết quả công cụ đi nguyên văn vào `tin` (không qua boc_ket_qua trần 4.000 token). Lời gọi LLM của subagent không được _usage_add, không kiểm ctx.budget_left (giây và lời gọi) và không ghi ledger llm_call. Không có cách giao nhiều worker song song.</t>
        </is>
      </c>
      <c r="G9" s="47" t="inlineStr">
        <is>
          <t>Subagent dễ tràn ngữ cảnh khi đọc tệp lớn, tiêu token mà người dùng không thấy (chi phí lượt bị báo thấp), có thể vượt trần 300 s của lượt, và hay thất bại ở bước cuối vì không bị nhắc nộp. Việc lớn (rà nhiều mô-đun, nạp nhiều datasheet) không được chia cho nhiều worker chạy song song, nên mất lợi ích chính của mẫu Supervisor–Workers.</t>
        </is>
      </c>
      <c r="H9" s="47" t="inlineStr">
        <is>
          <t>Supervisor–Workers, Parallelization (sectioning), Hierarchical</t>
        </is>
      </c>
      <c r="I9" s="47" t="inlineStr">
        <is>
          <t>(1) Đổi vòng thành ngân sách theo lời gọi: `while bc.so_goi &lt; dn.toi_da_goi`, kèm trần giây riêng (vd. 90 s) lấy từ ctx.budget_left. (2) Hết ngân sách thì thêm một lượt cuối với tools=[] và lời nhắc 'NỘP BÁO CÁO JSON ngay, phần chưa làm ghi vào chua_lam'. (3) Áp memory.boc_ket_qua cho mọi kết quả tool của subagent. (4) Gọi agent._usage_add và ledger 'llm_call' với trường subagent=ma. (5) Thêm `task.run_many(viec:[{subagent, viec}], toi_da=3)` chạy song song bằng ThreadPoolExecutor, trả về danh sách báo cáo tóm tắt (tom_tat + ket_luan + bang_chung), không trả nguyen_van.</t>
        </is>
      </c>
      <c r="J9" s="47" t="inlineStr">
        <is>
          <t>Tỉ lệ subagent nộp đúng lược đồ tăng; chi phí thật nhìn thấy được; việc lớn xong trong ít lượt hơn.</t>
        </is>
      </c>
      <c r="K9" s="48" t="inlineStr">
        <is>
          <t>P1</t>
        </is>
      </c>
      <c r="L9" s="48" t="inlineStr">
        <is>
          <t>M</t>
        </is>
      </c>
      <c r="M9" s="48">
        <f>IF(K9="P0",IF(OR(L9="L",L9="XL"),"GĐ2","GĐ1"),IF(K9="P1",IF(L9="S","GĐ2","GĐ3"),"GĐ4"))</f>
        <v/>
      </c>
      <c r="N9" s="47" t="inlineStr">
        <is>
          <t>Song song làm tăng đột biến lượng token và quota 429. Hai worker ghi cùng tệp thì cần soft-lock theo tệp (ctx.locks) hoặc chỉ cho worker chỉ-đọc chạy song song.</t>
        </is>
      </c>
      <c r="O9" s="47" t="inlineStr">
        <is>
          <t>Tỉ lệ E5007 / task.run; token subagent / lượt (phải xuất hiện trong cost); thời gian lượt khi dùng run_many so với tuần tự.</t>
        </is>
      </c>
      <c r="P9" s="47" t="inlineStr">
        <is>
          <t>M1-04</t>
        </is>
      </c>
      <c r="Q9" s="48" t="inlineStr">
        <is>
          <t>Chưa làm</t>
        </is>
      </c>
      <c r="R9" s="47" t="n"/>
      <c r="S9" s="47" t="inlineStr">
        <is>
          <t>Kéo lên giai đoạn sớm hơn vì là tiền đề (xem §5 kế hoạch)</t>
        </is>
      </c>
    </row>
    <row r="10" ht="113.25" customHeight="1" s="27">
      <c r="A10" s="46" t="inlineStr">
        <is>
          <t>M1-06</t>
        </is>
      </c>
      <c r="B10" s="47" t="inlineStr">
        <is>
          <t>1. Lõi tác tử</t>
        </is>
      </c>
      <c r="C10" s="47" t="inlineStr">
        <is>
          <t>Độc lập của verifier</t>
        </is>
      </c>
      <c r="D10" s="47" t="inlineStr">
        <is>
          <t>T04 Kiểm chứng độc lập (verifier)</t>
        </is>
      </c>
      <c r="E10" s="47" t="inlineStr">
        <is>
          <t>subagent.py:46 (doc_duoc_viec), subagent.py:150; tools/dieu_phoi.py::task_run; hooks/standard.py:557 (kiem_viec_chua_ai_kiem)</t>
        </is>
      </c>
      <c r="F10" s="47" t="inlineStr">
        <is>
          <t>DinhNghia.doc_duoc_viec=False được khai cho verifier, nhưng không có dòng nào thi hành cờ này. Đường SubagentStop (firmware/sim tuyên đạt) dùng viec_cho_verifier, chỉ đưa báo cáo và bằng chứng, nên đúng thiết kế. Còn đường phổ biến nhất (hook Stop kiem_viec_chua_ai_kiem bảo tác tử chính gọi task.run(subagent='verifier', viec=...)) để tác tử chính TỰ VIẾT đề cho verifier bằng văn xuôi, có thể kèm kỳ vọng ('đã chạy đúng, kiểm giúp'). Verifier dùng cùng model và cùng temperature 0 với tác giả.</t>
        </is>
      </c>
      <c r="G10" s="47" t="inlineStr">
        <is>
          <t>Nguyên tắc 'verifier không thấy đề bài, chỉ thấy bằng chứng' bị phá ở chính đường mà hook đang đẩy tác tử đi. Cùng model và cùng nhiệt độ thì xác suất lặp lại đúng thiên kiến của tác giả rất cao, nên kiểm chứng dễ thành đóng dấu.</t>
        </is>
      </c>
      <c r="H10" s="47" t="inlineStr">
        <is>
          <t>Evaluator–Optimizer, Debate (phản biện), Reflexion</t>
        </is>
      </c>
      <c r="I10" s="47" t="inlineStr">
        <is>
          <t>(1) Khi subagent=='verifier', task.run KHÔNG nhận `viec` tự do. Đổi lược đồ thành `bang_chung: [{kind, ref, khang_dinh}]` (mỗi mục là một khẳng định gắn với một ref mở được). Mã dựng đề bằng viec_cho_verifier và lọc bỏ từ ngữ kết luận như 'đạt', 'thành công'. (2) Có thể tự sinh bang_chung từ ledger: các changeset của lượt (co_viec_chua_kiem đã có dau_vet). (3) Chạy verifier với nhiệt độ khác hoặc thinking_level cao, kèm system prompt 'giả định báo cáo sai, tìm phản chứng'. (4) Với khẳng định R3/R4 (nạp chip, tuyên đạt sim), chạy 2 verifier độc lập; bất đồng thì hạ kết luận và trình cả hai.</t>
        </is>
      </c>
      <c r="J10" s="47" t="inlineStr">
        <is>
          <t>Bắt được nhiều đạt giả hơn (đúng ca 'flash khớp từng byte nhưng vẫn chạy bản cũ' ghi trong hook).</t>
        </is>
      </c>
      <c r="K10" s="48" t="inlineStr">
        <is>
          <t>P1</t>
        </is>
      </c>
      <c r="L10" s="48" t="inlineStr">
        <is>
          <t>S</t>
        </is>
      </c>
      <c r="M10" s="48">
        <f>IF(K10="P0",IF(OR(L10="L",L10="XL"),"GĐ2","GĐ1"),IF(K10="P1",IF(L10="S","GĐ2","GĐ3"),"GĐ4"))</f>
        <v/>
      </c>
      <c r="N10" s="47" t="inlineStr">
        <is>
          <t>Thêm 1–2 lời gọi LLM ở cuối việc; verifier khắt khe quá sẽ sinh nhiều 'chua_du_du_kien'.</t>
        </is>
      </c>
      <c r="O10" s="47" t="inlineStr">
        <is>
          <t>Tỉ lệ verifier bác (khong_dat) trên bộ ca có cài lỗi cố ý; tỉ lệ đạt giả lọt qua trên 76 TC; độ trùng nhau giữa 2 verifier.</t>
        </is>
      </c>
      <c r="P10" s="47" t="inlineStr">
        <is>
          <t>M4-07, M4-08</t>
        </is>
      </c>
      <c r="Q10" s="48" t="inlineStr">
        <is>
          <t>Chưa làm</t>
        </is>
      </c>
      <c r="R10" s="47" t="n"/>
      <c r="S10" s="47" t="n"/>
    </row>
    <row r="11" ht="90.75" customHeight="1" s="27">
      <c r="A11" s="46" t="inlineStr">
        <is>
          <t>M1-07</t>
        </is>
      </c>
      <c r="B11" s="47" t="inlineStr">
        <is>
          <t>1. Lõi tác tử</t>
        </is>
      </c>
      <c r="C11" s="47" t="inlineStr">
        <is>
          <t>Báo cáo có lược đồ của subagent</t>
        </is>
      </c>
      <c r="D11" s="47" t="inlineStr">
        <is>
          <t>T03 Tác tử con &amp; điều phối song song</t>
        </is>
      </c>
      <c r="E11" s="47" t="inlineStr">
        <is>
          <t>subagent.py::doc_bao_cao (tách dòng JSON cuối bằng startswith('{'))</t>
        </is>
      </c>
      <c r="F11" s="47" t="inlineStr">
        <is>
          <t>Subagent phải kết thúc bằng MỘT dòng JSON trong văn bản tự do. Mã lấy dòng cuối bắt đầu bằng '{' rồi json.loads. JSON xuống nhiều dòng, nằm trong ```json``` hay có chữ theo sau đều thành lỗi lược đồ (E5007).</t>
        </is>
      </c>
      <c r="G11" s="47" t="inlineStr">
        <is>
          <t>Hỏng định dạng làm mất trọn kết quả của cả một subagent: phần việc vẫn còn trong kho nhưng 'không có kết luận nào để dùng'. Gemini có cơ chế structured output và function calling bắt buộc, chính xác hơn nhiều so với tách văn bản.</t>
        </is>
      </c>
      <c r="H11" s="47" t="inlineStr">
        <is>
          <t>Prompt Chaining (cổng kiểm bằng code), Supervisor–Workers</t>
        </is>
      </c>
      <c r="I11" s="47" t="inlineStr">
        <is>
          <t>Đăng ký một 'công cụ nộp' ảo `bao_cao.nop` với parameters đúng 6 trường (ket_luan có enum, bang_chung có items object) và thêm vào `khai` của mọi subagent. Subagent kết thúc bằng cách gọi nó, chay() bắt lời gọi đó làm báo cáo. Dự phòng: ở lượt buộc nộp, đặt response_mime_type='application/json' + response_schema trong GenerateContentConfig (thêm tham số `response_schema` vào LLMGateway.stream). Giữ doc_bao_cao làm đường lùi, nhưng tách JSON bằng parser cân ngoặc chứ không theo dòng.</t>
        </is>
      </c>
      <c r="J11" s="47" t="inlineStr">
        <is>
          <t>Tỉ lệ báo cáo hợp lệ gần 100 %; bỏ được một lớp hỏng ngẫu nhiên.</t>
        </is>
      </c>
      <c r="K11" s="48" t="inlineStr">
        <is>
          <t>P1</t>
        </is>
      </c>
      <c r="L11" s="48" t="inlineStr">
        <is>
          <t>S</t>
        </is>
      </c>
      <c r="M11" s="48">
        <f>IF(K11="P0",IF(OR(L11="L",L11="XL"),"GĐ2","GĐ1"),IF(K11="P1",IF(L11="S","GĐ2","GĐ3"),"GĐ4"))</f>
        <v/>
      </c>
      <c r="N11" s="47" t="inlineStr">
        <is>
          <t>Cần kiểm Gemini 3.8-flash có cho dùng response_schema cùng tools trong một lời gọi hay không; nếu không thì tách hai lời gọi.</t>
        </is>
      </c>
      <c r="O11" s="47" t="inlineStr">
        <is>
          <t>Tỉ lệ E5007 do lỗi lược đồ / tổng task.run.</t>
        </is>
      </c>
      <c r="P11" s="47" t="n"/>
      <c r="Q11" s="48" t="inlineStr">
        <is>
          <t>Chưa làm</t>
        </is>
      </c>
      <c r="R11" s="47" t="n"/>
      <c r="S11" s="47" t="n"/>
    </row>
    <row r="12" ht="90.75" customHeight="1" s="27">
      <c r="A12" s="46" t="inlineStr">
        <is>
          <t>M1-08</t>
        </is>
      </c>
      <c r="B12" s="47" t="inlineStr">
        <is>
          <t>1. Lõi tác tử</t>
        </is>
      </c>
      <c r="C12" s="47" t="inlineStr">
        <is>
          <t>Routing theo loại việc khi chỉ có MỘT model</t>
        </is>
      </c>
      <c r="D12" s="47" t="inlineStr">
        <is>
          <t>T05 Lập kế hoạch &amp; thực thi theo bước</t>
        </is>
      </c>
      <c r="E12" s="47" t="inlineStr">
        <is>
          <t>config.py:40 (ALLOWED_MODELS={'gemini-3.8-flash'}), config.py:191-205 (ModelConfig), llm/gemini.py:67-75 (GenerateContentConfig)</t>
        </is>
      </c>
      <c r="F12" s="47" t="inlineStr">
        <is>
          <t>Chủ sản phẩm chốt chỉ dùng gemini-3.8-flash cho main, subagent và summarize; assert_allowed cưỡng chế. GenerateContentConfig không đặt thinking_config (thinking_level / thinking_budget), không đặt tool_config (mode AUTO/ANY/NONE). Mọi lời gọi (đọc tệp, lập kế hoạch, kiểm chứng, tóm tắt nén) dùng cùng một cấu hình suy nghĩ.</t>
        </is>
      </c>
      <c r="G12" s="47" t="inlineStr">
        <is>
          <t>Không đổi được model, nhưng 'model nhỏ hay model mạnh' vẫn mô phỏng được bằng mức suy nghĩ. Hiện mọi bước cùng một chế độ: bước đọc/tra đơn giản trả tiền suy nghĩ thừa (thoughts_tokens đã được đo nhưng không ai điều khiển), còn bước lập kế hoạch, verifier, design-review và plan.exit lại không được đẩy suy nghĩ sâu hơn.</t>
        </is>
      </c>
      <c r="H12" s="47" t="inlineStr">
        <is>
          <t>Routing (phân loại → cấu hình chuyên biệt), Plan-and-Execute</t>
        </is>
      </c>
      <c r="I12" s="47" t="inlineStr">
        <is>
          <t>Thêm `muc_nghi` vào LLMGateway.stream (giá trị thap|vua|cao) → types.ThinkingConfig(thinking_level=...) hoặc thinking_budget, tuỳ API của 3.8-flash. Bộ định tuyến XÁC ĐỊNH (0 token) trong _tool_loop: (a) đang plan mode, vòng đầu sau câu người mới, verifier, design-review, compaction C2/C3 → cao; (b) vòng ngay sau một batch chỉ-đọc thành công → thap; (c) sau lỗi E-* lặp lại → cao. Dùng tool_config mode=NONE cho lượt 'buộc trả lời' (hết ngân sách, hook Stop said_something) để mô hình không gọi tool nữa. Ghi muc_nghi vào ledger llm_call.</t>
        </is>
      </c>
      <c r="J12" s="47" t="inlineStr">
        <is>
          <t>Giảm thoughts_tokens ở bước dễ, tăng chất lượng ở bước then chốt; không vi phạm ràng buộc một model.</t>
        </is>
      </c>
      <c r="K12" s="48" t="inlineStr">
        <is>
          <t>P1</t>
        </is>
      </c>
      <c r="L12" s="48" t="inlineStr">
        <is>
          <t>S</t>
        </is>
      </c>
      <c r="M12" s="48">
        <f>IF(K12="P0",IF(OR(L12="L",L12="XL"),"GĐ2","GĐ1"),IF(K12="P1",IF(L12="S","GĐ2","GĐ3"),"GĐ4"))</f>
        <v/>
      </c>
      <c r="N12" s="47" t="inlineStr">
        <is>
          <t>Tham số thinking của 3.8-flash cần kiểm tài liệu thật; định tuyến sai có thể làm bước khó bị nghĩ nông.</t>
        </is>
      </c>
      <c r="O12" s="47" t="inlineStr">
        <is>
          <t>thoughts_tokens / lượt; pass@1 các ca lập kế hoạch và kiểm chứng; số vòng LLM / lượt.</t>
        </is>
      </c>
      <c r="P12" s="47" t="n"/>
      <c r="Q12" s="48" t="inlineStr">
        <is>
          <t>Chưa làm</t>
        </is>
      </c>
      <c r="R12" s="47" t="n"/>
      <c r="S12" s="47" t="n"/>
    </row>
    <row r="13" ht="79.5" customHeight="1" s="27">
      <c r="A13" s="46" t="inlineStr">
        <is>
          <t>M1-09</t>
        </is>
      </c>
      <c r="B13" s="47" t="inlineStr">
        <is>
          <t>1. Lõi tác tử</t>
        </is>
      </c>
      <c r="C13" s="47" t="inlineStr">
        <is>
          <t>Temperature 0 với dòng Gemini 3</t>
        </is>
      </c>
      <c r="D13" s="47" t="inlineStr">
        <is>
          <t>T01 Giao thức &amp; độ bền vòng lặp</t>
        </is>
      </c>
      <c r="E13" s="47" t="inlineStr">
        <is>
          <t>config.py:198 (temperature=0.0), llm/gemini.py:70, llm/gateway.py docstring §F3</t>
        </is>
      </c>
      <c r="F13" s="47" t="inlineStr">
        <is>
          <t>Mọi lời gọi dùng temperature 0 và seed=7 để đạt 'tất định'. Chính mã ghi nhận nhiều ca quay vòng: ledger.query 21 lần liên tiếp, fs.read 28 lần, 14 lời gọi chỉ-đọc rải nhiều công cụ. Vì vậy mới phải có _nhac_neu_dang_quay_vong.</t>
        </is>
      </c>
      <c r="G13" s="47" t="inlineStr">
        <is>
          <t>Theo khuyến nghị công khai của Google cho các model Gemini 3, nên giữ temperature mặc định 1.0; hạ thấp hơn có thể gây lặp hoặc giảm chất lượng, nhất là khi model có suy nghĩ. Cần xác minh lại cho riêng 3.8-flash. Hành vi quay vòng đã đo được khớp với triệu chứng này. Còn 'tất định' thì đằng nào cũng không có thật (docstring gemini.py tự thừa nhận phải chạy mỗi ca 5 lần).</t>
        </is>
      </c>
      <c r="H13" s="47" t="inlineStr">
        <is>
          <t>ReAct (chất lượng vòng lặp), nguyên tắc 'có eval trước khi leo thang'</t>
        </is>
      </c>
      <c r="I13" s="47" t="inlineStr">
        <is>
          <t>Chạy A/B trên 76 TC × 5 lần: temperature 0 / 0.7 / 1.0 (bỏ seed hoặc giữ seed), đo pass rate, số lần hook quay vòng nổ và số lời gọi / lượt. Nếu 1.0 tốt hơn thì đặt mặc định 1.0 cho tác tử chính và subagent, giữ 0 cho các tác vụ trích xuất thuần (fact.extract, bộ nén C2) qua tham số `temperature=` của stream (đã có sẵn). Cập nhật docstring §F3: tất định được bảo đảm bằng lớp mã (S0, policy, hook), không bằng nhiệt độ.</t>
        </is>
      </c>
      <c r="J13" s="47" t="inlineStr">
        <is>
          <t>Kỳ vọng ít quay vòng hơn, ít chạm trần 40 lời gọi hơn, câu trả lời tốt hơn.</t>
        </is>
      </c>
      <c r="K13" s="48" t="inlineStr">
        <is>
          <t>P1</t>
        </is>
      </c>
      <c r="L13" s="48" t="inlineStr">
        <is>
          <t>S</t>
        </is>
      </c>
      <c r="M13" s="48">
        <f>IF(K13="P0",IF(OR(L13="L",L13="XL"),"GĐ2","GĐ1"),IF(K13="P1",IF(L13="S","GĐ2","GĐ3"),"GĐ4"))</f>
        <v/>
      </c>
      <c r="N13" s="47" t="inlineStr">
        <is>
          <t>Kết quả biến động hơn giữa các lần chạy, bộ đo phải dựa trên tỉ lệ thống kê chứ không trông vào khớp từng chữ.</t>
        </is>
      </c>
      <c r="O13" s="47" t="inlineStr">
        <is>
          <t>Số lần _nhac_neu_dang_quay_vong nổ / 100 lượt; tỉ lệ lượt hết ngân sách; pass rate trung bình qua 5 lần chạy.</t>
        </is>
      </c>
      <c r="P13" s="47" t="n"/>
      <c r="Q13" s="48" t="inlineStr">
        <is>
          <t>Chưa làm</t>
        </is>
      </c>
      <c r="R13" s="47" t="n"/>
      <c r="S13" s="47" t="n"/>
    </row>
    <row r="14" ht="113.25" customHeight="1" s="27">
      <c r="A14" s="46" t="inlineStr">
        <is>
          <t>M1-10</t>
        </is>
      </c>
      <c r="B14" s="47" t="inlineStr">
        <is>
          <t>1. Lõi tác tử</t>
        </is>
      </c>
      <c r="C14" s="47" t="inlineStr">
        <is>
          <t>Xử lý finish_reason và retry khi đang stream</t>
        </is>
      </c>
      <c r="D14" s="47" t="inlineStr">
        <is>
          <t>T01 Giao thức &amp; độ bền vòng lặp</t>
        </is>
      </c>
      <c r="E14" s="47" t="inlineStr">
        <is>
          <t>llm/gemini.py:81-92 (vòng retry), :113-114, :130 (on_text); loop.py:663-690</t>
        </is>
      </c>
      <c r="F14" s="47" t="inlineStr">
        <is>
          <t>finish_reason được ghi vào Response nhưng vòng lặp không đọc. MAX_TOKENS (max_output_tokens=8192; tuỳ API, phần suy nghĩ có thể cũng tính vào trần này), MALFORMED_FUNCTION_CALL, SAFETY hay RECITATION đều bị coi như 'trả lời xong'. Retry bọc toàn bộ _one_call: nếu luồng đã stream một phần chữ (on_text đã emit ra Console) rồi mới hỏng, lần thử lại stream LẠI từ đầu, nên người dùng thấy chữ lặp. Lùi mũ tới 8 s × 3 lần mà không kiểm ctx.budget_left; không có timeout cho từng lời gọi.</t>
        </is>
      </c>
      <c r="G14" s="47" t="inlineStr">
        <is>
          <t>Câu trả lời bị cắt ngang vì MAX_TOKENS bị hiểu là kết thúc lượt, và mã đang viết dở thì mất. Lời gọi hàm hỏng định dạng làm lượt dừng im lặng (đúng loại 'lượt im lặng' mà _cau_im_lang phải chữa cháy). Chữ lặp làm giảm tin cậy giao diện.</t>
        </is>
      </c>
      <c r="H14" s="47" t="inlineStr">
        <is>
          <t>ReAct (độ bền vòng lặp)</t>
        </is>
      </c>
      <c r="I14" s="47" t="inlineStr">
        <is>
          <t>Trong _tool_loop, sau stream: finish=='MAX_TOKENS' và không có tool_calls → append reminder 'câu trả lời bị cắt, viết tiếp từ chỗ dừng hoặc ghi phần dài ra tệp bằng fs.write' rồi lặp (tối đa 1 lần). 'MALFORMED_FUNCTION_CALL' → reminder nêu lại lược đồ công cụ vừa gọi hỏng rồi lặp. SAFETY → nói thật với người dùng. Trong gemini.stream: nếu đã emit chữ thì không retry tự động mà trả EideError có cờ partial=True để vòng lặp quyết định, hoặc gửi console_stream(reset=True) trước khi thử lại. Cấp `deadline` từ ctx.budget_left vào stream và đặt http timeout cho client.</t>
        </is>
      </c>
      <c r="J14" s="47" t="inlineStr">
        <is>
          <t>Bớt lượt bị cắt ngang hoặc im lặng; giao diện không lặp chữ; không vượt trần thời gian vì retry.</t>
        </is>
      </c>
      <c r="K14" s="48" t="inlineStr">
        <is>
          <t>P1</t>
        </is>
      </c>
      <c r="L14" s="48" t="inlineStr">
        <is>
          <t>S</t>
        </is>
      </c>
      <c r="M14" s="48">
        <f>IF(K14="P0",IF(OR(L14="L",L14="XL"),"GĐ2","GĐ1"),IF(K14="P1",IF(L14="S","GĐ2","GĐ3"),"GĐ4"))</f>
        <v/>
      </c>
      <c r="N14" s="47" t="inlineStr">
        <is>
          <t>Thêm nhánh logic; cần ScriptedGateway giả lập từng finish_reason để test.</t>
        </is>
      </c>
      <c r="O14" s="47" t="inlineStr">
        <is>
          <t>Phân bố finish_reason trong ledger llm_call (cần ghi thêm trường này); số lượt kết thúc với MAX_TOKENS; số sự cố chữ lặp.</t>
        </is>
      </c>
      <c r="P14" s="47" t="n"/>
      <c r="Q14" s="48" t="inlineStr">
        <is>
          <t>Chưa làm</t>
        </is>
      </c>
      <c r="R14" s="47" t="n"/>
      <c r="S14" s="47" t="n"/>
    </row>
    <row r="15" ht="79.5" customHeight="1" s="27">
      <c r="A15" s="46" t="inlineStr">
        <is>
          <t>M1-11</t>
        </is>
      </c>
      <c r="B15" s="47" t="inlineStr">
        <is>
          <t>1. Lõi tác tử</t>
        </is>
      </c>
      <c r="C15" s="47" t="inlineStr">
        <is>
          <t>Ngân sách token mỗi lượt và cửa sổ làm việc</t>
        </is>
      </c>
      <c r="D15" s="47" t="inlineStr">
        <is>
          <t>T02 Ngữ cảnh, lược đồ công cụ &amp; token</t>
        </is>
      </c>
      <c r="E15" s="47" t="inlineStr">
        <is>
          <t>config.py:50-60 (Budget), config.py:200 (context_window=1_000_000), config.py:155-160 (nguong_c1..c4), loop.py:1502-1504 (_context_pressure)</t>
        </is>
      </c>
      <c r="F15" s="47" t="inlineStr">
        <is>
          <t>Ngân sách lượt chỉ có max_tool_calls=40 và max_seconds=300, không có trần token. Nén C1 bắt đầu ở 60 % của 1 triệu token (600k), C2 ở 700k. Áp lực ngữ cảnh được ước bằng len(str(m))//3, đếm cả base64 của thought_signature trong `parts` và cả `envelope` nằm trong message.</t>
        </is>
      </c>
      <c r="G15" s="47" t="inlineStr">
        <is>
          <t>Một lượt có thể tiêu hàng triệu token mà không trần nào chặn. Ở cửa sổ vài trăm nghìn token, chất lượng truy hồi và bám chỉ dẫn của model đã giảm rõ ('context rot') từ rất lâu trước khi chạm 60 %, nên nén đến quá muộn với chất lượng nhưng quá sớm với ước lượng (đếm cả chữ ký base64). Usage thật (rsp.usage.input_tokens) đã có nhưng không được dùng để đo áp lực.</t>
        </is>
      </c>
      <c r="H15" s="47" t="inlineStr">
        <is>
          <t>Memory-augmented/MemGPT (quản lý cửa sổ), nguyên tắc 'mọi vòng lặp có trần token'</t>
        </is>
      </c>
      <c r="I15" s="47" t="inlineStr">
        <is>
          <t>(1) Thêm Budget.max_tokens_luot (vd. 600k đầu vào cộng dồn) kiểm trong _tool_loop bằng ctx.usage_luot.input_tokens, hết thì dừng như hết lời gọi. (2) Thêm ModelConfig.cua_so_lam_viec (vd. 200k) làm mẫu số cho muc_nen thay cho 1M. (3) _context_pressure lấy usage.input_tokens của phản hồi gần nhất, cộng phần message mới thêm ước theo chữ, bỏ trường parts/envelope khi ước.</t>
        </is>
      </c>
      <c r="J15" s="47" t="inlineStr">
        <is>
          <t>Chi phí lượt có trần dự đoán được; nén sớm giữ chất lượng bám ngữ cảnh; ước lượng khớp thực tế.</t>
        </is>
      </c>
      <c r="K15" s="48" t="inlineStr">
        <is>
          <t>P1</t>
        </is>
      </c>
      <c r="L15" s="48" t="inlineStr">
        <is>
          <t>S</t>
        </is>
      </c>
      <c r="M15" s="48">
        <f>IF(K15="P0",IF(OR(L15="L",L15="XL"),"GĐ2","GĐ1"),IF(K15="P1",IF(L15="S","GĐ2","GĐ3"),"GĐ4"))</f>
        <v/>
      </c>
      <c r="N15" s="47" t="inlineStr">
        <is>
          <t>Nén sớm hơn thì C2 (có LLM) chạy nhiều hơn; cần đo tỉ lệ nén C2 thất bại.</t>
        </is>
      </c>
      <c r="O15" s="47" t="inlineStr">
        <is>
          <t>Token đầu vào / lượt (p50/p95); sai số giữa ước lượng và usage thật; pass rate theo độ dài phiên.</t>
        </is>
      </c>
      <c r="P15" s="47" t="n"/>
      <c r="Q15" s="48" t="inlineStr">
        <is>
          <t>Chưa làm</t>
        </is>
      </c>
      <c r="R15" s="47" t="n"/>
      <c r="S15" s="47" t="n"/>
    </row>
    <row r="16" ht="90.75" customHeight="1" s="27">
      <c r="A16" s="46" t="inlineStr">
        <is>
          <t>M1-12</t>
        </is>
      </c>
      <c r="B16" s="47" t="inlineStr">
        <is>
          <t>1. Lõi tác tử</t>
        </is>
      </c>
      <c r="C16" s="47" t="inlineStr">
        <is>
          <t>Prompt caching và khối nhắc lặp trong transcript</t>
        </is>
      </c>
      <c r="D16" s="47" t="inlineStr">
        <is>
          <t>T02 Ngữ cảnh, lược đồ công cụ &amp; token</t>
        </is>
      </c>
      <c r="E16" s="47" t="inlineStr">
        <is>
          <t>loop.py:1497-1500 (_user_block), context/assemble.py:240-280, llm/gemini.py (không dùng CachedContent), memory/compact.py::c1</t>
        </is>
      </c>
      <c r="F16" s="47" t="inlineStr">
        <is>
          <t>Hiến pháp nằm trong system_instruction (ổn định, tốt). Toàn bộ khối &lt;system-reminder&gt; (eide_md ≤3k, inventory, facts, human_edits, pending, skills-hint) được NỐI CỨNG vào message user của mỗi lượt và lưu vĩnh viễn trong transcript. C1 chỉ stub kết quả công cụ, không động tới các reminder cũ. Chỉ có implicit caching, không dùng explicit cache (client.caches). Danh sách tool đổi mỗi khi một công cụ được mở khoá, làm vỡ prefix.</t>
        </is>
      </c>
      <c r="G16" s="47" t="inlineStr">
        <is>
          <t>Sau N lượt có N bản inventory/facts/pending cũ cùng nằm trong ngữ cảnh. Chúng mâu thuẫn với bản mới ('0 yêu cầu' ở lượt 3 với '5 yêu cầu' ở lượt 9), trái với §3 'inventory là sự thật', và tốn token. Prefix cache vỡ mỗi lần tool list đổi, nên tỉ lệ cached_tokens thấp hơn mức có thể đạt.</t>
        </is>
      </c>
      <c r="H16" s="47" t="inlineStr">
        <is>
          <t>Memory-augmented/MemGPT, Agentic RAG (ngữ cảnh đúng lúc)</t>
        </is>
      </c>
      <c r="I16" s="47" t="inlineStr">
        <is>
          <t>(1) Lưu reminder ở trường riêng `_reminder` của message user. Khi dựng contents cho LLM thì chỉ ghép reminder của message user MỚI NHẤT, còn các message cũ chỉ gửi `text` gốc. (2) Thêm bước C0 trong compact: xoá reminder cũ khỏi transcript. (3) Cố định thứ tự tool (sắp theo tên); bộ core ổn định đặt trước, công cụ mở khoá đặt sau. (4) Khi phần tĩnh (constitution + tool core) ≥ ngưỡng cache tối thiểu của API thì dùng client.caches.create với TTL khoảng 30 phút, truyền cached_content vào config. (5) Theo dõi tỉ lệ cached/input (Usage.cached_tokens đã có).</t>
        </is>
      </c>
      <c r="J16" s="47" t="inlineStr">
        <is>
          <t>Giảm mạnh token lặp; hết mâu thuẫn inventory; tỉ lệ cache cao hơn nên rẻ và nhanh hơn.</t>
        </is>
      </c>
      <c r="K16" s="48" t="inlineStr">
        <is>
          <t>P1</t>
        </is>
      </c>
      <c r="L16" s="48" t="inlineStr">
        <is>
          <t>M</t>
        </is>
      </c>
      <c r="M16" s="48">
        <f>IF(K16="P0",IF(OR(L16="L",L16="XL"),"GĐ2","GĐ1"),IF(K16="P1",IF(L16="S","GĐ2","GĐ3"),"GĐ4"))</f>
        <v/>
      </c>
      <c r="N16" s="47" t="inlineStr">
        <is>
          <t>Explicit cache có phí lưu trữ và cần làm mới khi constitution hay tool đổi; phải giữ được phát lại transcript phiên cũ.</t>
        </is>
      </c>
      <c r="O16" s="47" t="inlineStr">
        <is>
          <t>cached_tokens / input_tokens; token trung bình / lời gọi theo số lượt của phiên; số ca tác tử dẫn inventory cũ.</t>
        </is>
      </c>
      <c r="P16" s="47" t="inlineStr">
        <is>
          <t>M5-13</t>
        </is>
      </c>
      <c r="Q16" s="48" t="inlineStr">
        <is>
          <t>Chưa làm</t>
        </is>
      </c>
      <c r="R16" s="47" t="n"/>
      <c r="S16" s="47" t="n"/>
    </row>
    <row r="17" ht="124.5" customHeight="1" s="27">
      <c r="A17" s="46" t="inlineStr">
        <is>
          <t>M1-13</t>
        </is>
      </c>
      <c r="B17" s="47" t="inlineStr">
        <is>
          <t>1. Lõi tác tử</t>
        </is>
      </c>
      <c r="C17" s="47" t="inlineStr">
        <is>
          <t>Plan-and-Execute: thiếu Replanner và bước thực thi có cấu trúc</t>
        </is>
      </c>
      <c r="D17" s="47" t="inlineStr">
        <is>
          <t>T05 Lập kế hoạch &amp; thực thi theo bước</t>
        </is>
      </c>
      <c r="E17" s="47" t="inlineStr">
        <is>
          <t>ke_hoach.py (KeHoach, Buoc, doi_chieu), tools/ke_hoach.py (plan.enter/exit/step_done/merge/cancel), hooks/standard.py:497 (doi_chieu_ke_hoach)</t>
        </is>
      </c>
      <c r="F17" s="47" t="inlineStr">
        <is>
          <t>Plan mode tốt ở phần LẬP: khoá công cụ ghi, kiem_ke_hoach kiểm tên công cụ có thật và mỗi bước có hien_vat, thieu_phan_tich đòi bước kiến trúc và code.analyze, la_viec_lon tính bằng mã, G-SCOPE cho người duyệt, step_done đòi hiện vật mở ra được. Nhưng không có `plan.revise`: muốn sửa thì phải cancel rồi enter lại, và kế hoạch cũ bị cất. Buoc không có trường phụ thuộc và không có tiêu chí xong kiểm được bằng máy. doi_chieu chỉ so TÊN công cụ. Không có executor theo bước: tác tử chính tự nhảy giữa các bước trong một vòng ReAct chung với ngân sách 40 lời gọi cho cả lượt.</t>
        </is>
      </c>
      <c r="G17" s="47" t="inlineStr">
        <is>
          <t>Replan đắt (phải duyệt lại từ đầu) nên tác tử có xu hướng đi chệch trong im lặng thay vì sửa kế hoạch. Không có tiêu chí xong thì step_done chỉ kiểm 'có tệp' chứ không kiểm 'tệp đạt'. Không có phụ thuộc thì không biết bước nào làm song song được hay bước nào bị chặn khi một bước trước hỏng.</t>
        </is>
      </c>
      <c r="H17" s="47" t="inlineStr">
        <is>
          <t>Plan-and-Execute (Planner/Executor/Replanner), ReWOO, LLMCompiler</t>
        </is>
      </c>
      <c r="I17" s="47" t="inlineStr">
        <is>
          <t>(1) Thêm vào Buoc: `phu_thuoc: list[int]` và `tieu_chi_xong: str` (một lệnh hoặc truy vấn kiểm được, vd. 'build.compile ok', 'test.run pass', 'store.get REQ-3 tồn tại'). step_done tự chạy phép kiểm này khi có thể. (2) Công cụ `plan.revise(thay_doi, vi_sao)`: giữ các bước đã xong, sửa hoặc chèn bước chưa làm. Nếu thay đổi không làm kế hoạch lớn hơn (la_viec_lon không đổi) và không thêm cổng thì không cần duyệt lại, chỉ hiện diff trong &lt;pending&gt;. (3) Replanner tự động: bước thất bại 2 lần (cùng mã lỗi) hoặc doi_chieu phát hiện ≥3 công cụ ngoài kế hoạch → hook Stop chèn 'gọi plan.revise' thay cho lời nhắc chung chung. (4) Executor theo bước: lượt 'làm tiếp' chỉ đưa vào &lt;pending&gt; bước kế tiếp đang mở cùng ngân sách con (vd. 15 lời gọi / bước).</t>
        </is>
      </c>
      <c r="J17" s="47" t="inlineStr">
        <is>
          <t>Bớt đi chệch im lặng; bước 'xong' có ý nghĩa kiểm chứng; việc lớn đi qua nhiều lượt ổn định hơn.</t>
        </is>
      </c>
      <c r="K17" s="48" t="inlineStr">
        <is>
          <t>P1</t>
        </is>
      </c>
      <c r="L17" s="48" t="inlineStr">
        <is>
          <t>L</t>
        </is>
      </c>
      <c r="M17" s="48">
        <f>IF(K17="P0",IF(OR(L17="L",L17="XL"),"GĐ2","GĐ1"),IF(K17="P1",IF(L17="S","GĐ2","GĐ3"),"GĐ4"))</f>
        <v/>
      </c>
      <c r="N17" s="47" t="inlineStr">
        <is>
          <t>Kế hoạch phức tạp hơn thì mô hình soạn sai nhiều hơn; plan.revise không duyệt có thể bị lạm dụng để lách G-SCOPE (giữ quy tắc: thêm cổng hoặc R3 thì phải duyệt).</t>
        </is>
      </c>
      <c r="O17" s="47" t="inlineStr">
        <is>
          <t>Tỉ lệ kế hoạch hoàn thành không bị cancel; số bước step_done bị E6004; số lần lệch kế hoạch / kế hoạch; số lượt / kế hoạch.</t>
        </is>
      </c>
      <c r="P17" s="47" t="inlineStr">
        <is>
          <t>M2-06, M2-07</t>
        </is>
      </c>
      <c r="Q17" s="48" t="inlineStr">
        <is>
          <t>Chưa làm</t>
        </is>
      </c>
      <c r="R17" s="47" t="n"/>
      <c r="S17" s="47" t="n"/>
    </row>
    <row r="18" ht="124.5" customHeight="1" s="27">
      <c r="A18" s="46" t="inlineStr">
        <is>
          <t>M1-14</t>
        </is>
      </c>
      <c r="B18" s="47" t="inlineStr">
        <is>
          <t>1. Lõi tác tử</t>
        </is>
      </c>
      <c r="C18" s="47" t="inlineStr">
        <is>
          <t>Reflexion: biến thất bại thành bài học lâu dài</t>
        </is>
      </c>
      <c r="D18" s="47" t="inlineStr">
        <is>
          <t>T06 Reflexion – bài học dài hạn</t>
        </is>
      </c>
      <c r="E18" s="47" t="inlineStr">
        <is>
          <t>loop.py:642-660 (hết ngân sách), loop.py::_nhac_neu_dang_quay_vong, tools/writing.py:229 (memory.note, mục cố định Mục tiêu/Chip/Quyết định/Giả định/Quy ước/Đừng), hooks/standard.py (Stop)</t>
        </is>
      </c>
      <c r="F18" s="47" t="inlineStr">
        <is>
          <t>Thất bại được ghi ledger (incident, budget_exhausted, verifier bác, quay vòng, E-code lặp) và được nói ra cho người dùng, nhưng KHÔNG được chưng cất thành bài học. EIDE.md không có mục 'Bài học'; memory.note chỉ chạy khi mô hình tự nhớ ra mà gọi. Các 'bài học đo được' hiện chỉ nằm trong chú thích mã do người viết, chứ tác tử không tự học.</t>
        </is>
      </c>
      <c r="G18" s="47" t="inlineStr">
        <is>
          <t>Cùng một lỗi lặp lại qua phiên (vd. cày fs.read thay vì dùng addr2line, quên plan.step_done, tìm tệp sắp tự viết). Tác tử không có cơ chế mang kinh nghiệm thất bại sang lần sau, nên mỗi phiên bắt đầu từ con số 0 về hành vi.</t>
        </is>
      </c>
      <c r="H18" s="47" t="inlineStr">
        <is>
          <t>Reflexion, Memory-augmented/MemGPT</t>
        </is>
      </c>
      <c r="I18" s="47" t="inlineStr">
        <is>
          <t>(1) Thêm mục 'Bài học' vào EideMd, tác tử được ghi, có trần khoảng 15 dòng theo kiểu FIFO hoặc theo điểm dùng. (2) Hook cuối lượt `chung_cat_bai_hoc`: khi lượt có incident thuộc {budget_exhausted, quay vòng nổ, verifier khong_dat, E-code giống nhau ≥3 lần}, gọi 1 lần LLM (model summarize, thinking thấp, temperature 0) với đầu vào là chuỗi công cụ, lỗi và kết quả cuối, đầu ra theo lược đồ {tinh_huong, sai_o_dau, lan_sau_lam_gi, tu_khoa}. Hoặc dùng mẫu xác định cho các ca đã biết. (3) Truy hồi: assemble thêm khối &lt;bai_hoc&gt; ≤300 token, chọn theo tu_khoa khớp câu người dùng hoặc thực thể. (4) Người xem và xoá được trên khối A14.6; dòng nào được dùng mà lượt đó thành công thì tăng điểm.</t>
        </is>
      </c>
      <c r="J18" s="47" t="inlineStr">
        <is>
          <t>Giảm lỗi lặp giữa các phiên; tác tử thông minh dần theo dự án.</t>
        </is>
      </c>
      <c r="K18" s="48" t="inlineStr">
        <is>
          <t>P1</t>
        </is>
      </c>
      <c r="L18" s="48" t="inlineStr">
        <is>
          <t>M</t>
        </is>
      </c>
      <c r="M18" s="48">
        <f>IF(K18="P0",IF(OR(L18="L",L18="XL"),"GĐ2","GĐ1"),IF(K18="P1",IF(L18="S","GĐ2","GĐ3"),"GĐ4"))</f>
        <v/>
      </c>
      <c r="N18" s="47" t="inlineStr">
        <is>
          <t>Bài học sai hoặc quá khái quát sẽ thành thiên kiến lâu dài, nên cần trần dòng, nguồn [run-xx] và quyền xoá của người. Mỗi lần thất bại tốn thêm 1 lời gọi LLM.</t>
        </is>
      </c>
      <c r="O18" s="47" t="inlineStr">
        <is>
          <t>Tỉ lệ tái phát cùng loại incident giữa các phiên; số lần quay vòng / 100 lượt trước và sau; tỉ lệ bài học bị người xoá.</t>
        </is>
      </c>
      <c r="P18" s="47" t="inlineStr">
        <is>
          <t>M3-21, M5-14</t>
        </is>
      </c>
      <c r="Q18" s="48" t="inlineStr">
        <is>
          <t>Chưa làm</t>
        </is>
      </c>
      <c r="R18" s="47" t="n"/>
      <c r="S18" s="47" t="n"/>
    </row>
    <row r="19" ht="79.5" customHeight="1" s="27">
      <c r="A19" s="46" t="inlineStr">
        <is>
          <t>M1-15</t>
        </is>
      </c>
      <c r="B19" s="47" t="inlineStr">
        <is>
          <t>1. Lõi tác tử</t>
        </is>
      </c>
      <c r="C19" s="47" t="inlineStr">
        <is>
          <t>Tự động hoá kiểm chứng cuối việc bằng mã</t>
        </is>
      </c>
      <c r="D19" s="47" t="inlineStr">
        <is>
          <t>T04 Kiểm chứng độc lập (verifier)</t>
        </is>
      </c>
      <c r="E19" s="47" t="inlineStr">
        <is>
          <t>hooks/standard.py:557-612 (kiem_viec_chua_ai_kiem), loop.py:536-543 (chỉ 1 vòng thêm), loop.py:890-894 (ghi_chua_kiem)</t>
        </is>
      </c>
      <c r="F19" s="47" t="inlineStr">
        <is>
          <t>Khi có việc đã ghi mà chưa kiểm, hook Stop mở khoá task.run và CHÈN LỜI NHẮC bảo tác tử gọi verifier, chỉ được 1 vòng thêm. Các hook Stop khác (giả định, human_edits, said_something, hỏi xong thì làm tiếp) có thể nổ cùng lúc và bị nối thành một khối injection dài. Nếu mô hình lờ đi thì việc kết thúc mà không ai kiểm.</t>
        </is>
      </c>
      <c r="G19" s="47" t="inlineStr">
        <is>
          <t>Chính mã đã nhận định 'SubagentStop gọi verifier bằng MÃ vì lúc mô hình tự tin nhất là lúc nó ít gọi nhất', nhưng ở đường phổ biến nhất lại quay về trông vào mô hình. Nhiều lời nhắc gộp trong 1 vòng duy nhất cạnh tranh nhau, nên mô hình dễ chỉ làm cái đầu tiên.</t>
        </is>
      </c>
      <c r="H19" s="47" t="inlineStr">
        <is>
          <t>Evaluator–Optimizer, Prompt Chaining (cổng kiểm bằng code)</t>
        </is>
      </c>
      <c r="I19" s="47" t="inlineStr">
        <is>
          <t>Ở hook Stop, khi điều kiện chua_kiem đúng và không có kế hoạch dở: vòng lặp TỰ chạy SA.chay(ma='verifier', viec=viec_cho_verifier(bằng chứng dựng từ dau_vet và changeset của lượt)) bằng mã. Kết quả được append như một message tool giả (role=user, có cấu trúc) rồi mới cho tác tử 1 vòng để trình bày, kèm luật 'verifier bác thì phải nói ra'. Ưu tiên các injection của Stop theo bậc (human_edits &gt; verifier &gt; giả định &gt; hỏi-xong), mỗi vòng thêm chỉ đưa 1–2 cái quan trọng nhất.</t>
        </is>
      </c>
      <c r="J19" s="47" t="inlineStr">
        <is>
          <t>Kiểm chứng chạy 100 % ở cuối mỗi đợt việc, không phụ thuộc mô hình có nghe lời hay không.</t>
        </is>
      </c>
      <c r="K19" s="48" t="inlineStr">
        <is>
          <t>P1</t>
        </is>
      </c>
      <c r="L19" s="48" t="inlineStr">
        <is>
          <t>S</t>
        </is>
      </c>
      <c r="M19" s="48">
        <f>IF(K19="P0",IF(OR(L19="L",L19="XL"),"GĐ2","GĐ1"),IF(K19="P1",IF(L19="S","GĐ2","GĐ3"),"GĐ4"))</f>
        <v/>
      </c>
      <c r="N19" s="47" t="inlineStr">
        <is>
          <t>Thêm 1 subagent (≤10 lời gọi) cuối mỗi đợt việc; cần gộp với trần thời gian của lượt.</t>
        </is>
      </c>
      <c r="O19" s="47" t="inlineStr">
        <is>
          <t>Tỉ lệ đợt việc có ghi mà có verifier chạy (mục tiêu ~100 %); tỉ lệ verifier bác; số vòng thêm bị bỏ phí.</t>
        </is>
      </c>
      <c r="P19" s="47" t="inlineStr">
        <is>
          <t>M4-10</t>
        </is>
      </c>
      <c r="Q19" s="48" t="inlineStr">
        <is>
          <t>Chưa làm</t>
        </is>
      </c>
      <c r="R19" s="47" t="n"/>
      <c r="S19" s="47" t="n"/>
    </row>
    <row r="20" ht="90.75" customHeight="1" s="27">
      <c r="A20" s="46" t="inlineStr">
        <is>
          <t>M1-16</t>
        </is>
      </c>
      <c r="B20" s="47" t="inlineStr">
        <is>
          <t>1. Lõi tác tử</t>
        </is>
      </c>
      <c r="C20" s="47" t="inlineStr">
        <is>
          <t>Phản biện cho quyết định thiết kế</t>
        </is>
      </c>
      <c r="D20" s="47" t="inlineStr">
        <is>
          <t>T07 Phản biện thiết kế (Debate/ToT)</t>
        </is>
      </c>
      <c r="E20" s="47" t="inlineStr">
        <is>
          <t>ke_hoach.py::thieu_phan_tich (đòi store.option_create/option_choose/adr_create), subagent.py SUBAGENT['design-review']</t>
        </is>
      </c>
      <c r="F20" s="47" t="inlineStr">
        <is>
          <t>Kế hoạch viết mã mới phải có bước chọn kiến trúc (option/ADR), đây là điểm mạnh. Nhưng việc so phương án và chọn do CÙNG một tác tử, trong cùng một vòng, không có rubric chấm và không có vai phản biện. design-review chỉ chạy khi tác tử chính tự giao, và chỉ soi bản đồ mạch.</t>
        </is>
      </c>
      <c r="G20" s="47" t="inlineStr">
        <is>
          <t>Quyết định kiến trúc là điểm ảnh hưởng lớn nhất mà lại ít kiểm nhất: một góc nhìn, không phản chứng, không tiêu chí đo. Đúng loại quyết định mà mẫu Debate và Evaluator–Optimizer sinh ra để xử lý.</t>
        </is>
      </c>
      <c r="H20" s="47" t="inlineStr">
        <is>
          <t>Debate (nhiều vai phản biện + trọng tài), Evaluator–Optimizer (rubric, có trần vòng), ToT (sinh nhiều hướng rồi chấm)</t>
        </is>
      </c>
      <c r="I20" s="47" t="inlineStr">
        <is>
          <t>Thêm subagent 'phan-bien' (chỉ công cụ đọc, prompt 'tìm lý do phương án được chọn sẽ hỏng: tài nguyên chip, thời gian thực, khả năng test, rủi ro người'). Khi gọi store.option_choose hoặc store.adr_create, hook post_tool_use tự chạy phan-bien với rubric cố định (5 tiêu chí, mỗi tiêu chí 0–2, bắt buộc dẫn Fact). Điểm &lt; ngưỡng hoặc có phản chứng dẫn Fact VÀNG/BẠC → trả về tác tử tối đa 1 vòng sửa, rồi đưa cả hai quan điểm vào thẻ G-DESIGN cho người làm trọng tài. Trần: 1 vòng phản biện, 1 vòng sửa.</t>
        </is>
      </c>
      <c r="J20" s="47" t="inlineStr">
        <is>
          <t>Quyết định kiến trúc có lý lẽ hai chiều và bằng chứng; người duyệt thấy được đánh đổi.</t>
        </is>
      </c>
      <c r="K20" s="48" t="inlineStr">
        <is>
          <t>P2</t>
        </is>
      </c>
      <c r="L20" s="48" t="inlineStr">
        <is>
          <t>M</t>
        </is>
      </c>
      <c r="M20" s="48">
        <f>IF(K20="P0",IF(OR(L20="L",L20="XL"),"GĐ2","GĐ1"),IF(K20="P1",IF(L20="S","GĐ2","GĐ3"),"GĐ4"))</f>
        <v/>
      </c>
      <c r="N20" s="47" t="inlineStr">
        <is>
          <t>Tăng token và độ trễ ở các bước kiến trúc (ít xảy ra nên chấp nhận được); phản biện cùng model có thể yếu, nên dùng thinking cao.</t>
        </is>
      </c>
      <c r="O20" s="47" t="inlineStr">
        <is>
          <t>Tỉ lệ ADR bị người sửa hoặc bác sau duyệt; số lần phải đổi kiến trúc giữa chừng kế hoạch.</t>
        </is>
      </c>
      <c r="P20" s="47" t="inlineStr">
        <is>
          <t>M2-04, M2-13</t>
        </is>
      </c>
      <c r="Q20" s="48" t="inlineStr">
        <is>
          <t>Chưa làm</t>
        </is>
      </c>
      <c r="R20" s="47" t="n"/>
      <c r="S20" s="47" t="n"/>
    </row>
    <row r="21" ht="90.75" customHeight="1" s="27">
      <c r="A21" s="46" t="inlineStr">
        <is>
          <t>M1-17</t>
        </is>
      </c>
      <c r="B21" s="47" t="inlineStr">
        <is>
          <t>1. Lõi tác tử</t>
        </is>
      </c>
      <c r="C21" s="47" t="inlineStr">
        <is>
          <t>Phát hiện quay vòng</t>
        </is>
      </c>
      <c r="D21" s="47" t="inlineStr">
        <is>
          <t>T01 Giao thức &amp; độ bền vòng lặp</t>
        </is>
      </c>
      <c r="E21" s="47" t="inlineStr">
        <is>
          <t>loop.py:548-618 (_nhac_neu_dang_quay_vong, NGUONG_QUAY_VONG=6, NGUONG_TONG_DOC=10)</t>
        </is>
      </c>
      <c r="F21" s="47" t="inlineStr">
        <is>
          <t>Đếm theo tên công cụ (≥6) và theo tổng lời gọi chỉ-đọc (≥10), chỉ khi lượt chưa ghi gì. Mỗi loại nhắc 1 lần, gợi ý 4 lối ra (có tool.propose). Không phát hiện lời gọi TRÙNG Y HỆT (cùng tool và args), không đếm lỗi lặp cùng mã E-*, không leo thang sau lần nhắc đầu.</t>
        </is>
      </c>
      <c r="G21" s="47" t="inlineStr">
        <is>
          <t>Mô hình lờ lời nhắc thì vẫn cày tới hết 40 lời gọi. Lời gọi trùng y hệt (đọc lại cùng tệp, cùng ledger.query) tốn cả một lượt vòng mà kết quả không đổi. Lỗi cùng mã lặp lại (mô hình 'gọi lại y hệt', trái với hiến pháp) không bị bắt. Một lượt đã ghi một tệp rồi quay vòng thì miễn nhiễm hoàn toàn.</t>
        </is>
      </c>
      <c r="H21" s="47" t="inlineStr">
        <is>
          <t>ReAct (kiểm soát vòng lặp), Plan-and-Execute (leo thang sang replan)</t>
        </is>
      </c>
      <c r="I21" s="47" t="inlineStr">
        <is>
          <t>(1) Giữ ctx.da_goi_hash = Counter(hash(tool, json.dumps(args, sort_keys=True))). Lần trùng thứ 2 với công cụ chỉ-đọc thì không chạy lại mà trả stub 'kết quả y hệt lời gọi #k (đã có trong ngữ cảnh)'. (2) Đếm (tool, error.code) ≥2 → nhắc riêng kèm hint_for_agent của lỗi. (3) Leo thang: sau lần nhắc thứ nhất mà còn thêm ≥5 lời gọi chỉ-đọc thì gọi LLM vòng kế với tool_config mode=NONE, buộc trả lời hoặc gọi plan.enter/ask_user. (4) Tính lại điều kiện 'đã ghi' theo cửa sổ trượt 10 lời gọi gần nhất thay vì cả lượt.</t>
        </is>
      </c>
      <c r="J21" s="47" t="inlineStr">
        <is>
          <t>Cắt phần đuôi lãng phí của lượt quay vòng; ít lượt hết ngân sách hơn.</t>
        </is>
      </c>
      <c r="K21" s="48" t="inlineStr">
        <is>
          <t>P1</t>
        </is>
      </c>
      <c r="L21" s="48" t="inlineStr">
        <is>
          <t>S</t>
        </is>
      </c>
      <c r="M21" s="48">
        <f>IF(K21="P0",IF(OR(L21="L",L21="XL"),"GĐ2","GĐ1"),IF(K21="P1",IF(L21="S","GĐ2","GĐ3"),"GĐ4"))</f>
        <v/>
      </c>
      <c r="N21" s="47" t="inlineStr">
        <is>
          <t>Đọc lại sau khi tệp đã đổi thì không phải trùng: phải đưa mtime hoặc hash nội dung vào khoá (C1 đã có _khoa_doc để tham khảo).</t>
        </is>
      </c>
      <c r="O21" s="47" t="inlineStr">
        <is>
          <t>Số lời gọi trùng y hệt / lượt; tỉ lệ lượt hết 40 lời gọi; số lời gọi sau lần nhắc quay vòng đầu tiên.</t>
        </is>
      </c>
      <c r="P21" s="47" t="n"/>
      <c r="Q21" s="48" t="inlineStr">
        <is>
          <t>Chưa làm</t>
        </is>
      </c>
      <c r="R21" s="47" t="n"/>
      <c r="S21" s="47" t="n"/>
    </row>
    <row r="22" ht="90.75" customHeight="1" s="27">
      <c r="A22" s="46" t="inlineStr">
        <is>
          <t>M1-18</t>
        </is>
      </c>
      <c r="B22" s="47" t="inlineStr">
        <is>
          <t>1. Lõi tác tử</t>
        </is>
      </c>
      <c r="C22" s="47" t="inlineStr">
        <is>
          <t>tool.search và cơ chế nạp trễ</t>
        </is>
      </c>
      <c r="D22" s="47" t="inlineStr">
        <is>
          <t>T02 Ngữ cảnh, lược đồ công cụ &amp; token</t>
        </is>
      </c>
      <c r="E22" s="47" t="inlineStr">
        <is>
          <t>tools/registry.py:146-170 (search), tools/builtin.py:482-500 (tool.search)</t>
        </is>
      </c>
      <c r="F22" s="47" t="inlineStr">
        <is>
          <t>Chấm điểm theo chuỗi con hoặc fnmatch trên tên, summary_vi và keywords, chưa chuẩn hoá dấu tiếng Việt (trong khi hooks/s0.py đã có normalize_vi). Mở khoá tới 8 công cụ khớp; kết quả chỉ có name/summary/risk/requires, KHÔNG có lược đồ tham số. Công cụ chỉ gọi được ở vòng LLM SAU. Có lời nhắc tool.propose khi không khớp (tốt).</t>
        </is>
      </c>
      <c r="G22" s="47" t="inlineStr">
        <is>
          <t>Câu truy vấn không dấu hoặc khác chữ thì trượt. Mỗi lần tìm tốn trọn một vòng LLM trước khi gọi được công cụ. Mở 8 công cụ một lúc làm phình lược đồ vĩnh viễn (xem mục lược đồ). Tìm mờ trả về công cụ không liên quan.</t>
        </is>
      </c>
      <c r="H22" s="47" t="inlineStr">
        <is>
          <t>Agentic RAG (viết lại truy vấn, chấm độ liên quan) áp cho công cụ</t>
        </is>
      </c>
      <c r="I22" s="47" t="inlineStr">
        <is>
          <t>(1) Chuẩn hoá normalize_vi cho cả truy vấn lẫn chỉ mục; chấm BM25 trên tên + summary + keywords + returns_vi. (2) Chỉ mở khoá các công cụ đạt ngưỡng điểm, tối đa 3; kèm `ly_do_khop` để mô hình biết vì sao. (3) Mở khoá chủ động không cần vòng tìm: trong _assemble, nếu câu người dùng khớp mạnh keywords của một công cụ core=False thì mở luôn (đây là cách đã làm tay cho skill.load và plan.*). (4) Ghi ledger 'tool_search' gồm truy vấn, danh sách trả về và công cụ được gọi sau đó, để đo precision.</t>
        </is>
      </c>
      <c r="J22" s="47" t="inlineStr">
        <is>
          <t>Bớt vòng LLM lãng phí; công cụ đúng hiện ra đúng lúc; giảm số công cụ 'chưa nổ lần nào'.</t>
        </is>
      </c>
      <c r="K22" s="48" t="inlineStr">
        <is>
          <t>P2</t>
        </is>
      </c>
      <c r="L22" s="48" t="inlineStr">
        <is>
          <t>S</t>
        </is>
      </c>
      <c r="M22" s="48">
        <f>IF(K22="P0",IF(OR(L22="L",L22="XL"),"GĐ2","GĐ1"),IF(K22="P1",IF(L22="S","GĐ2","GĐ3"),"GĐ4"))</f>
        <v/>
      </c>
      <c r="N22" s="47" t="inlineStr">
        <is>
          <t>Mở khoá chủ động sai sẽ phình lược đồ; cần trần và cơ chế LRU đi kèm.</t>
        </is>
      </c>
      <c r="O22" s="47" t="inlineStr">
        <is>
          <t>Precision@3 của tool.search (công cụ trả về có được gọi ngay sau đó không); số tool.search / lượt; số công cụ chưa nổ lần nào.</t>
        </is>
      </c>
      <c r="P22" s="47" t="inlineStr">
        <is>
          <t>M1-02</t>
        </is>
      </c>
      <c r="Q22" s="48" t="inlineStr">
        <is>
          <t>Chưa làm</t>
        </is>
      </c>
      <c r="R22" s="47" t="n"/>
      <c r="S22" s="47" t="n"/>
    </row>
    <row r="23" ht="68.25" customHeight="1" s="27">
      <c r="A23" s="46" t="inlineStr">
        <is>
          <t>M1-19</t>
        </is>
      </c>
      <c r="B23" s="47" t="inlineStr">
        <is>
          <t>1. Lõi tác tử</t>
        </is>
      </c>
      <c r="C23" s="47" t="inlineStr">
        <is>
          <t>Kiểm tham số công cụ</t>
        </is>
      </c>
      <c r="D23" s="47" t="inlineStr">
        <is>
          <t>T01 Giao thức &amp; độ bền vòng lặp</t>
        </is>
      </c>
      <c r="E23" s="47" t="inlineStr">
        <is>
          <t>tools/registry.py:219-232 (_validate_args), tools/registry.py::run (E5999)</t>
        </is>
      </c>
      <c r="F23" s="47" t="inlineStr">
        <is>
          <t>Chỉ kiểm thiếu trường required và thừa trường lạ. Không kiểm kiểu (integer/string/array), không kiểm enum, không kiểm lược đồ lồng nhau (explain, items của buoc). Sai kiểu thì nổ trong thân công cụ thành E5999 'lỗi bên trong công cụ, không phải lỗi tham số của bạn'.</t>
        </is>
      </c>
      <c r="G23" s="47" t="inlineStr">
        <is>
          <t>Thông điệp E5999 nói sai nguyên nhân: lỗi do tham số mà lại bảo 'không phải lỗi tham số', nên mô hình không biết sửa gì và thường đổi hướng hoặc bỏ cuộc thay vì sửa một ký tự. Gemini cũng đã bị sanitize_schema bỏ bớt ràng buộc nên hay gửi sai kiểu hơn.</t>
        </is>
      </c>
      <c r="H23" s="47" t="inlineStr">
        <is>
          <t>Prompt Chaining (cổng kiểm bằng code), nguyên tắc 'lỗi thường nằm ở mô tả và lược đồ tool'</t>
        </is>
      </c>
      <c r="I23" s="47" t="inlineStr">
        <is>
          <t>Viết bộ kiểm JSON Schema tối giản (type, enum, items, properties lồng, minimum/maximum, có ép kiểu an toàn kiểu '3'→3), hoặc dùng jsonschema nếu chấp nhận phụ thuộc. Trả schema_violation có đường dẫn trường (vd. 'buoc[2].cong_cu: thiếu') và giá trị mong đợi. Ở nhánh Exception chung, nếu là TypeError hoặc KeyError phát sinh khi gọi fn thì phân loại lại thành lỗi tham số.</t>
        </is>
      </c>
      <c r="J23" s="47" t="inlineStr">
        <is>
          <t>Mô hình tự sửa lời gọi sai ngay ở vòng sau; giảm E5999 giả.</t>
        </is>
      </c>
      <c r="K23" s="48" t="inlineStr">
        <is>
          <t>P2</t>
        </is>
      </c>
      <c r="L23" s="48" t="inlineStr">
        <is>
          <t>S</t>
        </is>
      </c>
      <c r="M23" s="48">
        <f>IF(K23="P0",IF(OR(L23="L",L23="XL"),"GĐ2","GĐ1"),IF(K23="P1",IF(L23="S","GĐ2","GĐ3"),"GĐ4"))</f>
        <v/>
      </c>
      <c r="N23" s="47" t="inlineStr">
        <is>
          <t>Kiểm chặt quá sẽ bác những lời gọi trước đây vẫn chạy được nhờ công cụ tự xử lý; cần chạy qua bộ test công cụ.</t>
        </is>
      </c>
      <c r="O23" s="47" t="inlineStr">
        <is>
          <t>Số E5999 / 1000 lời gọi; tỉ lệ lời gọi sửa thành công ở vòng kế sau schema_violation.</t>
        </is>
      </c>
      <c r="P23" s="47" t="n"/>
      <c r="Q23" s="48" t="inlineStr">
        <is>
          <t>Chưa làm</t>
        </is>
      </c>
      <c r="R23" s="47" t="n"/>
      <c r="S23" s="47" t="n"/>
    </row>
    <row r="24" ht="113.25" customHeight="1" s="27">
      <c r="A24" s="46" t="inlineStr">
        <is>
          <t>M1-20</t>
        </is>
      </c>
      <c r="B24" s="47" t="inlineStr">
        <is>
          <t>1. Lõi tác tử</t>
        </is>
      </c>
      <c r="C24" s="47" t="inlineStr">
        <is>
          <t>Đo lường và eval quỹ đạo</t>
        </is>
      </c>
      <c r="D24" s="47" t="inlineStr">
        <is>
          <t>T15 Đo lường &amp; bộ đánh giá (eval)</t>
        </is>
      </c>
      <c r="E24" s="47" t="inlineStr">
        <is>
          <t>loop.py:672-676 (ledger llm_call), loop.py::_report, tools/chay_usecase.py, tools/bo_usecase.py, tools/theo_doi.py</t>
        </is>
      </c>
      <c r="F24" s="47" t="inlineStr">
        <is>
          <t>Ledger đã ghi đủ: llm_call (model, usage in/out/cached/thoughts, danh sách tool, elapsed), tool_use, tool_result, hook, gate, incident, turn.end. Có harness 76 TC chạy qua app thật, có ReplayGateway và theo_doi.py tổng kết 'cơ chế nào đã nổ'. Nhưng phép chấm 76 TC chỉ là 'có dấu hiệu của thứ đề bài chờ', không chấm quỹ đạo. Không có bảng chỉ số chuẩn mỗi phiên (lời gọi/lượt, cache ratio, quay vòng, tỉ lệ cổng, tỉ lệ verifier bác). Subagent không ghi llm_call; finish_reason không được ghi.</t>
        </is>
      </c>
      <c r="G24" s="47" t="inlineStr">
        <is>
          <t>Mọi đề xuất tối ưu ở trên (temperature, lược đồ, song song, thinking) đều cần một thước đo ổn định trước khi bật. Hiện mỗi thay đổi phải đọc tay chuỗi công cụ, và hồi quy chất lượng (khác với hồi quy pass/fail) không được bắt.</t>
        </is>
      </c>
      <c r="H24" s="47" t="inlineStr">
        <is>
          <t>Nguyên tắc 'có bộ đánh giá (eval) trước khi leo thang', Evaluator–Optimizer (giám khảo theo rubric)</t>
        </is>
      </c>
      <c r="I24" s="47" t="inlineStr">
        <is>
          <t>(1) Module `eide/do_luong.py`: từ ledger tính chỉ số theo lượt và theo phiên (n_llm, n_tool, tỉ lệ chỉ-đọc, cached/input, thoughts/out, số nhắc quay vòng, số lượt hết ngân sách, số cổng mở/duyệt/bác, tỉ lệ verifier dat/khong_dat, phân bố finish_reason), xuất JSON cho CI. (2) Ghi thêm finish_reason, muc_nghi và subagent vào llm_call. (3) Eval quỹ đạo: với mỗi TC, khai 'công cụ bắt buộc phải gọi / cấm gọi / hiện vật phải tồn tại' (kiểm bằng mã), cộng một LLM-giám khảo theo rubric 4 tiêu chí (đúng việc, có nguồn, nói giả định, không đạt giả) chạy offline. (4) Cổng CI: so với mốc cơ sở, chặn merge khi pass rate giảm &gt;3 điểm hoặc token/lượt tăng &gt;15 %.</t>
        </is>
      </c>
      <c r="J24" s="47" t="inlineStr">
        <is>
          <t>Mọi tối ưu có số đo trước và sau; bắt hồi quy hành vi sớm.</t>
        </is>
      </c>
      <c r="K24" s="48" t="inlineStr">
        <is>
          <t>P1</t>
        </is>
      </c>
      <c r="L24" s="48" t="inlineStr">
        <is>
          <t>M</t>
        </is>
      </c>
      <c r="M24" s="48">
        <f>IF(K24="P0",IF(OR(L24="L",L24="XL"),"GĐ2","GĐ1"),IF(K24="P1",IF(L24="S","GĐ2","GĐ3"),"GĐ4"))</f>
        <v/>
      </c>
      <c r="N24" s="47" t="inlineStr">
        <is>
          <t>LLM-giám khảo có thiên lệch, cần hiệu chỉnh trên một mẫu người chấm; chạy app thật 76 TC × 5 lần tốn chi phí.</t>
        </is>
      </c>
      <c r="O24" s="47" t="inlineStr">
        <is>
          <t>Có hay không bảng chỉ số tự động mỗi lần chạy; tương quan giữa điểm giám khảo và điểm người chấm; số hồi quy bị CI chặn.</t>
        </is>
      </c>
      <c r="P24" s="47" t="inlineStr">
        <is>
          <t>M4-20, M4-21</t>
        </is>
      </c>
      <c r="Q24" s="48" t="inlineStr">
        <is>
          <t>Chưa làm</t>
        </is>
      </c>
      <c r="R24" s="47" t="n"/>
      <c r="S24" s="47" t="inlineStr">
        <is>
          <t>Kéo lên giai đoạn sớm hơn vì là tiền đề (xem §5 kế hoạch)</t>
        </is>
      </c>
    </row>
    <row r="25" ht="79.5" customHeight="1" s="27">
      <c r="A25" s="46" t="inlineStr">
        <is>
          <t>M1-21</t>
        </is>
      </c>
      <c r="B25" s="47" t="inlineStr">
        <is>
          <t>1. Lõi tác tử</t>
        </is>
      </c>
      <c r="C25" s="47" t="inlineStr">
        <is>
          <t>CodeAct cho việc phân tích tạm thời</t>
        </is>
      </c>
      <c r="D25" s="47" t="inlineStr">
        <is>
          <t>T09 Phân tích mã tĩnh &amp; CodeAct</t>
        </is>
      </c>
      <c r="E25" s="47" t="inlineStr">
        <is>
          <t>nang_luc.py + tools/nang_luc.py (tool.propose / tool.reload), loop.py::_nhac_neu_dang_quay_vong (lựa chọn 4)</t>
        </is>
      </c>
      <c r="F25" s="47" t="inlineStr">
        <is>
          <t>Tác tử có thể tự viết công cụ Python LÂU DÀI qua tool.propose: duyệt bằng thẻ hiện mã nguồn, phải có test xanh, là changeset và nằm ở .eide/cong-cu. Đây là điểm mạnh lớn. Không có đường viết một đoạn mã dùng MỘT LẦN để trả lời nhanh một câu hỏi phân tích (đếm, lọc, đối chiếu nhiều tệp, tính toán), nên tác tử hoặc cày fs.read/grep (54 % lời gọi) hoặc phải đi cả quy trình đề xuất công cụ.</t>
        </is>
      </c>
      <c r="G25" s="47" t="inlineStr">
        <is>
          <t>Câu hỏi kiểu 'hàm nào gọi X qua con trỏ', 'tổng kích thước section', 'đối chiếu pinout giữa 3 tệp' cần hàng chục lời gọi JSON, trong khi một đoạn Python 10 dòng giải xong. tool.propose quá nặng cho việc dùng một lần.</t>
        </is>
      </c>
      <c r="H25" s="47" t="inlineStr">
        <is>
          <t>CodeAct</t>
        </is>
      </c>
      <c r="I25" s="47" t="inlineStr">
        <is>
          <t>Thêm công cụ `py.phan_tich(ma, dau_vao_tep[])` mức R1: chạy trong tiến trình con có giới hạn (thư mục dự án mount chỉ-đọc, không mạng, timeout 10 s, trần RAM, trần 4k ký tự stdout), chỉ cho thư viện chuẩn và các tiện ích đọc ELF/map có sẵn. Không ghi được tệp; mã và kết quả vào ledger. Nếu cùng một đoạn mã được dùng lại ≥3 lần thì hook gợi ý nâng cấp thành tool.propose (kèm chính số đo đó làm vi_sao).</t>
        </is>
      </c>
      <c r="J25" s="47" t="inlineStr">
        <is>
          <t>Giảm mạnh số lời gọi đọc / lượt ở các câu hỏi phân tích; cầu nối tự nhiên sang tool.propose.</t>
        </is>
      </c>
      <c r="K25" s="48" t="inlineStr">
        <is>
          <t>P2</t>
        </is>
      </c>
      <c r="L25" s="48" t="inlineStr">
        <is>
          <t>L</t>
        </is>
      </c>
      <c r="M25" s="48">
        <f>IF(K25="P0",IF(OR(L25="L",L25="XL"),"GĐ2","GĐ1"),IF(K25="P1",IF(L25="S","GĐ2","GĐ3"),"GĐ4"))</f>
        <v/>
      </c>
      <c r="N25" s="47" t="inlineStr">
        <is>
          <t>Sandbox trên macOS khó làm kín (cần sandbox-exec hoặc container); rủi ro an toàn nếu rò quyền ghi hoặc mạng nên phải qua policy và cổng nếu cần. Kết quả mã sai mà trông tin cậy.</t>
        </is>
      </c>
      <c r="O25" s="47" t="inlineStr">
        <is>
          <t>Số lời gọi / lượt ở nhóm câu hỏi phân tích; tỉ lệ py.phan_tich lỗi; số đoạn được nâng thành công cụ.</t>
        </is>
      </c>
      <c r="P25" s="47" t="inlineStr">
        <is>
          <t>M2-17, M3-08</t>
        </is>
      </c>
      <c r="Q25" s="48" t="inlineStr">
        <is>
          <t>Chưa làm</t>
        </is>
      </c>
      <c r="R25" s="47" t="n"/>
      <c r="S25" s="47" t="n"/>
    </row>
    <row r="26" ht="68.25" customHeight="1" s="27">
      <c r="A26" s="46" t="inlineStr">
        <is>
          <t>M1-22</t>
        </is>
      </c>
      <c r="B26" s="47" t="inlineStr">
        <is>
          <t>1. Lõi tác tử</t>
        </is>
      </c>
      <c r="C26" s="47" t="inlineStr">
        <is>
          <t>Độ bền lớp cấp quyền khi điều kiện lỗi</t>
        </is>
      </c>
      <c r="D26" s="47" t="inlineStr">
        <is>
          <t>T01 Giao thức &amp; độ bền vòng lặp</t>
        </is>
      </c>
      <c r="E26" s="47" t="inlineStr">
        <is>
          <t>policy/engine.py::_eval (raise ValueError), loop.py:850-852 (perm = self.policy.decide trong _one_tool), loop.py::turn (try/finally không có except)</t>
        </is>
      </c>
      <c r="F26" s="47" t="inlineStr">
        <is>
          <t>_eval ném ValueError khi một biểu thức `when` hoặc `auto_if` trong policy.yaml không tính được. Ý định đúng: không âm thầm cho qua. Nhưng _one_tool và turn không bắt ngoại lệ này, nên nó làm sập cả lượt (chỉ có finally ghi turn.end), mô hình không nhận được lỗi có hướng dẫn, và các lời gọi còn lại trong batch không có response.</t>
        </is>
      </c>
      <c r="G26" s="47" t="inlineStr">
        <is>
          <t>Một dòng luật viết sai (hoặc một hook đưa xuống facts kiểu lạ) biến thành sự cố toàn lượt thay vì một lời từ chối an toàn. Trái với tinh thần 'lỗi quay về mô hình như dữ liệu'.</t>
        </is>
      </c>
      <c r="H26" s="47" t="inlineStr">
        <is>
          <t>Human-in-the-loop (thất bại an toàn), Prompt Chaining (cổng kiểm)</t>
        </is>
      </c>
      <c r="I26" s="47" t="inlineStr">
        <is>
          <t>Bọc policy.decide trong _one_tool bằng try/except ValueError → coi là Decision('deny') với mã E4012 'luật cấp quyền lỗi, đã chặn an toàn', ghi incident kèm biểu thức, và báo người dùng bằng notice. Thêm test tĩnh lúc khởi động: thử _eval mọi biểu thức trong policy.yaml với một env mẫu để bắt lỗi cú pháp ngay khi nạp.</t>
        </is>
      </c>
      <c r="J26" s="47" t="inlineStr">
        <is>
          <t>Không còn sập lượt vì cấu hình; lỗi luật lộ ra ngay lúc khởi động.</t>
        </is>
      </c>
      <c r="K26" s="48" t="inlineStr">
        <is>
          <t>P2</t>
        </is>
      </c>
      <c r="L26" s="48" t="inlineStr">
        <is>
          <t>S</t>
        </is>
      </c>
      <c r="M26" s="48">
        <f>IF(K26="P0",IF(OR(L26="L",L26="XL"),"GĐ2","GĐ1"),IF(K26="P1",IF(L26="S","GĐ2","GĐ3"),"GĐ4"))</f>
        <v/>
      </c>
      <c r="N26" s="47" t="inlineStr">
        <is>
          <t>Thấp.</t>
        </is>
      </c>
      <c r="O26" s="47" t="inlineStr">
        <is>
          <t>Số lượt kết thúc bằng exception chưa bắt; số lỗi policy phát hiện lúc khởi động.</t>
        </is>
      </c>
      <c r="P26" s="47" t="n"/>
      <c r="Q26" s="48" t="inlineStr">
        <is>
          <t>Chưa làm</t>
        </is>
      </c>
      <c r="R26" s="47" t="n"/>
      <c r="S26" s="47" t="n"/>
    </row>
    <row r="27" ht="113.25" customHeight="1" s="27">
      <c r="A27" s="46" t="inlineStr">
        <is>
          <t>M2-01</t>
        </is>
      </c>
      <c r="B27" s="47" t="inlineStr">
        <is>
          <t>2. Phân tích &amp; thiết kế phần mềm</t>
        </is>
      </c>
      <c r="C27" s="47" t="inlineStr">
        <is>
          <t>Truy vết yêu cầu (traceability) REQ → thiết kế → mã → test</t>
        </is>
      </c>
      <c r="D27" s="47" t="inlineStr">
        <is>
          <t>T08 Yêu cầu &amp; truy vết</t>
        </is>
      </c>
      <c r="E27" s="47" t="inlineStr">
        <is>
          <t>src/eide/deps.py::ha_nguon_cua (dòng 52–79); src/eide/history.py::ghi_kho (dòng 109–140); src/eide/store/db.py:411</t>
        </is>
      </c>
      <c r="F27" s="47" t="inlineStr">
        <is>
          <t>deps.py có hai đường lan STALE: 'theo khai báo' (đọc deps.upstream của hiện vật) và 'theo loại' (bảng HA_NGUON: req → option, adr, block_diagram, code, criteria…). Kho có cột deps, nhưng history.ghi_kho không nhận và không truyền tham số deps. Grep toàn bộ src/eide chỉ thấy db.py ghi deps, nên deps.upstream luôn rỗng.</t>
        </is>
      </c>
      <c r="G27" s="47" t="inlineStr">
        <is>
          <t>Đường 'khai báo' không bao giờ chạy, nên chỉ còn lan theo loại. Sửa một REQ bất kỳ thì MỌI tệp code, mọi criteria, mọi option đều bị đánh STALE. Báo động giả hàng loạt dạy người dùng bỏ qua băng cảnh báo, đúng điều human_edit.py tự cảnh báo. Không trả lời được câu 'REQ FR-03 do tệp nào hiện thực, test nào kiểm', nên không có ma trận truy vết thật.</t>
        </is>
      </c>
      <c r="H27" s="47" t="inlineStr">
        <is>
          <t>Blackboard (kho hiện vật là bảng trạng thái chung), Memory-augmented</t>
        </is>
      </c>
      <c r="I27" s="47" t="inlineStr">
        <is>
          <t>Thêm tham số deps: dict|None vào History.ghi_kho rồi truyền xuống store.apply. Thêm trường 'hien_thuc_req: [FR-..]' (tuỳ chọn) vào fs.write/fs.edit, store.option_create (đã có dap_ung_req), ckm.module_set (đã có dap_ung_req), sim.criteria (đã có do_req ở từng assert) và test.run. Ánh xạ các trường này thành deps.upstream. Trong ha_nguon_cua: khi hiện vật có upstream khai báo thì KHÔNG lan theo loại cho nó (khai báo thắng mặc định). Viết hàm mới deps.ma_tran_truy_vet(store) → bảng REQ × {option, adr, code, criteria/assert, sim_result/test}, kèm bốn cột 'chưa thiết kế / chưa hiện thực / chưa kiểm / kiểm trượt'.</t>
        </is>
      </c>
      <c r="J27" s="47" t="inlineStr">
        <is>
          <t>STALE chỉ sáng đúng chỗ bị ảnh hưởng. Có ma trận truy vết để đưa vào tài liệu đề án và để tác tử tự hỏi 'REQ nào chưa có test'.</t>
        </is>
      </c>
      <c r="K27" s="48" t="inlineStr">
        <is>
          <t>P0</t>
        </is>
      </c>
      <c r="L27" s="48" t="inlineStr">
        <is>
          <t>M</t>
        </is>
      </c>
      <c r="M27" s="48">
        <f>IF(K27="P0",IF(OR(L27="L",L27="XL"),"GĐ2","GĐ1"),IF(K27="P1",IF(L27="S","GĐ2","GĐ3"),"GĐ4"))</f>
        <v/>
      </c>
      <c r="N27" s="47" t="inlineStr">
        <is>
          <t>Tác tử có thể khai thiếu hien_thuc_req. Cần cảnh báo mềm khi fs.write một tệp mã mà không gắn REQ nào, đồng thời giữ đường lan theo loại làm dự phòng cho hiện vật không khai.</t>
        </is>
      </c>
      <c r="O27" s="47" t="inlineStr">
        <is>
          <t>Số hiện vật bị STALE mỗi lần sửa REQ (kỳ vọng giảm &gt;70%); tỉ lệ REQ có đủ chuỗi REQ→code→test; tỉ lệ STALE được người 'chấp nhận không sửa' (đo báo động giả)</t>
        </is>
      </c>
      <c r="P27" s="47" t="inlineStr">
        <is>
          <t>M4-11</t>
        </is>
      </c>
      <c r="Q27" s="49" t="inlineStr">
        <is>
          <t>Xong</t>
        </is>
      </c>
      <c r="R27" s="47" t="inlineStr">
        <is>
          <t>Agent (Claude Opus 5)</t>
        </is>
      </c>
      <c r="S27" s="47" t="n"/>
      <c r="T27" s="50" t="inlineStr">
        <is>
          <t>06/10/2026</t>
        </is>
      </c>
      <c r="U27" s="50" t="inlineStr">
        <is>
          <t>DEV-333</t>
        </is>
      </c>
      <c r="V27" s="50" t="inlineStr">
        <is>
          <t>1628 → 1637</t>
        </is>
      </c>
      <c r="W27" s="50" t="inlineStr">
        <is>
          <t>kịch bản 3 REQ + 3 phương án + 3 tiêu chí + 3 tệp: sửa MỘT REQ làm 9 hiện vật STALE → còn 3. Phép đo đầu ra 6→2 vì bị hàng rào E4020 chặn, đã sửa kịch bản đo</t>
        </is>
      </c>
      <c r="X27" s="50" t="inlineStr">
        <is>
          <t>TRUY_VET — TẮT (phần nền chạy cả khi tắt)</t>
        </is>
      </c>
      <c r="Y27" s="50" t="inlineStr">
        <is>
          <t>ma_tran_truy_vet() chưa lên tab (làm ở M2-02)</t>
        </is>
      </c>
    </row>
    <row r="28" ht="79.5" customHeight="1" s="27">
      <c r="A28" s="46" t="inlineStr">
        <is>
          <t>M2-02</t>
        </is>
      </c>
      <c r="B28" s="47" t="inlineStr">
        <is>
          <t>2. Phân tích &amp; thiết kế phần mềm</t>
        </is>
      </c>
      <c r="C28" s="47" t="inlineStr">
        <is>
          <t>Ma trận truy vết hiển thị và cổng 'phủ yêu cầu' trước khi báo xong</t>
        </is>
      </c>
      <c r="D28" s="47" t="inlineStr">
        <is>
          <t>T08 Yêu cầu &amp; truy vết</t>
        </is>
      </c>
      <c r="E28" s="47" t="inlineStr">
        <is>
          <t>src/eide/surfaces.py::requirements (dòng 129–200); src/eide/hooks/standard.py::kiem_viec_chua_ai_kiem (dòng 557–612)</t>
        </is>
      </c>
      <c r="F28" s="47" t="inlineStr">
        <is>
          <t>Tab A2 có bảng REQ (A2.1), bảng phương án (A2.3, có cột 'Đáp ứng REQ/KHÔNG đáp ứng') và bảng ADR. Bảng tiêu chí mô phỏng hiện cột 'Đo yêu cầu nào' và ghi '— chưa gắn REQ —' khi thiếu. Stop hook buộc gọi verifier, nhưng verifier 'cố ý KHÔNG biết đề bài': nó chỉ đối chiếu bằng chứng với lời khai.</t>
        </is>
      </c>
      <c r="G28" s="47" t="inlineStr">
        <is>
          <t>Không có chỗ nào gộp lại thành câu 'trong 12 REQ có 3 REQ chưa có assert/test nào đo'. Verifier không xét phủ yêu cầu, nên tác tử có thể báo 'xong' khi một REQ chưa ai đụng tới. Kiểm thử phản ứng theo việc vừa làm, không chủ động theo đặc tả.</t>
        </is>
      </c>
      <c r="H28" s="47" t="inlineStr">
        <is>
          <t>Evaluator–Optimizer, Prompt Chaining (cổng kiểm bằng mã), Human-in-the-loop</t>
        </is>
      </c>
      <c r="I28" s="47" t="inlineStr">
        <is>
          <t>Thêm khối A2.5 'Ma trận truy vết' vào surfaces.requirements, dựng từ deps.ma_tran_truy_vet. Thêm Stop hook mới 'req_chua_phu': nếu có REQ loai FR/NFR mà không có assert do_req hoặc test trỏ tới, thì chèn system-reminder liệt kê các REQ đó và đòi một trong hai việc: viết sim.criteria/test, hoặc tuyên bố rõ là ngoài phạm vi lượt này. Hook chỉ chạy khi kế hoạch hiện tại đã hoàn thành (giống cách kiem_viec_chua_ai_kiem hoãn khi plan chưa xong), để không tốn lượt.</t>
        </is>
      </c>
      <c r="J28" s="47" t="inlineStr">
        <is>
          <t>Kiểm thử thành chủ động: tác tử biết thiếu test ở đâu trước khi người dùng phát hiện.</t>
        </is>
      </c>
      <c r="K28" s="48" t="inlineStr">
        <is>
          <t>P0</t>
        </is>
      </c>
      <c r="L28" s="48" t="inlineStr">
        <is>
          <t>S</t>
        </is>
      </c>
      <c r="M28" s="48">
        <f>IF(K28="P0",IF(OR(L28="L",L28="XL"),"GĐ2","GĐ1"),IF(K28="P1",IF(L28="S","GĐ2","GĐ3"),"GĐ4"))</f>
        <v/>
      </c>
      <c r="N28" s="47" t="inlineStr">
        <is>
          <t>Thêm một vòng Stop, tốn khoảng 1 lượt. Cần trần: hook chỉ nổ một lần mỗi lượt.</t>
        </is>
      </c>
      <c r="O28" s="47" t="inlineStr">
        <is>
          <t>Tỉ lệ REQ có ≥1 assert/test (coverage yêu cầu); số REQ 'mồ côi' khi kết thúc kế hoạch; số lỗi do người dùng tìm ra sau khi tác tử báo xong</t>
        </is>
      </c>
      <c r="P28" s="47" t="n"/>
      <c r="Q28" s="49" t="inlineStr">
        <is>
          <t>Xong</t>
        </is>
      </c>
      <c r="R28" s="47" t="inlineStr">
        <is>
          <t>Agent (Claude Opus 5)</t>
        </is>
      </c>
      <c r="S28" s="47" t="n"/>
      <c r="T28" s="50" t="inlineStr">
        <is>
          <t>07/10/2026</t>
        </is>
      </c>
      <c r="U28" s="50" t="inlineStr">
        <is>
          <t>DEV-334</t>
        </is>
      </c>
      <c r="V28" s="50" t="inlineStr">
        <is>
          <t>1637 → 1646</t>
        </is>
      </c>
      <c r="W28" s="50" t="inlineStr">
        <is>
          <t>63 kho thật: 5/37 REQ có ít nhất một phép đo; 27 chưa có phương án nào nhận; 0 REQ đi hết chuỗi. Cột 'Mã nguồn' trống ở MỌI dự án vì hien_thuc_req vừa mới tồn tại</t>
        </is>
      </c>
      <c r="X28" s="50" t="inlineStr">
        <is>
          <t>REQ_PHU — TẮT (khối A2.2 trên tab không phụ thuộc cờ)</t>
        </is>
      </c>
      <c r="Y28" s="50" t="inlineStr">
        <is>
          <t>khối là A2.2 chứ KHÔNG phải A2.5 như kế hoạch ghi — A2.5 đã là khối Kế hoạch chia việc</t>
        </is>
      </c>
    </row>
    <row r="29" ht="124.5" customHeight="1" s="27">
      <c r="A29" s="46" t="inlineStr">
        <is>
          <t>M2-03</t>
        </is>
      </c>
      <c r="B29" s="47" t="inlineStr">
        <is>
          <t>2. Phân tích &amp; thiết kế phần mềm</t>
        </is>
      </c>
      <c r="C29" s="47" t="inlineStr">
        <is>
          <t>Kiểm chất lượng yêu cầu (mơ hồ, mâu thuẫn, thiếu tiêu chí chấp nhận)</t>
        </is>
      </c>
      <c r="D29" s="47" t="inlineStr">
        <is>
          <t>T08 Yêu cầu &amp; truy vết</t>
        </is>
      </c>
      <c r="E29" s="47" t="inlineStr">
        <is>
          <t>src/eide/tools/writing.py::store_req_create (dòng 165–197)</t>
        </is>
      </c>
      <c r="F29" s="47" t="inlineStr">
        <is>
          <t>store.req_create bắt buộc source_quote (N7), còn criteria là tuỳ chọn (mặc định ''). Hàm không kiểm gì khác: không kiểm tiêu chí có đo được không (đơn vị, ngưỡng), không dò từ mơ hồ ('nhanh', 'ổn định', 'thông minh'), không so với REQ đã có để phát hiện trùng hay mâu thuẫn. Grep 'mơ hồ|mâu thuẫn|EARS|INVEST' trong src/eide không thấy bộ kiểm yêu cầu nào. Các ca TC004 (mơ hồ) và TC005 (mâu thuẫn hoặc bất khả thi) trong tools/bo_usecase.py hoàn toàn dựa vào lời nhắc mô hình.</t>
        </is>
      </c>
      <c r="G29" s="47" t="inlineStr">
        <is>
          <t>REQ không có tiêu chí đo được thì không sinh được assert, và chuỗi truy vết đứt ngay từ gốc. Mâu thuẫn giữa hai REQ (ví dụ 'pin 1 tuần' và 'gửi Wi-Fi mỗi giây') chỉ được phát hiện nếu mô hình tình cờ nhớ ra.</t>
        </is>
      </c>
      <c r="H29" s="47" t="inlineStr">
        <is>
          <t>Evaluator–Optimizer (rubric chất lượng yêu cầu), Prompt Chaining (cổng bằng mã)</t>
        </is>
      </c>
      <c r="I29" s="47" t="inlineStr">
        <is>
          <t>Tạo src/eide/yeu_cau.py gồm: (1) kiem_tieu_chi(criteria) bằng regex tìm số + đơn vị + phép so, không có thì trả cảnh báo 'tiêu chí chưa đo được'; (2) TU_MO_HO = {nhanh, ổn định, thông minh, dễ dùng, tốt, nhiều…} để dò trong text; (3) trung_lap(store, text) dùng độ tương tự token để phát hiện REQ trùng ý và gợi ý req_update; (4) với NFR có số, so cùng 'đại lượng' (ví dụ dòng, công suất) giữa các REQ và Fact để nêu cặp có thể mâu thuẫn. store.req_create trả kèm 'canh_bao_chat_luong' (không chặn). Thêm lệnh gom 'req.review' gọi subagent mới 'req-critic' (chỉ đọc, ≤8 lời gọi) chấm theo rubric kiểu INVEST/ISO 29148 (rõ ràng, đo được, khả thi, nhất quán, đầy đủ) và trả danh sách câu hỏi làm rõ để đưa vào ask_user.</t>
        </is>
      </c>
      <c r="J29" s="47" t="inlineStr">
        <is>
          <t>Bắt lỗi yêu cầu ở đầu chuỗi, nơi sửa rẻ nhất. TC004/TC005 chuyển từ phụ thuộc lời nhắc sang có bằng chứng bằng mã.</t>
        </is>
      </c>
      <c r="K29" s="48" t="inlineStr">
        <is>
          <t>P0</t>
        </is>
      </c>
      <c r="L29" s="48" t="inlineStr">
        <is>
          <t>M</t>
        </is>
      </c>
      <c r="M29" s="48">
        <f>IF(K29="P0",IF(OR(L29="L",L29="XL"),"GĐ2","GĐ1"),IF(K29="P1",IF(L29="S","GĐ2","GĐ3"),"GĐ4"))</f>
        <v/>
      </c>
      <c r="N29" s="47" t="inlineStr">
        <is>
          <t>Heuristic dò từ mơ hồ dễ kêu thừa. Chỉ nên cảnh báo, không chặn. req-critic tốn thêm token mỗi đợt đặc tả.</t>
        </is>
      </c>
      <c r="O29" s="47" t="inlineStr">
        <is>
          <t>Tỉ lệ REQ có tiêu chí đo được; số câu hỏi làm rõ sinh ra trên mỗi đặc tả; điểm pass TC004/TC005 theo người chấm (không chỉ dấu hiệu bề mặt)</t>
        </is>
      </c>
      <c r="P29" s="47" t="n"/>
      <c r="Q29" s="49" t="inlineStr">
        <is>
          <t>Xong</t>
        </is>
      </c>
      <c r="R29" s="47" t="inlineStr">
        <is>
          <t>Agent (Claude Opus 5)</t>
        </is>
      </c>
      <c r="S29" s="47" t="n"/>
      <c r="T29" s="50" t="inlineStr">
        <is>
          <t>07/10/2026</t>
        </is>
      </c>
      <c r="U29" s="50" t="inlineStr">
        <is>
          <t>DEV-335</t>
        </is>
      </c>
      <c r="V29" s="50" t="inlineStr">
        <is>
          <t>1646 → 1657</t>
        </is>
      </c>
      <c r="W29" s="50" t="inlineStr">
        <is>
          <t>37 REQ thật: 25 sạch (67 %), 11 thiếu tiêu chí đo được, 2 có từ mơ hồ. Lần đo đầu ra 3 từ mơ hồ, một là kêu oan ('ít nhất 2 lần' là mức đo được) — đã vá</t>
        </is>
      </c>
      <c r="X29" s="50" t="inlineStr">
        <is>
          <t>REQ_CHAT_LUONG — TẮT (module yeu_cau.py luôn có)</t>
        </is>
      </c>
      <c r="Y29" s="50" t="inlineStr">
        <is>
          <t>subagent req-critic CHƯA làm (chờ khung subagent M2-13). Và tìm thấy lỗi _go_dau trong src/eide/tools/design.py viết .replace('d','d') nên 'ổn định' ≠ 'ON DINH' — CHƯA sửa, ngoài phạm vi</t>
        </is>
      </c>
    </row>
    <row r="30" ht="124.5" customHeight="1" s="27">
      <c r="A30" s="46" t="inlineStr">
        <is>
          <t>M2-04</t>
        </is>
      </c>
      <c r="B30" s="47" t="inlineStr">
        <is>
          <t>2. Phân tích &amp; thiết kế phần mềm</t>
        </is>
      </c>
      <c r="C30" s="47" t="inlineStr">
        <is>
          <t>So sánh phương án kiến trúc có chấm điểm (ToT/Debate)</t>
        </is>
      </c>
      <c r="D30" s="47" t="inlineStr">
        <is>
          <t>T07 Phản biện thiết kế (Debate/ToT)</t>
        </is>
      </c>
      <c r="E30" s="47" t="inlineStr">
        <is>
          <t>src/eide/tools/design.py::option_create, option_choose; src/eide/surfaces.py:170–185 (bảng A2.3)</t>
        </is>
      </c>
      <c r="F30" s="47" t="inlineStr">
        <is>
          <t>store.option_create ghi từng phương án gồm ten, kien_truc, chi_phi_uoc, do_kho (thấp/trung bình/cao), rui_ro, dap_ung_req, khong_dap_ung. Docstring của design.py tự trích §E2: 'bảng so sánh cạnh nhau có CỘT ĐIỂM theo ràng buộc'. Lược đồ không có trường điểm hay trọng số, bảng A2.3 không có cột điểm. option_choose không kiểm có ≥2 phương án. Không có bước nào sinh nhiều phương án độc lập rồi chấm.</t>
        </is>
      </c>
      <c r="G30" s="47" t="inlineStr">
        <is>
          <t>Các phương án do cùng một mạch suy nghĩ sinh ra, thường có một phương án 'đúng' và vài phương án làm nền. Không có rubric nên không so được định lượng. Yêu cầu §E2 chưa được hiện thực.</t>
        </is>
      </c>
      <c r="H30" s="47" t="inlineStr">
        <is>
          <t>Tree of Thoughts (sinh nhiều hướng, chấm, chọn), Debate (phản biện chéo + trọng tài), Evaluator–Optimizer</t>
        </is>
      </c>
      <c r="I30" s="47" t="inlineStr">
        <is>
          <t>(1) Thêm vào option_create trường 'diem: {REQ/ràng buộc → 0..5, ly_do}' và thêm artefact 'rubric' (tieu_chi, trong_so, nguon = REQ/NFR). (2) Thêm công cụ mới 'design.explore' (core=False, R1) chạy N=3 subagent 'architect' với seed hoặc vai khác nhau (an toàn thời gian thực, chi phí thấp, dễ bảo trì), mỗi subagent đề xuất 1 phương án trong ngữ cảnh riêng. Sau đó 1 subagent 'design-critic' chấm từng phương án theo rubric và nêu điểm yếu chí mạng. Kết quả ghi thành option_*, kèm điểm trọng số tính bằng mã. (3) option_choose cảnh báo khi chỉ có 1 phương án hoặc khi chọn phương án không phải điểm cao nhất mà chưa có lý do trong he_qua. (4) Bảng A2.3 thêm cột 'Điểm (trọng số)'. Trần: N≤3, mỗi subagent ≤10 lời gọi.</t>
        </is>
      </c>
      <c r="J30" s="47" t="inlineStr">
        <is>
          <t>Quyết định kiến trúc có căn cứ định lượng, đúng tinh thần 'mọi thứ phải có sở cứ'. Giảm thiên lệch một phương án.</t>
        </is>
      </c>
      <c r="K30" s="48" t="inlineStr">
        <is>
          <t>P1</t>
        </is>
      </c>
      <c r="L30" s="48" t="inlineStr">
        <is>
          <t>M</t>
        </is>
      </c>
      <c r="M30" s="48">
        <f>IF(K30="P0",IF(OR(L30="L",L30="XL"),"GĐ2","GĐ1"),IF(K30="P1",IF(L30="S","GĐ2","GĐ3"),"GĐ4"))</f>
        <v/>
      </c>
      <c r="N30" s="47" t="inlineStr">
        <is>
          <t>Token nhân khoảng 3–4 lần ở bước thiết kế; độ trễ tăng. Chỉ bật cho việc 'tạo mới' (thieu_phan_tich đã phân biệt) hoặc khi người dùng yêu cầu.</t>
        </is>
      </c>
      <c r="O30" s="47" t="inlineStr">
        <is>
          <t>Số phương án trung bình mỗi quyết định; độ chênh điểm giữa phương án chọn và phương án nhì; tỉ lệ ADR bị đổi lại sau đó (đảo quyết định)</t>
        </is>
      </c>
      <c r="P30" s="47" t="inlineStr">
        <is>
          <t>M1-16</t>
        </is>
      </c>
      <c r="Q30" s="48" t="inlineStr">
        <is>
          <t>Chưa làm</t>
        </is>
      </c>
      <c r="R30" s="47" t="n"/>
      <c r="S30" s="47" t="n"/>
    </row>
    <row r="31" ht="57" customHeight="1" s="27">
      <c r="A31" s="46" t="inlineStr">
        <is>
          <t>M2-05</t>
        </is>
      </c>
      <c r="B31" s="47" t="inlineStr">
        <is>
          <t>2. Phân tích &amp; thiết kế phần mềm</t>
        </is>
      </c>
      <c r="C31" s="47" t="inlineStr">
        <is>
          <t>Kiểm tham chiếu REQ trong phương án</t>
        </is>
      </c>
      <c r="D31" s="47" t="inlineStr">
        <is>
          <t>T08 Yêu cầu &amp; truy vết</t>
        </is>
      </c>
      <c r="E31" s="47" t="inlineStr">
        <is>
          <t>src/eide/tools/design.py::option_create; đối chiếu src/eide/tools/ckm.py:286</t>
        </is>
      </c>
      <c r="F31" s="47" t="inlineStr">
        <is>
          <t>ckm.module_set kiểm từng mã trong dap_ung_req có tồn tại trong kho (req_la) và báo lại. store.option_create nhận dap_ung_req/khong_dap_ung mà không kiểm REQ có thật không, cũng không kiểm hợp của hai danh sách có phủ hết REQ hiện có.</t>
        </is>
      </c>
      <c r="G31" s="47" t="inlineStr">
        <is>
          <t>Tác tử có thể ghi REQ không tồn tại, hoặc bỏ sót REQ: phương án không nói gì về FR-05, nên người duyệt không biết nó có đáp ứng hay không. Bảng so sánh có lỗ mà trông như đủ.</t>
        </is>
      </c>
      <c r="H31" s="47" t="inlineStr">
        <is>
          <t>Prompt Chaining (cổng kiểm bằng mã)</t>
        </is>
      </c>
      <c r="I31" s="47" t="inlineStr">
        <is>
          <t>Trong option_create: tính req_la = REQ khai mà không có trong kho, và chua_xet = {REQ trong kho} − dap_ung − khong_dap_ung. Có req_la thì trả lỗi E5005 kèm gợi ý. Có chua_xet thì trả note_vi liệt kê 'phương án chưa nói gì về: …'. Bảng A2.3 tô các ô 'chưa xét'.</t>
        </is>
      </c>
      <c r="J31" s="47" t="inlineStr">
        <is>
          <t>Mọi phương án được xét đầy đủ trên tập REQ; bảng so sánh trung thực.</t>
        </is>
      </c>
      <c r="K31" s="48" t="inlineStr">
        <is>
          <t>P1</t>
        </is>
      </c>
      <c r="L31" s="48" t="inlineStr">
        <is>
          <t>S</t>
        </is>
      </c>
      <c r="M31" s="48">
        <f>IF(K31="P0",IF(OR(L31="L",L31="XL"),"GĐ2","GĐ1"),IF(K31="P1",IF(L31="S","GĐ2","GĐ3"),"GĐ4"))</f>
        <v/>
      </c>
      <c r="N31" s="47" t="inlineStr">
        <is>
          <t>Rất thấp.</t>
        </is>
      </c>
      <c r="O31" s="47" t="inlineStr">
        <is>
          <t>Số REQ 'chưa xét' trung bình mỗi phương án; số lỗi tham chiếu REQ lạ</t>
        </is>
      </c>
      <c r="P31" s="47" t="n"/>
      <c r="Q31" s="48" t="inlineStr">
        <is>
          <t>Chưa làm</t>
        </is>
      </c>
      <c r="R31" s="47" t="n"/>
      <c r="S31" s="47" t="n"/>
    </row>
    <row r="32" ht="113.25" customHeight="1" s="27">
      <c r="A32" s="46" t="inlineStr">
        <is>
          <t>M2-06</t>
        </is>
      </c>
      <c r="B32" s="47" t="inlineStr">
        <is>
          <t>2. Phân tích &amp; thiết kế phần mềm</t>
        </is>
      </c>
      <c r="C32" s="47" t="inlineStr">
        <is>
          <t>Kế hoạch sinh mã dạng Prompt Chaining có cổng kiểm từng bước</t>
        </is>
      </c>
      <c r="D32" s="47" t="inlineStr">
        <is>
          <t>T05 Lập kế hoạch &amp; thực thi theo bước</t>
        </is>
      </c>
      <c r="E32" s="47" t="inlineStr">
        <is>
          <t>src/eide/ke_hoach.py::Buoc, kiem_ke_hoach, thieu_phan_tich; src/eide/tools/ke_hoach.py:246–270</t>
        </is>
      </c>
      <c r="F32" s="47" t="inlineStr">
        <is>
          <t>Đây là điểm mạnh. Plan mode khoá công cụ ghi; plan.exit kiểm hình thức (2–20 bước, công cụ có thật, mỗi bước có hiện vật) và chặn kế hoạch viết mã mới khi thiếu bước chọn kiến trúc (option/adr) và thiếu bước nói cấu trúc mã. Kế hoạch sửa mã bị chặn nếu thiếu code.analyze. plan.step_done đòi hiện vật thật (E6004). Tuy vậy, Buoc chỉ có viec/cong_cu/hien_vat/cong/chi_phi: không có trường 'kiểm bằng gì' và không có trường 'REQ nào'. Phép kiểm 'cấu trúc mã' chỉ là tìm từ khoá (_TU_CAU_TRUC: 'module', 'api', 'thư mục'…).</t>
        </is>
      </c>
      <c r="G32" s="47" t="inlineStr">
        <is>
          <t>Mỗi bước đã có hiện vật nhưng không có cổng chất lượng: viết xong firmware/x.c rồi sang bước sau mà không bắt build/test. Tác tử có thể lách phép kiểm cấu trúc chỉ bằng cách viết chữ 'module' vào ghi_chu. Không truy được bước nào hiện thực REQ nào.</t>
        </is>
      </c>
      <c r="H32" s="47" t="inlineStr">
        <is>
          <t>Prompt Chaining, Plan-and-Execute</t>
        </is>
      </c>
      <c r="I32" s="47" t="inlineStr">
        <is>
          <t>Thêm vào Buoc hai trường: 'kiem: str' (một tên công cụ kiểm: build.compile | test.run | sim.run | hdl.lint | code.analyze) và 'req: list[str]'. kiem_ke_hoach đòi mọi bước có _la_ma(b) phải có kiem. plan.step_done với bước có kiem thì đối chiếu sổ cái: phải có lời gọi công cụ kiem ok=True SAU lần ghi hiện vật của bước đó, nếu không thì từ chối (mã lỗi mới E6006). Thay phép tìm từ khoá cấu trúc bằng yêu cầu một hiện vật 'code_structure' (danh sách tệp + trách nhiệm + giao diện) được ghi trước bước sinh mã đầu tiên.</t>
        </is>
      </c>
      <c r="J32" s="47" t="inlineStr">
        <is>
          <t>Lỗi được chặn ngay tại bước sinh ra nó, không dồn tới cuối kế hoạch.</t>
        </is>
      </c>
      <c r="K32" s="48" t="inlineStr">
        <is>
          <t>P0</t>
        </is>
      </c>
      <c r="L32" s="48" t="inlineStr">
        <is>
          <t>M</t>
        </is>
      </c>
      <c r="M32" s="48">
        <f>IF(K32="P0",IF(OR(L32="L",L32="XL"),"GĐ2","GĐ1"),IF(K32="P1",IF(L32="S","GĐ2","GĐ3"),"GĐ4"))</f>
        <v/>
      </c>
      <c r="N32" s="47" t="inlineStr">
        <is>
          <t>Mỗi bước thêm một lời gọi build/test. Với AVR/ARM biên dịch nhanh nên chấp nhận được; cho phép kiem='khong' kèm lý do cho bước thuần tài liệu.</t>
        </is>
      </c>
      <c r="O32" s="47" t="inlineStr">
        <is>
          <t>Số lỗi biên dịch/test phát hiện ở bước cuối so với tại bước; số lượt sửa lại; pass@1 build sau mỗi bước</t>
        </is>
      </c>
      <c r="P32" s="47" t="inlineStr">
        <is>
          <t>M1-13</t>
        </is>
      </c>
      <c r="Q32" s="49" t="inlineStr">
        <is>
          <t>Xong</t>
        </is>
      </c>
      <c r="R32" s="47" t="inlineStr">
        <is>
          <t>Agent (Claude Opus 5)</t>
        </is>
      </c>
      <c r="S32" s="47" t="n"/>
      <c r="T32" s="50" t="inlineStr">
        <is>
          <t>07/10/2026</t>
        </is>
      </c>
      <c r="U32" s="50" t="inlineStr">
        <is>
          <t>DEV-336</t>
        </is>
      </c>
      <c r="V32" s="50" t="inlineStr">
        <is>
          <t>1657 → 1671</t>
        </is>
      </c>
      <c r="W32" s="50" t="inlineStr">
        <is>
          <t>sổ cái thật: 26 lần đánh dấu 'xong' ngay sau một lần ghi mã, 19 lần (73 %) không có phép kiểm nào đạt ở giữa. Phép đo đầu ở mức dự án ra 0 — đúng nhưng đo sai câu hỏi</t>
        </is>
      </c>
      <c r="X32" s="50" t="inlineStr">
        <is>
          <t>KE_HOACH_CONG_KIEM — TẮT</t>
        </is>
      </c>
      <c r="Y32" s="50" t="inlineStr">
        <is>
          <t>mã lỗi E6012 (bảng TC của kế hoạch ghi nhầm E6010)</t>
        </is>
      </c>
    </row>
    <row r="33" ht="57" customHeight="1" s="27">
      <c r="A33" s="46" t="inlineStr">
        <is>
          <t>M2-07</t>
        </is>
      </c>
      <c r="B33" s="47" t="inlineStr">
        <is>
          <t>2. Phân tích &amp; thiết kế phần mềm</t>
        </is>
      </c>
      <c r="C33" s="47" t="inlineStr">
        <is>
          <t>Replanner khi bước thất bại</t>
        </is>
      </c>
      <c r="D33" s="47" t="inlineStr">
        <is>
          <t>T05 Lập kế hoạch &amp; thực thi theo bước</t>
        </is>
      </c>
      <c r="E33" s="47" t="inlineStr">
        <is>
          <t>src/eide/ke_hoach.py::doi_chieu (dòng 285–301); hooks/standard.py::doi_chieu_ke_hoach</t>
        </is>
      </c>
      <c r="F33" s="47" t="inlineStr">
        <is>
          <t>doi_chieu chỉ báo 'ngoai_ke_hoach' và 'chua_lam', và docstring nói rõ không phía nào bị coi là lỗi. Không có trạng thái bước 'that_bai'; Buoc chỉ có cờ xong: bool. Không có đường sửa kế hoạch có kiểm soát giữa chừng ngoài plan.enter mới (cất kế hoạch cũ).</t>
        </is>
      </c>
      <c r="G33" s="47" t="inlineStr">
        <is>
          <t>Khi một bước vỡ (ví dụ thiết kế ISR không đạt thời gian), tác tử hoặc tự ứng biến ngoài kế hoạch, hoặc bỏ cả kế hoạch. Phần đã làm và lý do đổi hướng không được ghi thành tri thức.</t>
        </is>
      </c>
      <c r="H33" s="47" t="inlineStr">
        <is>
          <t>Plan-and-Execute (Replanner), Reflexion</t>
        </is>
      </c>
      <c r="I33" s="47" t="inlineStr">
        <is>
          <t>Thêm trạng thái bước {cho, xong, that_bai, bo} kèm 'ly_do'. Thêm công cụ 'plan.revise(tu_buoc, buoc_moi[], ly_do)': chỉ sửa phần CHƯA làm, giữ nguyên bước đã xong, qua lại cổng G-SCOPE khi số bước thay đổi &gt;30% hoặc thêm công cụ có gate. Khi một bước that_bai thì tự ghi memory.note mục 'Bài học' (Reflexion) để lần lập kế hoạch sau đọc lại.</t>
        </is>
      </c>
      <c r="J33" s="47" t="inlineStr">
        <is>
          <t>Kế hoạch dài sống sót qua thất bại cục bộ; người dùng thấy rõ vì sao đổi hướng.</t>
        </is>
      </c>
      <c r="K33" s="48" t="inlineStr">
        <is>
          <t>P2</t>
        </is>
      </c>
      <c r="L33" s="48" t="inlineStr">
        <is>
          <t>M</t>
        </is>
      </c>
      <c r="M33" s="48">
        <f>IF(K33="P0",IF(OR(L33="L",L33="XL"),"GĐ2","GĐ1"),IF(K33="P1",IF(L33="S","GĐ2","GĐ3"),"GĐ4"))</f>
        <v/>
      </c>
      <c r="N33" s="47" t="inlineStr">
        <is>
          <t>Thêm một công cụ và một nhánh duyệt; cần trần số lần revise (ví dụ 3) để tránh lập kế hoạch vô tận.</t>
        </is>
      </c>
      <c r="O33" s="47" t="inlineStr">
        <is>
          <t>Tỉ lệ kế hoạch hoàn thành; số lần plan.enter lại do bỏ kế hoạch; số bước 'ngoai_ke_hoach' trung bình</t>
        </is>
      </c>
      <c r="P33" s="47" t="inlineStr">
        <is>
          <t>M1-13</t>
        </is>
      </c>
      <c r="Q33" s="48" t="inlineStr">
        <is>
          <t>Chưa làm</t>
        </is>
      </c>
      <c r="R33" s="47" t="n"/>
      <c r="S33" s="47" t="n"/>
    </row>
    <row r="34" ht="79.5" customHeight="1" s="27">
      <c r="A34" s="46" t="inlineStr">
        <is>
          <t>M2-08</t>
        </is>
      </c>
      <c r="B34" s="47" t="inlineStr">
        <is>
          <t>2. Phân tích &amp; thiết kế phần mềm</t>
        </is>
      </c>
      <c r="C34" s="47" t="inlineStr">
        <is>
          <t>Phân tích mã tĩnh: nhận diện hàm (ISR, static, macro)</t>
        </is>
      </c>
      <c r="D34" s="47" t="inlineStr">
        <is>
          <t>T09 Phân tích mã tĩnh &amp; CodeAct</t>
        </is>
      </c>
      <c r="E34" s="47" t="inlineStr">
        <is>
          <t>src/eide/phan_tich_ma.py::_HAM (dòng 33–41), _ky_hieu</t>
        </is>
      </c>
      <c r="F34" s="47" t="inlineStr">
        <is>
          <t>Regex C là '^[A-Za-z_][\w \*]*\s+\**(\w+)\s*\([^;]*\)\s*\{': bắt buộc có kiểu trả về trước tên hàm. Header được tách theo prototype.</t>
        </is>
      </c>
      <c r="G34" s="47" t="inlineStr">
        <is>
          <t>Regex này không bắt được ISR viết bằng macro AVR 'ISR(TIMER1_COMPA_vect) {', vì trước 'ISR' không có kiểu. Nó cũng không bắt được 'void __attribute__((interrupt)) X(void)' và handler Cortex-M khai báo trong bảng vector. Đây đúng là những hàm nguy hiểm nhất khi sửa firmware: tài liệu yêu cầu robot cấm số thực và phép chia trong ngắt 50 kHz. Hàm khai qua macro, con trỏ hàm và typedef cũng vô hình.</t>
        </is>
      </c>
      <c r="H34" s="47" t="inlineStr">
        <is>
          <t>CodeAct (phân tích bằng công cụ thật thay vì regex)</t>
        </is>
      </c>
      <c r="I34" s="47" t="inlineStr">
        <is>
          <t>Thêm mẫu riêng: r'^\s*ISR\s*\(\s*(\w+)' và r'__attribute__\s*\(\(\s*(interrupt|signal)'. Đọc bảng vector trong startup_*.s và *_IRQHandler để gắn nhãn 'isr'. Đổi TepMa.ky_hieu thành danh sách {ten, loai: ham|isr|static|macro, dong}. Về lâu dài dùng tree-sitter-c hoặc libclang (nếu có trên máy) để có AST, giữ regex làm dự phòng.</t>
        </is>
      </c>
      <c r="J34" s="47" t="inlineStr">
        <is>
          <t>Tài liệu phân tích liệt kê đủ ISR, nên code-analyst soi được đúng chỗ đắt nhất.</t>
        </is>
      </c>
      <c r="K34" s="48" t="inlineStr">
        <is>
          <t>P0</t>
        </is>
      </c>
      <c r="L34" s="48" t="inlineStr">
        <is>
          <t>S</t>
        </is>
      </c>
      <c r="M34" s="48">
        <f>IF(K34="P0",IF(OR(L34="L",L34="XL"),"GĐ2","GĐ1"),IF(K34="P1",IF(L34="S","GĐ2","GĐ3"),"GĐ4"))</f>
        <v/>
      </c>
      <c r="N34" s="47" t="inlineStr">
        <is>
          <t>tree-sitter là phụ thuộc mới; regex bổ sung thì gần như không rủi ro.</t>
        </is>
      </c>
      <c r="O34" s="47" t="inlineStr">
        <is>
          <t>Tỉ lệ ISR được nhận diện trên bộ dự án mẫu (robot AVR, STM32F469); số ký hiệu bỏ sót so với ctags</t>
        </is>
      </c>
      <c r="P34" s="47" t="n"/>
      <c r="Q34" s="49" t="inlineStr">
        <is>
          <t>Xong</t>
        </is>
      </c>
      <c r="R34" s="47" t="inlineStr">
        <is>
          <t>Agent (Claude Opus 5)</t>
        </is>
      </c>
      <c r="S34" s="47" t="n"/>
      <c r="T34" s="50" t="inlineStr">
        <is>
          <t>07/10/2026</t>
        </is>
      </c>
      <c r="U34" s="50" t="inlineStr">
        <is>
          <t>DEV-337</t>
        </is>
      </c>
      <c r="V34" s="50" t="inlineStr">
        <is>
          <t>1671 → 1679</t>
        </is>
      </c>
      <c r="W34" s="50" t="inlineStr">
        <is>
          <t>185 tệp .c thật: 1 758 → 1 786 hàm thấy được (+28 hàm trước đây VÔ HÌNH: 8 ngắt + 20 bị regex tham lam nuốt). 78 hàm nay gắn nhãn 'isr', 70 trong đó vốn đã có trong danh sách</t>
        </is>
      </c>
      <c r="X34" s="50" t="inlineStr">
        <is>
          <t>không có cờ — sửa lỗi thuần</t>
        </is>
      </c>
      <c r="Y34" s="50" t="inlineStr">
        <is>
          <t>—</t>
        </is>
      </c>
    </row>
    <row r="35" ht="124.5" customHeight="1" s="27">
      <c r="A35" s="46" t="inlineStr">
        <is>
          <t>M2-09</t>
        </is>
      </c>
      <c r="B35" s="47" t="inlineStr">
        <is>
          <t>2. Phân tích &amp; thiết kế phần mềm</t>
        </is>
      </c>
      <c r="C35" s="47" t="inlineStr">
        <is>
          <t>Phân tích tĩnh chiều sâu: call graph, độ phức tạp, ngăn xếp, ngữ cảnh ISR</t>
        </is>
      </c>
      <c r="D35" s="47" t="inlineStr">
        <is>
          <t>T09 Phân tích mã tĩnh &amp; CodeAct</t>
        </is>
      </c>
      <c r="E35" s="47" t="inlineStr">
        <is>
          <t>src/eide/phan_tich_ma.py (cả tệp, 144 dòng); docstring 'Không phân tích ngữ nghĩa, không dựng đồ thị gọi hàm đúng nghĩa'</t>
        </is>
      </c>
      <c r="F35" s="47" t="inlineStr">
        <is>
          <t>code.analyze chỉ dò 'tên ký hiệu xuất hiện ở tệp nào' (quét văn bản, mức tệp), sau đó giao cho subagent code-analyst (≤14 lời gọi đọc) nhận định về chỗ gọi gián tiếp. Không có đồ thị gọi hàm mức hàm, không đo độ phức tạp vòng (cyclomatic), không ước lượng ngăn xếp, không biết hàm nào chạy trong ngữ cảnh ngắt, không phát hiện biến chung ISR/main thiếu volatile hoặc thiếu đoạn cấm ngắt. Build có -Wall -Wextra (toolchain.py:434, 732), nhưng không có -fstack-usage, -fanalyzer hay cppcheck.</t>
        </is>
      </c>
      <c r="G35" s="47" t="inlineStr">
        <is>
          <t>Với firmware, các lỗi đắt nhất là tràn ngăn xếp, race condition giữa ISR và main, và ISR quá dài. Phép quét văn bản không thấy được những lỗi này, còn code-analyst chỉ đọc bằng mắt với 14 lời gọi.</t>
        </is>
      </c>
      <c r="H35" s="47" t="inlineStr">
        <is>
          <t>CodeAct, Evaluator–Optimizer</t>
        </is>
      </c>
      <c r="I35" s="47" t="inlineStr">
        <is>
          <t>Tạo src/eide/build/phan_tich_tinh.py và công cụ 'code.static' (R1, core=False): (1) biên dịch thêm cờ -fstack-usage -fcallgraph-info=su (GCC ≥10), đọc .su/.ci để có call graph và ngăn xếp tối đa theo chuỗi gọi từ main và từ mỗi ISR, so với RAM trong hộ chiếu chip; (2) chạy cppcheck --enable=warning,performance,portability --addon=misra nếu có cài (đi qua tool.install); (3) đo độ phức tạp vòng bằng lizard (pip) hoặc đếm nhánh trên AST; (4) luật riêng cho ISR: trong tập hàm reachable từ ISR, cấm float/double, '/', '%', gọi hàm chặn (_delay_ms, printf), và báo biến toàn cục được ghi ở cả ISR lẫn main mà không có volatile. Kết quả ghi thành artefact 'findings' có path tệp:dòng. code.analyze đính kèm tóm tắt này vào phần DỮ KIỆN.</t>
        </is>
      </c>
      <c r="J35" s="47" t="inlineStr">
        <is>
          <t>Bắt được lớp lỗi firmware mà test trên máy chủ không bắt được; code-analyst có dữ kiện thật để nhận định.</t>
        </is>
      </c>
      <c r="K35" s="48" t="inlineStr">
        <is>
          <t>P1</t>
        </is>
      </c>
      <c r="L35" s="48" t="inlineStr">
        <is>
          <t>L</t>
        </is>
      </c>
      <c r="M35" s="48">
        <f>IF(K35="P0",IF(OR(L35="L",L35="XL"),"GĐ2","GĐ1"),IF(K35="P1",IF(L35="S","GĐ2","GĐ3"),"GĐ4"))</f>
        <v/>
      </c>
      <c r="N35" s="47" t="inlineStr">
        <is>
          <t>Phụ thuộc phiên bản GCC và cppcheck; addon MISRA cần tệp luật có bản quyền, nên chỉ chạy kiểm tra cú pháp. Cần trần thời gian chạy.</t>
        </is>
      </c>
      <c r="O35" s="47" t="inlineStr">
        <is>
          <t>Số phát hiện thật/giả trên bộ mã robot; ngăn xếp ước lượng so với đo thật (stack painting); tỉ lệ lỗi race được bắt trước khi nạp</t>
        </is>
      </c>
      <c r="P35" s="47" t="inlineStr">
        <is>
          <t>M4-13</t>
        </is>
      </c>
      <c r="Q35" s="48" t="inlineStr">
        <is>
          <t>Chưa làm</t>
        </is>
      </c>
      <c r="R35" s="47" t="n"/>
      <c r="S35" s="47" t="inlineStr">
        <is>
          <t>Kéo lên giai đoạn sớm hơn vì là tiền đề (xem §5 kế hoạch)</t>
        </is>
      </c>
    </row>
    <row r="36" ht="68.25" customHeight="1" s="27">
      <c r="A36" s="46" t="inlineStr">
        <is>
          <t>M2-10</t>
        </is>
      </c>
      <c r="B36" s="47" t="inlineStr">
        <is>
          <t>2. Phân tích &amp; thiết kế phần mềm</t>
        </is>
      </c>
      <c r="C36" s="47" t="inlineStr">
        <is>
          <t>Biến 'điều cấm' trong đặc tả thành luật máy kiểm</t>
        </is>
      </c>
      <c r="D36" s="47" t="inlineStr">
        <is>
          <t>T08 Yêu cầu &amp; truy vết</t>
        </is>
      </c>
      <c r="E36" s="47" t="inlineStr">
        <is>
          <t>tools/sinh_yeu_cau_robot.py:353–390 ('1.4. Bốn điều cấm')</t>
        </is>
      </c>
      <c r="F36" s="47" t="inlineStr">
        <is>
          <t>Tài liệu yêu cầu robot (sinh bằng python-docx) nêu bốn điều cấm cụ thể: không dùng số thực hoặc phép chia trong ngắt 50 kHz; không dùng hàm chờ chặn trong vòng lặp chính; không điều khiển WS2812; không tắt động cơ bằng chân EN. Các điều cấm này chỉ tồn tại dưới dạng văn xuôi trong tệp .docx.</t>
        </is>
      </c>
      <c r="G36" s="47" t="inlineStr">
        <is>
          <t>Đây chính là các yêu cầu ràng buộc (constraint REQ) kiểm được bằng máy, nhưng không có artefact REQ nào và không có luật nào kiểm mã sinh ra có vi phạm hay không. Tác tử sinh mã có thể vi phạm mà không ai báo.</t>
        </is>
      </c>
      <c r="H36" s="47" t="inlineStr">
        <is>
          <t>Prompt Chaining (cổng bằng mã), Evaluator–Optimizer</t>
        </is>
      </c>
      <c r="I36" s="47" t="inlineStr">
        <is>
          <t>Thêm loại REQ 'CR' (ràng buộc) với trường 'luat_may': {pham_vi: 'isr:TIMER0_COMPA'|'main_loop'|'*', cam_ky_hieu: ['_delay_ms', 'float', '/'], cam_ghi_chan: ['PD5']}. Viết src/eide/rules/req_rules.py để kiểm trên kết quả code.static (call graph + AST). Gắn vào post_tool_use của fs.write/fs.edit với tệp .c: vi phạm thì trả note_vi kèm mã REQ. Bộ sinh tài liệu đọc REQ từ kho thay vì gõ cứng.</t>
        </is>
      </c>
      <c r="J36" s="47" t="inlineStr">
        <is>
          <t>Đặc tả và mã được giữ khớp nhau tự động; vi phạm bị bắt ngay khi ghi.</t>
        </is>
      </c>
      <c r="K36" s="48" t="inlineStr">
        <is>
          <t>P1</t>
        </is>
      </c>
      <c r="L36" s="48" t="inlineStr">
        <is>
          <t>M</t>
        </is>
      </c>
      <c r="M36" s="48">
        <f>IF(K36="P0",IF(OR(L36="L",L36="XL"),"GĐ2","GĐ1"),IF(K36="P1",IF(L36="S","GĐ2","GĐ3"),"GĐ4"))</f>
        <v/>
      </c>
      <c r="N36" s="47" t="inlineStr">
        <is>
          <t>Luật quá đơn giản (cấm '/') sẽ kêu thừa khi chia cho hằng lũy thừa 2. Cần danh sách ngoại lệ.</t>
        </is>
      </c>
      <c r="O36" s="47" t="inlineStr">
        <is>
          <t>Số vi phạm ràng buộc phát hiện lúc ghi so với lúc chạy trên bo; tỉ lệ kêu thừa</t>
        </is>
      </c>
      <c r="P36" s="47" t="n"/>
      <c r="Q36" s="48" t="inlineStr">
        <is>
          <t>Chưa làm</t>
        </is>
      </c>
      <c r="R36" s="47" t="n"/>
      <c r="S36" s="47" t="n"/>
    </row>
    <row r="37" ht="57" customHeight="1" s="27">
      <c r="A37" s="46" t="inlineStr">
        <is>
          <t>M2-11</t>
        </is>
      </c>
      <c r="B37" s="47" t="inlineStr">
        <is>
          <t>2. Phân tích &amp; thiết kế phần mềm</t>
        </is>
      </c>
      <c r="C37" s="47" t="inlineStr">
        <is>
          <t>Hiệu năng và phạm vi quét của code.analyze</t>
        </is>
      </c>
      <c r="D37" s="47" t="inlineStr">
        <is>
          <t>T02 Ngữ cảnh, lược đồ công cụ &amp; token</t>
        </is>
      </c>
      <c r="E37" s="47" t="inlineStr">
        <is>
          <t>src/eide/phan_tich_ma.py::quet (dòng 82–106), BO_QUA (dòng 45)</t>
        </is>
      </c>
      <c r="F37" s="47" t="inlineStr">
        <is>
          <t>Hàm quét ngược chạy goc.rglob('*') trên toàn cây, với mỗi tệp chạy re.search cho TỪNG ký hiệu (độ phức tạp O(tệp × ký hiệu)), không có trần số tệp hay thời gian. BO_QUA chỉ gồm .eide, .git, node_modules, __pycache__, vendor, build, .venv. Tệp .h cũng được tính là 'ai đang dùng'.</t>
        </is>
      </c>
      <c r="G37" s="47" t="inlineStr">
        <is>
          <t>Dự án STM32 có thư mục Drivers/ và Middlewares/ (HAL, FreeRTOS) với hàng nghìn tệp. Một lần quét có thể mất hàng chục giây, và danh sách 'chỗ phải xem lại' bị ngập bởi prototype trong header và tệp thư viện. Kết quả công cụ quá dài, đúng lỗi phổ biến mà thang đối chiếu nêu.</t>
        </is>
      </c>
      <c r="H37" s="47" t="inlineStr">
        <is>
          <t>(nguyên tắc chung: kết quả công cụ gọn)</t>
        </is>
      </c>
      <c r="I37" s="47" t="inlineStr">
        <is>
          <t>Thêm 'Drivers', 'Middlewares', 'CMSIS', 'third_party', 'lib' vào BO_QUA (đọc thêm từ cấu hình dự án). Gộp mọi ký hiệu thành một regex alternation \b(a|b|c)\b và quét mỗi tệp một lần. Thêm trần TRAN_TEP_QUET=2000 và trần thời gian 10 s, quá trần thì ghi rõ 'đã dừng ở N tệp'. Tách cột 'định nghĩa/khai báo (.h)' khỏi 'nơi gọi (.c)'.</t>
        </is>
      </c>
      <c r="J37" s="47" t="inlineStr">
        <is>
          <t>code.analyze nhanh hơn và có nhiều tín hiệu thật hơn nhiễu.</t>
        </is>
      </c>
      <c r="K37" s="48" t="inlineStr">
        <is>
          <t>P1</t>
        </is>
      </c>
      <c r="L37" s="48" t="inlineStr">
        <is>
          <t>S</t>
        </is>
      </c>
      <c r="M37" s="48">
        <f>IF(K37="P0",IF(OR(L37="L",L37="XL"),"GĐ2","GĐ1"),IF(K37="P1",IF(L37="S","GĐ2","GĐ3"),"GĐ4"))</f>
        <v/>
      </c>
      <c r="N37" s="47" t="inlineStr">
        <is>
          <t>Loại trừ thư mục vendor có thể bỏ sót trường hợp người dùng sửa HAL. Cho phép ghi đè bằng tham số.</t>
        </is>
      </c>
      <c r="O37" s="47" t="inlineStr">
        <is>
          <t>Thời gian code.analyze trên dự án F469; số mục 'chỗ phải xem lại' trên mỗi thay đổi</t>
        </is>
      </c>
      <c r="P37" s="47" t="n"/>
      <c r="Q37" s="48" t="inlineStr">
        <is>
          <t>Chưa làm</t>
        </is>
      </c>
      <c r="R37" s="47" t="n"/>
      <c r="S37" s="47" t="n"/>
    </row>
    <row r="38" ht="79.5" customHeight="1" s="27">
      <c r="A38" s="46" t="inlineStr">
        <is>
          <t>M2-12</t>
        </is>
      </c>
      <c r="B38" s="47" t="inlineStr">
        <is>
          <t>2. Phân tích &amp; thiết kế phần mềm</t>
        </is>
      </c>
      <c r="C38" s="47" t="inlineStr">
        <is>
          <t>Sơ đồ kiến trúc phần mềm trên tab Thiết kế</t>
        </is>
      </c>
      <c r="D38" s="47" t="inlineStr">
        <is>
          <t>T09 Phân tích mã tĩnh &amp; CodeAct</t>
        </is>
      </c>
      <c r="E38" s="47" t="inlineStr">
        <is>
          <t>src/eide/kien_truc.py::so_do_mo_dun, muc_kien_truc (dòng 67–225)</t>
        </is>
      </c>
      <c r="F38" s="47" t="inlineStr">
        <is>
          <t>Đây là điểm mạnh: sơ đồ chỉ vẽ khi có cạnh #include/import thật, khớp theo TÊN tệp, nhóm theo thư mục, giới hạn TRAN_TEP=40, và nói rõ lý do khi không vẽ được. Nguồn tệp là store.list('code'), tức chỉ những tệp có hiện vật code trong kho.</t>
        </is>
      </c>
      <c r="G38" s="47" t="inlineStr">
        <is>
          <t>Khớp theo tên tệp sẽ nối sai khi hai thư mục cùng có config.h. Chỉ có góc nhìn 'tệp include tệp', không có góc nhìn thành phần, giao diện hay luồng dữ liệu, không có sơ đồ trạng thái hay tuần tự cho firmware. Không đối chiếu được 'kiến trúc đã chốt trong ADR' với 'cấu trúc phụ thuộc thực tế' để phát hiện vi phạm phân tầng (ví dụ tầng app include thẳng thanh ghi).</t>
        </is>
      </c>
      <c r="H38" s="47" t="inlineStr">
        <is>
          <t>Evaluator–Optimizer (kiểm kiến trúc khớp thiết kế)</t>
        </is>
      </c>
      <c r="I38" s="47" t="inlineStr">
        <is>
          <t>(1) Ưu tiên khớp đường dẫn tương đối theo thư mục của tệp nguồn và các thư mục -I lấy từ cấu hình build, sau đó mới khớp theo tên. (2) Thêm trường 'tang' (phân tầng: app/service/driver/hal) vào hiện vật code_structure (xem đề xuất Prompt Chaining) và hàm kiem_phan_tang(): cạnh đi ngược tầng thì là phát hiện. (3) Cho tác tử ghi khai báo C4 nhẹ (container/component → tệp) để khối A5.6 vẽ thêm mức Component.</t>
        </is>
      </c>
      <c r="J38" s="47" t="inlineStr">
        <is>
          <t>Phát hiện được trôi kiến trúc (architecture drift) giữa ADR và mã thật.</t>
        </is>
      </c>
      <c r="K38" s="48" t="inlineStr">
        <is>
          <t>P2</t>
        </is>
      </c>
      <c r="L38" s="48" t="inlineStr">
        <is>
          <t>M</t>
        </is>
      </c>
      <c r="M38" s="48">
        <f>IF(K38="P0",IF(OR(L38="L",L38="XL"),"GĐ2","GĐ1"),IF(K38="P1",IF(L38="S","GĐ2","GĐ3"),"GĐ4"))</f>
        <v/>
      </c>
      <c r="N38" s="47" t="inlineStr">
        <is>
          <t>Độ phức tạp hiển thị tăng; giữ trần 40 nút.</t>
        </is>
      </c>
      <c r="O38" s="47" t="inlineStr">
        <is>
          <t>Số cạnh nối sai (so với include thật); số vi phạm phân tầng phát hiện</t>
        </is>
      </c>
      <c r="P38" s="47" t="n"/>
      <c r="Q38" s="48" t="inlineStr">
        <is>
          <t>Chưa làm</t>
        </is>
      </c>
      <c r="R38" s="47" t="n"/>
      <c r="S38" s="47" t="n"/>
    </row>
    <row r="39" ht="90.75" customHeight="1" s="27">
      <c r="A39" s="46" t="inlineStr">
        <is>
          <t>M2-13</t>
        </is>
      </c>
      <c r="B39" s="47" t="inlineStr">
        <is>
          <t>2. Phân tích &amp; thiết kế phần mềm</t>
        </is>
      </c>
      <c r="C39" s="47" t="inlineStr">
        <is>
          <t>Rà soát thiết kế phần mềm (design-review cho kiến trúc, không chỉ mạch)</t>
        </is>
      </c>
      <c r="D39" s="47" t="inlineStr">
        <is>
          <t>T07 Phản biện thiết kế (Debate/ToT)</t>
        </is>
      </c>
      <c r="E39" s="47" t="inlineStr">
        <is>
          <t>src/eide/subagent.py:82–91 ('design-review'); src/eide/skills/design-review-checklist.md</t>
        </is>
      </c>
      <c r="F39" s="47" t="inlineStr">
        <is>
          <t>Subagent design-review và skill checklist chỉ dành cho mạch: net hở, chân, pull-up, ngân sách dòng, mức logic, địa chỉ I2C. Công cụ của nó gồm ckm.graph, board.check, eda.*. Không có subagent hay checklist nào để rà kiến trúc phần mềm, ADR hay cấu trúc mã.</t>
        </is>
      </c>
      <c r="G39" s="47" t="inlineStr">
        <is>
          <t>Thiết kế phần mềm được chốt qua G-DESIGN mà không có góc nhìn phản biện độc lập nào. Người duyệt chỉ thấy lập luận của chính tác tử đề xuất.</t>
        </is>
      </c>
      <c r="H39" s="47" t="inlineStr">
        <is>
          <t>Debate (phản biện + trọng tài), Evaluator–Optimizer</t>
        </is>
      </c>
      <c r="I39" s="47" t="inlineStr">
        <is>
          <t>Thêm subagent 'sw-design-review' (chỉ đọc: store.get/list, fs.read, code.static, build.map) và skill 'sw-design-review-checklist.md': phân tầng và hướng phụ thuộc; ngân sách thời gian từng tầng (ISR / vòng điều khiển / nền); tài nguyên chia sẻ và chiến lược khoá; trạng thái lỗi và đường phục hồi; ngân sách Flash/RAM; khả năng kiểm thử (phần logic tách khỏi thanh ghi); REQ nào không phương án nào đáp ứng. Gọi nó tự động trước option_choose (pre_tool_use) khi việc là 'tạo mới', và đưa phát hiện vào thẻ G-DESIGN để người duyệt thấy cả hai phía.</t>
        </is>
      </c>
      <c r="J39" s="47" t="inlineStr">
        <is>
          <t>Quyết định kiến trúc được phản biện trước khi khoá, nên giảm việc đổi kiến trúc giữa chừng.</t>
        </is>
      </c>
      <c r="K39" s="48" t="inlineStr">
        <is>
          <t>P1</t>
        </is>
      </c>
      <c r="L39" s="48" t="inlineStr">
        <is>
          <t>S</t>
        </is>
      </c>
      <c r="M39" s="48">
        <f>IF(K39="P0",IF(OR(L39="L",L39="XL"),"GĐ2","GĐ1"),IF(K39="P1",IF(L39="S","GĐ2","GĐ3"),"GĐ4"))</f>
        <v/>
      </c>
      <c r="N39" s="47" t="inlineStr">
        <is>
          <t>Thêm khoảng 8–10 lời gọi cho mỗi lần chốt; có thể kêu thừa nếu checklist quá chung.</t>
        </is>
      </c>
      <c r="O39" s="47" t="inlineStr">
        <is>
          <t>Số phát hiện có giá trị trong mỗi lần rà; tỉ lệ ADR bị đảo sau khi đã chốt</t>
        </is>
      </c>
      <c r="P39" s="47" t="inlineStr">
        <is>
          <t>M1-16</t>
        </is>
      </c>
      <c r="Q39" s="48" t="inlineStr">
        <is>
          <t>Chưa làm</t>
        </is>
      </c>
      <c r="R39" s="47" t="n"/>
      <c r="S39" s="47" t="n"/>
    </row>
    <row r="40" ht="57" customHeight="1" s="27">
      <c r="A40" s="46" t="inlineStr">
        <is>
          <t>M2-14</t>
        </is>
      </c>
      <c r="B40" s="47" t="inlineStr">
        <is>
          <t>2. Phân tích &amp; thiết kế phần mềm</t>
        </is>
      </c>
      <c r="C40" s="47" t="inlineStr">
        <is>
          <t>Subagent firmware: tiêu chí 'xong' chỉ là biên dịch được</t>
        </is>
      </c>
      <c r="D40" s="47" t="inlineStr">
        <is>
          <t>T03 Tác tử con &amp; điều phối song song</t>
        </is>
      </c>
      <c r="E40" s="47" t="inlineStr">
        <is>
          <t>src/eide/subagent.py:92–102 ('firmware')</t>
        </is>
      </c>
      <c r="F40" s="47" t="inlineStr">
        <is>
          <t>System prompt ghi: 'Biên dịch xong mới được nói là xong; ket_luan: dat chỉ khi build.compile trả về có tệp ảnh'. Danh sách công cụ không có test.run, test.sensitivity, sim.run hay code.analyze.</t>
        </is>
      </c>
      <c r="G40" s="47" t="inlineStr">
        <is>
          <t>Định nghĩa xong là 'biên dịch được' nằm ngay trong subagent sinh mã. Worker không tự chạy test và không đo độ nhạy test được, nên lỗi logic chỉ lộ ra khi verifier chạy hoặc khi chạy trên bo.</t>
        </is>
      </c>
      <c r="H40" s="47" t="inlineStr">
        <is>
          <t>Supervisor–Workers, Evaluator–Optimizer (vòng sinh–chấm–sửa có trần)</t>
        </is>
      </c>
      <c r="I40" s="47" t="inlineStr">
        <is>
          <t>Thêm test.run, test.sensitivity và code.analyze vào cong_cu của 'firmware'. Sửa prompt: 'dat' chỉ khi (a) build.compile có ảnh, (b) test.run không có ca hỏng nếu có test/, (c) không còn cảnh báo -Wall mới so với trước. Vòng tự sửa tối đa 3 lần (đếm bằng mã trong subagent.chay), quá trần thì trả 'chua_dat' kèm lỗi cuối.</t>
        </is>
      </c>
      <c r="J40" s="47" t="inlineStr">
        <is>
          <t>Worker trả về mã đã qua kiểm thử đơn vị, nên giảm số lượt verifier bác.</t>
        </is>
      </c>
      <c r="K40" s="48" t="inlineStr">
        <is>
          <t>P1</t>
        </is>
      </c>
      <c r="L40" s="48" t="inlineStr">
        <is>
          <t>S</t>
        </is>
      </c>
      <c r="M40" s="48">
        <f>IF(K40="P0",IF(OR(L40="L",L40="XL"),"GĐ2","GĐ1"),IF(K40="P1",IF(L40="S","GĐ2","GĐ3"),"GĐ4"))</f>
        <v/>
      </c>
      <c r="N40" s="47" t="inlineStr">
        <is>
          <t>Subagent tốn thêm 2–4 lời gọi; cần nâng toi_da_goi tương ứng (xem VIEC-CHO-LAM mục 6 về hạn quá chặt).</t>
        </is>
      </c>
      <c r="O40" s="47" t="inlineStr">
        <is>
          <t>Tỉ lệ verifier trả khong_dat sau firmware; số ca test hỏng phát hiện sau khi worker báo xong</t>
        </is>
      </c>
      <c r="P40" s="47" t="inlineStr">
        <is>
          <t>M1-03, M4-02</t>
        </is>
      </c>
      <c r="Q40" s="48" t="inlineStr">
        <is>
          <t>Chưa làm</t>
        </is>
      </c>
      <c r="R40" s="47" t="n"/>
      <c r="S40" s="47" t="n"/>
    </row>
    <row r="41" ht="102" customHeight="1" s="27">
      <c r="A41" s="46" t="inlineStr">
        <is>
          <t>M2-15</t>
        </is>
      </c>
      <c r="B41" s="47" t="inlineStr">
        <is>
          <t>2. Phân tích &amp; thiết kế phần mềm</t>
        </is>
      </c>
      <c r="C41" s="47" t="inlineStr">
        <is>
          <t>Tài liệu dự án người dùng đồng bộ với mã (doc-code sync)</t>
        </is>
      </c>
      <c r="D41" s="47" t="inlineStr">
        <is>
          <t>T08 Yêu cầu &amp; truy vết</t>
        </is>
      </c>
      <c r="E41" s="47" t="inlineStr">
        <is>
          <t>tests/test_tai_lieu_khop_ma.py; tools/kiem_tai_lieu.py; tools/sinh_yeu_cau_robot.py</t>
        </is>
      </c>
      <c r="F41" s="47" t="inlineStr">
        <is>
          <t>Đây là điểm mạnh cho chính EIDE: kiem_tai_lieu.py đối chiếu tên công cụ, đường dẫn, mã lỗi và con số giữa docs/md và mã EIDE, và chạy trong hồi quy. Nhưng tài liệu của DỰ ÁN NGƯỜI DÙNG, ví dụ YEU-CAU-PHAT-TRIEN-PHAN-MEM-ROBOT-TU-CAN-BANG.docx, được sinh bằng một script 1206 dòng gõ cứng nội dung ('Mọi con số lấy thẳng từ mã' nhưng thực tế là chép tay: TWBR=12, bảng thanh ghi, 'mười tệp'…). Không có công cụ nào cho tác tử kiểm tài liệu .md/.docx của dự án có còn khớp mã hay Fact không.</t>
        </is>
      </c>
      <c r="G41" s="47" t="inlineStr">
        <is>
          <t>Sửa mã firmware (đổi chân, đổi hằng số PID) thì tài liệu yêu cầu và thiết kế lệch đi trong im lặng. STALE chỉ áp cho hiện vật trong kho, không áp cho tệp tài liệu tác tử tự viết.</t>
        </is>
      </c>
      <c r="H41" s="47" t="inlineStr">
        <is>
          <t>Evaluator–Optimizer, Blackboard</t>
        </is>
      </c>
      <c r="I41" s="47" t="inlineStr">
        <is>
          <t>Tổng quát hoá kiem_tai_lieu.py thành công cụ tác tử 'doc.check_sync(nguon.md)': trích từ tài liệu các cặp (ký hiệu/thanh ghi/hằng số = giá trị) và đường dẫn tệp, rồi đối chiếu với mã (grep #define, phép gán thanh ghi) và Fact trong kho, báo từng chỗ lệch kèm tệp:dòng. Khi fs.write một .md có trích tệp mã, ghi deps.upstream trỏ tới các tệp code đó, để sửa mã thì tài liệu bị STALE (cần đề xuất truy vết P0). Bộ sinh docx nên đọc REQ/Fact/criteria từ kho rồi render qua doc.render thay vì gõ cứng.</t>
        </is>
      </c>
      <c r="J41" s="47" t="inlineStr">
        <is>
          <t>Tài liệu luận văn/đề án luôn khớp mã đang chạy, đúng yêu cầu 'mọi thứ phải có sở cứ'.</t>
        </is>
      </c>
      <c r="K41" s="48" t="inlineStr">
        <is>
          <t>P1</t>
        </is>
      </c>
      <c r="L41" s="48" t="inlineStr">
        <is>
          <t>M</t>
        </is>
      </c>
      <c r="M41" s="48">
        <f>IF(K41="P0",IF(OR(L41="L",L41="XL"),"GĐ2","GĐ1"),IF(K41="P1",IF(L41="S","GĐ2","GĐ3"),"GĐ4"))</f>
        <v/>
      </c>
      <c r="N41" s="47" t="inlineStr">
        <is>
          <t>Trích cặp (tên = giá trị) từ văn xuôi tiếng Việt dễ sót; nên bắt đầu với bảng Markdown và khối code.</t>
        </is>
      </c>
      <c r="O41" s="47" t="inlineStr">
        <is>
          <t>Số chỗ lệch tài liệu–mã phát hiện; thời gian từ khi sửa mã tới khi tài liệu được cập nhật</t>
        </is>
      </c>
      <c r="P41" s="47" t="n"/>
      <c r="Q41" s="48" t="inlineStr">
        <is>
          <t>Chưa làm</t>
        </is>
      </c>
      <c r="R41" s="47" t="n"/>
      <c r="S41" s="47" t="n"/>
    </row>
    <row r="42" ht="68.25" customHeight="1" s="27">
      <c r="A42" s="46" t="inlineStr">
        <is>
          <t>M2-16</t>
        </is>
      </c>
      <c r="B42" s="47" t="inlineStr">
        <is>
          <t>2. Phân tích &amp; thiết kế phần mềm</t>
        </is>
      </c>
      <c r="C42" s="47" t="inlineStr">
        <is>
          <t>Kiểu sơ đồ thiết kế: stateDiagram, classDiagram</t>
        </is>
      </c>
      <c r="D42" s="47" t="inlineStr">
        <is>
          <t>T09 Phân tích mã tĩnh &amp; CodeAct</t>
        </is>
      </c>
      <c r="E42" s="47" t="inlineStr">
        <is>
          <t>src/eide/so_do.py::doc (dòng 102–108); skills/trinh-bay-bang-hinh.md ('Hai kiểu vẽ được, và chỉ hai')</t>
        </is>
      </c>
      <c r="F42" s="47" t="inlineStr">
        <is>
          <t>Bộ vẽ PNG chỉ đọc sequenceDiagram và graph/flowchart; kiểu khác trả None và in mã kèm câu nói rõ là chưa vẽ được. Skill dặn tác tử diễn đạt lại bằng hai kiểu trên.</t>
        </is>
      </c>
      <c r="G42" s="47" t="inlineStr">
        <is>
          <t>Thiết kế firmware dựa nặng vào máy trạng thái (tài liệu robot có '2.3. Tám trạng thái', '2.4. Khi nào đổi trạng thái'). Diễn đạt bằng flowchart làm mất ngữ nghĩa sự kiện/điều kiện chuyển và không kiểm được tính đầy đủ (trạng thái không có lối ra, sự kiện không xử lý).</t>
        </is>
      </c>
      <c r="H42" s="47" t="inlineStr">
        <is>
          <t>(công cụ trình bày; hỗ trợ Evaluator kiểm thiết kế)</t>
        </is>
      </c>
      <c r="I42" s="47" t="inlineStr">
        <is>
          <t>Thêm _trang_thai(nguon) cho 'stateDiagram-v2' (s1 --&gt; s2 : sự kiện [điều kiện]), tái dùng bộ xếp chỗ xep_cho của _luong. Thêm hàm kiem_may_trang_thai(): báo trạng thái không tới được từ [*], trạng thái cụt, và cặp (trạng thái, sự kiện) không có chuyển tiếp nếu người dùng khai danh sách sự kiện. Đồng bộ phần đọc trong Views/SoDo.swift theo cùng bộ kiểm dùng chung.</t>
        </is>
      </c>
      <c r="J42" s="47" t="inlineStr">
        <is>
          <t>Thiết kế hành vi firmware được vẽ đúng loại và kiểm được bằng máy.</t>
        </is>
      </c>
      <c r="K42" s="48" t="inlineStr">
        <is>
          <t>P3</t>
        </is>
      </c>
      <c r="L42" s="48" t="inlineStr">
        <is>
          <t>M</t>
        </is>
      </c>
      <c r="M42" s="48">
        <f>IF(K42="P0",IF(OR(L42="L",L42="XL"),"GĐ2","GĐ1"),IF(K42="P1",IF(L42="S","GĐ2","GĐ3"),"GĐ4"))</f>
        <v/>
      </c>
      <c r="N42" s="47" t="inlineStr">
        <is>
          <t>Phải sửa hai bộ đọc (Python + Swift), như docstring đã nêu.</t>
        </is>
      </c>
      <c r="O42" s="47" t="inlineStr">
        <is>
          <t>Số sơ đồ trạng thái vẽ thành công; số lỗi máy trạng thái phát hiện</t>
        </is>
      </c>
      <c r="P42" s="47" t="n"/>
      <c r="Q42" s="48" t="inlineStr">
        <is>
          <t>Chưa làm</t>
        </is>
      </c>
      <c r="R42" s="47" t="n"/>
      <c r="S42" s="47" t="n"/>
    </row>
    <row r="43" ht="79.5" customHeight="1" s="27">
      <c r="A43" s="46" t="inlineStr">
        <is>
          <t>M2-17</t>
        </is>
      </c>
      <c r="B43" s="47" t="inlineStr">
        <is>
          <t>2. Phân tích &amp; thiết kế phần mềm</t>
        </is>
      </c>
      <c r="C43" s="47" t="inlineStr">
        <is>
          <t>CodeAct: phân tích dữ liệu và mã bằng code chạy trong sandbox</t>
        </is>
      </c>
      <c r="D43" s="47" t="inlineStr">
        <is>
          <t>T09 Phân tích mã tĩnh &amp; CodeAct</t>
        </is>
      </c>
      <c r="E43" s="47" t="inlineStr">
        <is>
          <t>Danh sách công cụ đăng ký (tools/*.py): không có công cụ chạy Python/shell tuỳ ý; tool.propose là đường duy nhất để tác tử tự viết mã công cụ</t>
        </is>
      </c>
      <c r="F43" s="47" t="inlineStr">
        <is>
          <t>Phân tích log mô phỏng, CSV đo đạc, map file hay call graph đều phải đi qua công cụ dựng sẵn (build.map, sim.run, test.run) hoặc qua tool.propose (viết công cụ mới, có bộ kiểm và người duyệt). Plan mode đo được 54% lời gọi là fs.read/fs.grep/fs.glob.</t>
        </is>
      </c>
      <c r="G43" s="47" t="inlineStr">
        <is>
          <t>Những câu hỏi phân tích dùng một lần ('ISR nào gọi hàm có chia', 'vẽ phân bố sai số góc từ log 10.000 dòng') không đáng để viết một công cụ mới, nhưng làm bằng chuỗi fs.grep tuần tự thì tốn hàng chục lời gọi và ngân sách 40 lời gọi/lượt.</t>
        </is>
      </c>
      <c r="H43" s="47" t="inlineStr">
        <is>
          <t>CodeAct</t>
        </is>
      </c>
      <c r="I43" s="47" t="inlineStr">
        <is>
          <t>Thêm công cụ 'analysis.py' (R1, core=False, CHỈ ĐỌC): chạy một đoạn Python ≤200 dòng trong tiến trình con với python -I, cwd tạm, chỉ mount dự án ở chế độ đọc (hoặc sao chép có giới hạn), không mạng, timeout 30 s, giới hạn bộ nhớ, stdout cắt 4 KB kèm cờ da_cat. Cho sẵn các helper: doc_ma(path), ky_hieu(), call_graph() (từ code.static), doc_csv(). Kết quả ghi artefact 'analysis' (KHONG_STALE). Cấm ghi tệp; muốn ghi thì vẫn phải đi qua fs.write để giữ changeset và hoàn tác.</t>
        </is>
      </c>
      <c r="J43" s="47" t="inlineStr">
        <is>
          <t>Gộp 10–20 lời gọi đọc thành 1; phân tích dữ liệu đo và log chính xác hơn so với mô hình tự 'đọc' bằng mắt.</t>
        </is>
      </c>
      <c r="K43" s="48" t="inlineStr">
        <is>
          <t>P2</t>
        </is>
      </c>
      <c r="L43" s="48" t="inlineStr">
        <is>
          <t>M</t>
        </is>
      </c>
      <c r="M43" s="48">
        <f>IF(K43="P0",IF(OR(L43="L",L43="XL"),"GĐ2","GĐ1"),IF(K43="P1",IF(L43="S","GĐ2","GĐ3"),"GĐ4"))</f>
        <v/>
      </c>
      <c r="N43" s="47" t="inlineStr">
        <is>
          <t>Bảo mật sandbox trên macOS (không có seccomp); phải giữ nguyên tắc chỉ đọc và chặn mạng; mã sinh ra có thể sai. Kết quả phải được trình bày là DỮ KIỆN do mã chạy, tách khỏi nhận định.</t>
        </is>
      </c>
      <c r="O43" s="47" t="inlineStr">
        <is>
          <t>Số lời gọi trên mỗi câu hỏi phân tích; tỉ lệ lượt chạm trần 40 lời gọi; độ chính xác câu trả lời phân tích log</t>
        </is>
      </c>
      <c r="P43" s="47" t="inlineStr">
        <is>
          <t>M1-21</t>
        </is>
      </c>
      <c r="Q43" s="48" t="inlineStr">
        <is>
          <t>Chưa làm</t>
        </is>
      </c>
      <c r="R43" s="47" t="n"/>
      <c r="S43" s="47" t="n"/>
    </row>
    <row r="44" ht="68.25" customHeight="1" s="27">
      <c r="A44" s="46" t="inlineStr">
        <is>
          <t>M2-18</t>
        </is>
      </c>
      <c r="B44" s="47" t="inlineStr">
        <is>
          <t>2. Phân tích &amp; thiết kế phần mềm</t>
        </is>
      </c>
      <c r="C44" s="47" t="inlineStr">
        <is>
          <t>Bộ đánh giá (eval) cho mảng phân tích–thiết kế</t>
        </is>
      </c>
      <c r="D44" s="47" t="inlineStr">
        <is>
          <t>T15 Đo lường &amp; bộ đánh giá (eval)</t>
        </is>
      </c>
      <c r="E44" s="47" t="inlineStr">
        <is>
          <t>tools/bo_usecase.py (dòng 1–25: 'Phép chấm này đo… bề mặt')</t>
        </is>
      </c>
      <c r="F44" s="47" t="inlineStr">
        <is>
          <t>Bộ 76 ca chấm bằng dau_hieu (cụm từ phải có), cam (cụm từ không được có) và cong_cu (công cụ phải được gọi). Docstring tự thừa nhận: 'Ô xanh ở đây nghĩa là có dấu hiệu… không phải đã làm đúng'.</t>
        </is>
      </c>
      <c r="G44" s="47" t="inlineStr">
        <is>
          <t>Không có eval định lượng cho chất lượng đặc tả và thiết kế: REQ có tiêu chí đo được không, phương án có phủ REQ không, ADR có lý do loại phương án khác không, kế hoạch có cổng kiểm không. Vì thế các cải tiến ở trên không đo được trước và sau.</t>
        </is>
      </c>
      <c r="H44" s="47" t="inlineStr">
        <is>
          <t>Evaluator–Optimizer (eval trước khi leo thang)</t>
        </is>
      </c>
      <c r="I44" s="47" t="inlineStr">
        <is>
          <t>Thêm tools/cham_thiet_ke.py chấm trên KHO hiện vật sau mỗi phiên usecase, không chấm trên lời đáp: % REQ có criteria đo được; % REQ được ≥1 option xét; số option mỗi ADR; % ADR có he_qua; % bước sinh mã có kiem; độ phủ ma trận truy vết; số STALE mỗi lần sửa REQ. Kèm một rubric LLM-as-judge (mô hình khác hoặc nhiệt độ 0) cho TC001–TC007, có bộ mẫu đã gán nhãn bởi người để hiệu chỉnh.</t>
        </is>
      </c>
      <c r="J44" s="47" t="inlineStr">
        <is>
          <t>Có thước đo khách quan để chứng minh cải tiến trong đề án và tránh báo xanh giả.</t>
        </is>
      </c>
      <c r="K44" s="48" t="inlineStr">
        <is>
          <t>P1</t>
        </is>
      </c>
      <c r="L44" s="48" t="inlineStr">
        <is>
          <t>M</t>
        </is>
      </c>
      <c r="M44" s="48">
        <f>IF(K44="P0",IF(OR(L44="L",L44="XL"),"GĐ2","GĐ1"),IF(K44="P1",IF(L44="S","GĐ2","GĐ3"),"GĐ4"))</f>
        <v/>
      </c>
      <c r="N44" s="47" t="inlineStr">
        <is>
          <t>LLM-as-judge có thiên lệch; cần đối chiếu với nhãn người trên ít nhất 20 ca.</t>
        </is>
      </c>
      <c r="O44" s="47" t="inlineStr">
        <is>
          <t>Các chỉ số kho nêu trên theo từng phiên bản; độ tương quan giữa điểm judge và điểm người</t>
        </is>
      </c>
      <c r="P44" s="47" t="inlineStr">
        <is>
          <t>M5-21</t>
        </is>
      </c>
      <c r="Q44" s="48" t="inlineStr">
        <is>
          <t>Chưa làm</t>
        </is>
      </c>
      <c r="R44" s="47" t="n"/>
      <c r="S44" s="47" t="n"/>
    </row>
    <row r="45" ht="79.5" customHeight="1" s="27">
      <c r="A45" s="46" t="inlineStr">
        <is>
          <t>M2-19</t>
        </is>
      </c>
      <c r="B45" s="47" t="inlineStr">
        <is>
          <t>2. Phân tích &amp; thiết kế phần mềm</t>
        </is>
      </c>
      <c r="C45" s="47" t="inlineStr">
        <is>
          <t>Chống giả mạo xuất xứ quyết định (điểm mạnh cần giữ, có thể mở rộng)</t>
        </is>
      </c>
      <c r="D45" s="47" t="inlineStr">
        <is>
          <t>T08 Yêu cầu &amp; truy vết</t>
        </is>
      </c>
      <c r="E45" s="47" t="inlineStr">
        <is>
          <t>src/eide/tools/design.py::_kiem_nguoi_that_su_chon (E5006–E5009); src/eide/surfaces.py::_ai_quyet</t>
        </is>
      </c>
      <c r="F45" s="47" t="inlineStr">
        <is>
          <t>Đây là điểm mạnh. Khi quyet_boi='nguoi', hàm kiểm ba điều: câu trích có trong sổ cái human_act; câu có dấu hiệu chọn (chọn, dùng, lấy, đồng ý…); câu nhắc tới mã hoặc tên phương án (bỏ qua từ chung). Tab A2.4 phân biệt 'Anh quyết' / 'qua G-DESIGN' / 'Tác tử tự quyết'. store.req_create thì chỉ BẮT BUỘC có source_quote, không kiểm câu trích có trong sổ cái.</t>
        </is>
      </c>
      <c r="G45" s="47" t="inlineStr">
        <is>
          <t>REQ là gốc của mọi chuỗi truy vết nhưng có mức bảo vệ xuất xứ thấp hơn ADR: tác tử có thể đặt một câu bịa hoặc diễn giải lại vào source_quote. Lỗi xuất xứ 'nguồn có thật nhưng không nói điều được gán' (ca TC004) cũng xảy ra được với REQ.</t>
        </is>
      </c>
      <c r="H45" s="47" t="inlineStr">
        <is>
          <t>Human-in-the-loop, Agentic RAG (kiểm bám nguồn)</t>
        </is>
      </c>
      <c r="I45" s="47" t="inlineStr">
        <is>
          <t>Tái dùng phần kiểm số 1 của _kiem_nguoi_that_su_chon (khớp câu trích với human_act trong sổ cái sau khi bỏ dấu) cho store.req_create và store.req_update: không khớp thì trả lỗi kiểu E5007 với gợi ý ask_user. Thêm kiểm 'bám nguồn' nhẹ: các danh từ hoặc con số trong text phải xuất hiện trong source_quote hoặc trong Fact; nếu không thì gắn confidence DONG và hiện trên A2.1.</t>
        </is>
      </c>
      <c r="J45" s="47" t="inlineStr">
        <is>
          <t>Gốc truy vết đáng tin; giảm REQ do tác tử tự 'sáng tác'.</t>
        </is>
      </c>
      <c r="K45" s="48" t="inlineStr">
        <is>
          <t>P2</t>
        </is>
      </c>
      <c r="L45" s="48" t="inlineStr">
        <is>
          <t>S</t>
        </is>
      </c>
      <c r="M45" s="48">
        <f>IF(K45="P0",IF(OR(L45="L",L45="XL"),"GĐ2","GĐ1"),IF(K45="P1",IF(L45="S","GĐ2","GĐ3"),"GĐ4"))</f>
        <v/>
      </c>
      <c r="N45" s="47" t="inlineStr">
        <is>
          <t>Người dùng nói bằng giọng nói hoặc qua tệp đính kèm thì câu trích có thể không khớp nguyên văn; cần cho phép trích từ tài liệu đã nạp (doc ref).</t>
        </is>
      </c>
      <c r="O45" s="47" t="inlineStr">
        <is>
          <t>Tỉ lệ REQ có source_quote khớp sổ cái; số REQ bị từ chối vì trích không khớp</t>
        </is>
      </c>
      <c r="P45" s="47" t="n"/>
      <c r="Q45" s="48" t="inlineStr">
        <is>
          <t>Chưa làm</t>
        </is>
      </c>
      <c r="R45" s="47" t="n"/>
      <c r="S45" s="47" t="n"/>
    </row>
    <row r="46" ht="68.25" customHeight="1" s="27">
      <c r="A46" s="46" t="inlineStr">
        <is>
          <t>M3-01</t>
        </is>
      </c>
      <c r="B46" s="47" t="inlineStr">
        <is>
          <t>3. Mạch, ERC, HDL/FPGA</t>
        </is>
      </c>
      <c r="C46" s="47" t="inlineStr">
        <is>
          <t>ERC theo cây — bộ luật</t>
        </is>
      </c>
      <c r="D46" s="47" t="inlineStr">
        <is>
          <t>T10 ERC &amp; thiết kế mạch</t>
        </is>
      </c>
      <c r="E46" s="47" t="inlineStr">
        <is>
          <t>src/eide/knowledge/erc.py:136 (erc) + knowledge/compare.py:211 (qua_ap)</t>
        </is>
      </c>
      <c r="F46" s="47" t="inlineStr">
        <is>
          <t>erc() chỉ chạy đúng 4 luật bằng mã: ngan_sach_dong, muc_logic_tren_net, trung_dia_chi_bus, pull_up_bus. KHOA (erc.py:40) có khai khoá 'v_max' (vdd.max/vin.max) nhưng không luật nào đọc nó. compare.py đã có hàm qua_ap(), nhưng hàm này chỉ chạy khi tác tử (agent) tự gọi fact.compare cho từng cặp số, không nằm trong board.check.</t>
        </is>
      </c>
      <c r="G46" s="47" t="inlineStr">
        <is>
          <t>Lỗi đắt nhất trong mạch nhúng là cấp 5 V vào chân chỉ chịu 3,3 V (hỏng vĩnh viễn), và ERC tự động không bắt được lỗi này. Tác tử phải tự nhớ ra việc gọi fact.compare. board.check báo 'đạt' cho một mạch có thể đốt chip.</t>
        </is>
      </c>
      <c r="H46" s="47" t="inlineStr">
        <is>
          <t>Prompt Chaining (cổng kiểm bằng code), Evaluator–Optimizer</t>
        </is>
      </c>
      <c r="I46" s="47" t="inlineStr">
        <is>
          <t>Thêm luật thứ 5 qua_ap_tren_net(cay, tf, phang) vào erc(): với mỗi net điện, lấy điện áp cao nhất mà net có thể mang (Fact voh hoặc điện áp rail của net nguồn, gắn qua canonical 'v_rail' của net loại power), rồi so với v_max hoặc vddio.max của từng chân nhận, dùng lại CP.qua_ap. Thêm khoá 'vddio.max' và 'v_tolerant' (chân chịu 5 V, kiểu FT của STM32) vào KHOA. Thiếu một vế thì trả 'chua_du_du_kien'.</t>
        </is>
      </c>
      <c r="J46" s="47" t="inlineStr">
        <is>
          <t>Bắt lớp lỗi phá huỷ phần cứng ngay ở mức sơ đồ, trước khi hàn hay nạp.</t>
        </is>
      </c>
      <c r="K46" s="48" t="inlineStr">
        <is>
          <t>P0</t>
        </is>
      </c>
      <c r="L46" s="48" t="inlineStr">
        <is>
          <t>S</t>
        </is>
      </c>
      <c r="M46" s="48">
        <f>IF(K46="P0",IF(OR(L46="L",L46="XL"),"GĐ2","GĐ1"),IF(K46="P1",IF(L46="S","GĐ2","GĐ3"),"GĐ4"))</f>
        <v/>
      </c>
      <c r="N46" s="47" t="inlineStr">
        <is>
          <t>Báo nhầm khi chân có diode kẹp hoặc chịu được 5 V mà chưa có Fact. Cần khoá v_tolerant để người xác nhận ngoại lệ.</t>
        </is>
      </c>
      <c r="O46" s="47" t="inlineStr">
        <is>
          <t>Tỉ lệ bắt lỗi trên bộ ca cài sẵn lỗi 5V→3V3 (mục tiêu 100%); số lỗi lọt xuống mạch thật</t>
        </is>
      </c>
      <c r="P46" s="47" t="n"/>
      <c r="Q46" s="49" t="inlineStr">
        <is>
          <t>Xong</t>
        </is>
      </c>
      <c r="R46" s="47" t="inlineStr">
        <is>
          <t>Agent (Claude Opus 5)</t>
        </is>
      </c>
      <c r="S46" s="47" t="n"/>
      <c r="T46" s="50" t="inlineStr">
        <is>
          <t>07/10/2026</t>
        </is>
      </c>
      <c r="U46" s="50" t="inlineStr">
        <is>
          <t>DEV-338</t>
        </is>
      </c>
      <c r="V46" s="50" t="inlineStr">
        <is>
          <t>1679 → 1686</t>
        </is>
      </c>
      <c r="W46" s="50" t="inlineStr">
        <is>
          <t>0 phát hiện trên 5 mô hình mạch thật — và lý do đáng hơn con số: 3 kho CÓ Fact v_max thì KHÔNG có mô hình mạch, 5 kho có mạch thì không có Fact ấy; thêm nữa Fact dùng chủ thể chip:X mà ERC không tra tiền tố đó</t>
        </is>
      </c>
      <c r="X46" s="50" t="inlineStr">
        <is>
          <t>không có cờ — sửa lỗi thuần</t>
        </is>
      </c>
      <c r="Y46" s="50" t="inlineStr">
        <is>
          <t>đã gỡ ở M3-07 (nối chủ thể chip:X)</t>
        </is>
      </c>
    </row>
    <row r="47" ht="57" customHeight="1" s="27">
      <c r="A47" s="46" t="inlineStr">
        <is>
          <t>M3-02</t>
        </is>
      </c>
      <c r="B47" s="47" t="inlineStr">
        <is>
          <t>3. Mạch, ERC, HDL/FPGA</t>
        </is>
      </c>
      <c r="C47" s="47" t="inlineStr">
        <is>
          <t>ERC — mức logic</t>
        </is>
      </c>
      <c r="D47" s="47" t="inlineStr">
        <is>
          <t>T10 ERC &amp; thiết kế mạch</t>
        </is>
      </c>
      <c r="E47" s="47" t="inlineStr">
        <is>
          <t>src/eide/knowledge/erc.py:343 (muc_logic_tren_net), compare.py:192 (muc_logic), knowledge/docs.py:344 (_MAU_THONG_SO)</t>
        </is>
      </c>
      <c r="F47" s="47" t="inlineStr">
        <is>
          <t>Luật mức logic chỉ so VOH(phát) ≥ VIH(thu). docs.py đã trích được vil.max và vol.max, nhưng KHOA của ERC không có hai khoá này. Giá trị lấy bằng regex số kèm đơn vị trên cùng một dòng.</t>
        </is>
      </c>
      <c r="G47" s="47" t="inlineStr">
        <is>
          <t>Thiếu nửa còn lại của phép kiểm: VOL ≤ VIL, tức mức thấp có bị đọc thành mức cao không, và lề nhiễu (noise margin). Datasheet CMOS thường ghi VIH = 0,7×VDD, tức một tỉ lệ chứ không phải một số volt. Regex hoặc bỏ qua giá trị đó, hoặc đọc '0,7' thành 0,7 V, cho kết luận 'đạt' sai.</t>
        </is>
      </c>
      <c r="H47" s="47" t="inlineStr">
        <is>
          <t>Prompt Chaining (cổng mã), Agentic RAG (kiểm bám nguồn)</t>
        </is>
      </c>
      <c r="I47" s="47" t="inlineStr">
        <is>
          <t>Thêm 'vol' và 'vil' vào KHOA, và cho muc_logic_tren_net kiểm cả hai chiều cùng lề nhiễu NM_H = VOH − VIH, NM_L = VIL − VOL (cảnh báo khi lề &lt; 0,2 V). Trong docs.py, nhận dạng giá trị dạng tỉ lệ (r'0[.,]\d+\s*[x×*]\s*V(DD|CC)') thành Fact {value_ratio, ref: vdd}. Sau đó ERC nhân với điện áp rail thực của chân đó trên cây.</t>
        </is>
      </c>
      <c r="J47" s="47" t="inlineStr">
        <is>
          <t>Kiểm đủ tương thích mức logic khi nối hai miền điện áp, ví dụ ESP32 3V3 với module 5V, và bớt 'đạt' giả do đọc sai VIH dạng tỉ lệ.</t>
        </is>
      </c>
      <c r="K47" s="48" t="inlineStr">
        <is>
          <t>P1</t>
        </is>
      </c>
      <c r="L47" s="48" t="inlineStr">
        <is>
          <t>S</t>
        </is>
      </c>
      <c r="M47" s="48">
        <f>IF(K47="P0",IF(OR(L47="L",L47="XL"),"GĐ2","GĐ1"),IF(K47="P1",IF(L47="S","GĐ2","GĐ3"),"GĐ4"))</f>
        <v/>
      </c>
      <c r="N47" s="47" t="inlineStr">
        <is>
          <t>Fact dạng tỉ lệ cần biết rail của chân. Thiếu rail thì phải trả 'chưa đủ dữ kiện'.</t>
        </is>
      </c>
      <c r="O47" s="47" t="inlineStr">
        <is>
          <t>Số cặp phát–thu được kết luận (không còn 'chưa đủ dữ kiện'); số Fact VIH dạng tỉ lệ đọc đúng trên 10 datasheet mẫu</t>
        </is>
      </c>
      <c r="P47" s="47" t="inlineStr">
        <is>
          <t>M5-06</t>
        </is>
      </c>
      <c r="Q47" s="48" t="inlineStr">
        <is>
          <t>Chưa làm</t>
        </is>
      </c>
      <c r="R47" s="47" t="n"/>
      <c r="S47" s="47" t="n"/>
    </row>
    <row r="48" ht="90.75" customHeight="1" s="27">
      <c r="A48" s="46" t="inlineStr">
        <is>
          <t>M3-03</t>
        </is>
      </c>
      <c r="B48" s="47" t="inlineStr">
        <is>
          <t>3. Mạch, ERC, HDL/FPGA</t>
        </is>
      </c>
      <c r="C48" s="47" t="inlineStr">
        <is>
          <t>ERC theo kiểu chân (ma trận điện)</t>
        </is>
      </c>
      <c r="D48" s="47" t="inlineStr">
        <is>
          <t>T10 ERC &amp; thiết kế mạch</t>
        </is>
      </c>
      <c r="E48" s="47" t="inlineStr">
        <is>
          <t>src/eide/sch/kyhieu.py:27 (KIEU_CHAN), tools/sch.py:11 (không có KiCad), knowledge/ckm.py:563 (net_mot_chan)</t>
        </is>
      </c>
      <c r="F48" s="47" t="inlineStr">
        <is>
          <t>Kiểu chân (input/output/bidirectional/power_in/power_out/passive) được suy từ hướng Port và ghi vào .kicad_sym. Mã ghi rõ phần kiểm theo kiểu chân là việc của 'ERC KiCad', nhưng máy không cài KiCad và tài liệu SCH-44 cũng không cho cài. Không có ma trận kiểm kiểu chân nội bộ nào. 'Net một chân' chỉ là một dòng thông tin trong ckm.build, không phải phát hiện ERC.</t>
        </is>
      </c>
      <c r="G48" s="47" t="inlineStr">
        <is>
          <t>Các lỗi kinh điển không được bắt: hai output nối chung một net (chập), power_in không có power_out nào cấp, input treo không ai lái, net một chân. SCH-44 đặt mục tiêu 'ERC nội bộ + KiCad ERC 0 lỗi', nhưng nửa KiCad không bao giờ chạy, nên con số 0 lỗi là không đo.</t>
        </is>
      </c>
      <c r="H48" s="47" t="inlineStr">
        <is>
          <t>Evaluator–Optimizer, Prompt Chaining</t>
        </is>
      </c>
      <c r="I48" s="47" t="inlineStr">
        <is>
          <t>Viết knowledge/erc_kieu_chan.py với MA_TRAN_ERC 7×7 theo đúng bảng mặc định của KiCad (lỗi/cảnh báo/đạt). Duyệt flatten(cay) cùng kiểu chân từ symbol_map:mach (ưu tiên kiểu chân người đã xác nhận qua sch.symbol_confirm). Sinh PhatHien có path cho: output–output, power_out–power_out, power_in không có nguồn cấp (chấp nhận cờ PWR_FLAG khai trong canonical), input không có bên lái, net một chân. Gọi trong erc().</t>
        </is>
      </c>
      <c r="J48" s="47" t="inlineStr">
        <is>
          <t>Thay chỗ ERC KiCad còn thiếu mà không phải cài KiCad; bắt chập đầu ra và chân nguồn không được cấp.</t>
        </is>
      </c>
      <c r="K48" s="48" t="inlineStr">
        <is>
          <t>P0</t>
        </is>
      </c>
      <c r="L48" s="48" t="inlineStr">
        <is>
          <t>M</t>
        </is>
      </c>
      <c r="M48" s="48">
        <f>IF(K48="P0",IF(OR(L48="L",L48="XL"),"GĐ2","GĐ1"),IF(K48="P1",IF(L48="S","GĐ2","GĐ3"),"GĐ4"))</f>
        <v/>
      </c>
      <c r="N48" s="47" t="inlineStr">
        <is>
          <t>Kiểu chân suy sai, nhất là passive, sẽ sinh báo nhầm. Nên hạ mức xuống cảnh báo khi ký hiệu chưa được người xác nhận.</t>
        </is>
      </c>
      <c r="O48" s="47" t="inlineStr">
        <is>
          <t>Tỉ lệ bắt lỗi trên bộ ca cài sẵn lỗi kiểu chân; tỉ lệ báo nhầm trên 3 mạch mẫu của SCH-44 §D</t>
        </is>
      </c>
      <c r="P48" s="47" t="n"/>
      <c r="Q48" s="49" t="inlineStr">
        <is>
          <t>Xong</t>
        </is>
      </c>
      <c r="R48" s="47" t="inlineStr">
        <is>
          <t>Agent (Claude Opus 5)</t>
        </is>
      </c>
      <c r="S48" s="47" t="n"/>
      <c r="T48" s="50" t="inlineStr">
        <is>
          <t>07/10/2026</t>
        </is>
      </c>
      <c r="U48" s="50" t="inlineStr">
        <is>
          <t>DEV-339</t>
        </is>
      </c>
      <c r="V48" s="50" t="inlineStr">
        <is>
          <t>1686 → 1695</t>
        </is>
      </c>
      <c r="W48" s="50" t="inlineStr">
        <is>
          <t>8 phát hiện trên 5 mạch thật (6 nguon_khong_cap + 2 net_mot_chan), trong đó net clock I2C nối đúng một chân. SÁU trong tám là 'mô hình chưa khai' chứ không phải 'mạch sai'. robot-canbang: 107 Port lá, KHÔNG Port nào là power_out</t>
        </is>
      </c>
      <c r="X48" s="50" t="inlineStr">
        <is>
          <t>không có cờ — sửa lỗi thuần</t>
        </is>
      </c>
      <c r="Y48" s="50" t="inlineStr">
        <is>
          <t>hai phép phá chỉ ra THIẾT KẾ sai của tôi (miễn net đất quá rộng; nhánh iout_max chưa ca nào chạm) — đã sửa cả hai</t>
        </is>
      </c>
    </row>
    <row r="49" ht="68.25" customHeight="1" s="27">
      <c r="A49" s="46" t="inlineStr">
        <is>
          <t>M3-04</t>
        </is>
      </c>
      <c r="B49" s="47" t="inlineStr">
        <is>
          <t>3. Mạch, ERC, HDL/FPGA</t>
        </is>
      </c>
      <c r="C49" s="47" t="inlineStr">
        <is>
          <t>ERC — toàn vẹn net nguồn / ngắn mạch</t>
        </is>
      </c>
      <c r="D49" s="47" t="inlineStr">
        <is>
          <t>T10 ERC &amp; thiết kế mạch</t>
        </is>
      </c>
      <c r="E49" s="47" t="inlineStr">
        <is>
          <t>src/eide/knowledge/erc.py:_hai_ve_dong, _la_dat, _nhom_nguon</t>
        </is>
      </c>
      <c r="F49" s="47" t="inlineStr">
        <is>
          <t>_hai_ve_dong chỉ giữ MỘT khối cấp, cái có Fact iout_max tin nhất, và lặng lẽ bỏ qua các khối cấp khác trên cùng net. _la_dat bỏ hẳn net đất khỏi phép kiểm. Không có kiểm tra rail nào bị nối thẳng vào GND.</t>
        </is>
      </c>
      <c r="G49" s="47" t="inlineStr">
        <is>
          <t>Hai LDO, hoặc USB 5V và pin, cùng xuất lên một net là lỗi tranh chấp nguồn hay dòng ngược, nhưng ERC lại chọn một cái rồi tính ngân sách như bình thường. Một net vừa mang tên +3V3 vừa có chân GND (do gán nhầm) bị _la_dat coi là đất nên bị bỏ qua, tức là ngắn mạch nguồn không bị phát hiện.</t>
        </is>
      </c>
      <c r="H49" s="47" t="inlineStr">
        <is>
          <t>Evaluator–Optimizer (cổng mã)</t>
        </is>
      </c>
      <c r="I49" s="47" t="inlineStr">
        <is>
          <t>Trong _hai_ve_dong, gom TẤT CẢ ứng viên cấp. Có từ 2 trở lên mà không khai diode OR hay ideal-diode (canonical 'or_ing') thì sinh 'tranh_chap_nguon' mức blocker. Thêm luật 'chap_nguon': một net điện mà các net phạm vi của nó vừa có loai power/rail vừa có loai gnd, hoặc chứa chân tên VCC/VDD lẫn GND/VSS của cùng một linh kiện, thì báo blocker kèm path cả hai đầu.</t>
        </is>
      </c>
      <c r="J49" s="47" t="inlineStr">
        <is>
          <t>Bắt ngắn mạch nguồn và tranh chấp nguồn, hai lỗi làm cháy bo ngay lần cấp điện đầu tiên.</t>
        </is>
      </c>
      <c r="K49" s="48" t="inlineStr">
        <is>
          <t>P0</t>
        </is>
      </c>
      <c r="L49" s="48" t="inlineStr">
        <is>
          <t>S</t>
        </is>
      </c>
      <c r="M49" s="48">
        <f>IF(K49="P0",IF(OR(L49="L",L49="XL"),"GĐ2","GĐ1"),IF(K49="P1",IF(L49="S","GĐ2","GĐ3"),"GĐ4"))</f>
        <v/>
      </c>
      <c r="N49" s="47" t="inlineStr">
        <is>
          <t>Thấp; cần một ngoại lệ có khai báo cho mạch power-path.</t>
        </is>
      </c>
      <c r="O49" s="47" t="inlineStr">
        <is>
          <t>Ca kiểm ngắn mạch/tranh chấp được bắt; báo nhầm trên mạch mẫu = 0</t>
        </is>
      </c>
      <c r="P49" s="47" t="n"/>
      <c r="Q49" s="49" t="inlineStr">
        <is>
          <t>Xong</t>
        </is>
      </c>
      <c r="R49" s="47" t="inlineStr">
        <is>
          <t>Agent (Claude Opus 5)</t>
        </is>
      </c>
      <c r="S49" s="47" t="n"/>
      <c r="T49" s="50" t="inlineStr">
        <is>
          <t>07/10/2026</t>
        </is>
      </c>
      <c r="U49" s="50" t="inlineStr">
        <is>
          <t>DEV-340</t>
        </is>
      </c>
      <c r="V49" s="50" t="inlineStr">
        <is>
          <t>1695 → 1703</t>
        </is>
      </c>
      <c r="W49" s="50" t="inlineStr">
        <is>
          <t>0 phát hiện trên 5 mạch thật — và đây là con số ĐÚNG (hai lỗi này catastrophic, không bo nào sống tới lúc lưu kho). Đã CẤY hai bộ cấp vào bản sao kho robot-canbang để chứng minh luật sống: nổ đúng 1 blocker trên net +5V thật</t>
        </is>
      </c>
      <c r="X49" s="50" t="inlineStr">
        <is>
          <t>không có cờ — sửa lỗi thuần</t>
        </is>
      </c>
      <c r="Y49" s="50" t="inlineStr">
        <is>
          <t>—</t>
        </is>
      </c>
    </row>
    <row r="50" ht="90.75" customHeight="1" s="27">
      <c r="A50" s="46" t="inlineStr">
        <is>
          <t>M3-05</t>
        </is>
      </c>
      <c r="B50" s="47" t="inlineStr">
        <is>
          <t>3. Mạch, ERC, HDL/FPGA</t>
        </is>
      </c>
      <c r="C50" s="47" t="inlineStr">
        <is>
          <t>ERC — luật miền thiếu (decoupling, boot/reset, LED, nhiệt)</t>
        </is>
      </c>
      <c r="D50" s="47" t="inlineStr">
        <is>
          <t>T10 ERC &amp; thiết kế mạch</t>
        </is>
      </c>
      <c r="E50" s="47" t="inlineStr">
        <is>
          <t>src/eide/knowledge/erc.py:136; skills/design-review-checklist.md</t>
        </is>
      </c>
      <c r="F50" s="47" t="inlineStr">
        <is>
          <t>Không có luật nào về tụ decoupling trên chân power_in, về chân BOOT0/NRST/EN/strapping (chỉ có ở danh sách kiểm tra khi dò bo, build/mach_that.py:103), về điện trở hạn dòng LED, hay về công suất toả nhiệt của LDO. Skill design-review-checklist chỉ lặp lại đúng 6 mục mà ERC đã kiểm.</t>
        </is>
      </c>
      <c r="G50" s="47" t="inlineStr">
        <is>
          <t>Đây đúng là những lỗi bo mạch hay gặp trong thực tế: thiếu tụ 100 nF gây treo hoặc reset ngẫu nhiên, BOOT0 thả nổi làm chip vào bootloader, LED nối thẳng vào GPIO, LDO tuyến tính 12→3V3 cháy vì nhiệt. Tác tử không có cổng mã nào cho chúng, nên chỉ còn trông vào việc mô hình tự nhớ.</t>
        </is>
      </c>
      <c r="H50" s="47" t="inlineStr">
        <is>
          <t>Evaluator–Optimizer, Prompt Chaining</t>
        </is>
      </c>
      <c r="I50" s="47" t="inlineStr">
        <is>
          <t>Thêm bộ luật mềm, mức major hoặc minor, mỗi luật một hàm: (a) decoupling: mỗi linh kiện có chân power_in phải có ít nhất một tụ (ref C*) nối giữa net đó và GND trong cùng khối; (b) boot_reset: chân có Fact role∈{boot,reset,strap} (thêm khoá vào docs.py) phải có điện trở kéo về mức xác định hoặc nút bấm; (c) led_han_dong: LED (ref D*/LED*) phải có R nối tiếp, tính I=(V−Vf)/R bằng mã và so với Fact if.max của LED và ioh.max của GPIO; (d) nhiet_ldo: P=(Vin−Vout)·ΣI, so với Fact pd.max hoặc θJA. Đồng bộ skill checklist với danh sách luật thật.</t>
        </is>
      </c>
      <c r="J50" s="47" t="inlineStr">
        <is>
          <t>Phủ thêm nhóm lỗi hay gặp nhất của bo tự làm; kết quả rà soát có căn cứ là mã chứ không phải trí nhớ của mô hình.</t>
        </is>
      </c>
      <c r="K50" s="48" t="inlineStr">
        <is>
          <t>P1</t>
        </is>
      </c>
      <c r="L50" s="48" t="inlineStr">
        <is>
          <t>M</t>
        </is>
      </c>
      <c r="M50" s="48">
        <f>IF(K50="P0",IF(OR(L50="L",L50="XL"),"GĐ2","GĐ1"),IF(K50="P1",IF(L50="S","GĐ2","GĐ3"),"GĐ4"))</f>
        <v/>
      </c>
      <c r="N50" s="47" t="inlineStr">
        <is>
          <t>Dễ báo nhầm, ví dụ tụ dùng chung cho cụm chân. Nên để mức cảnh báo và có cơ chế người chấp nhận (stale.accept tương tự).</t>
        </is>
      </c>
      <c r="O50" s="47" t="inlineStr">
        <is>
          <t>Số lỗi miền bắt được trên bộ 10 mạch lỗi cài sẵn; tỉ lệ người chấp nhận phát hiện, đo độ nhiễu</t>
        </is>
      </c>
      <c r="P50" s="47" t="n"/>
      <c r="Q50" s="48" t="inlineStr">
        <is>
          <t>Chưa làm</t>
        </is>
      </c>
      <c r="R50" s="47" t="n"/>
      <c r="S50" s="47" t="n"/>
    </row>
    <row r="51" ht="68.25" customHeight="1" s="27">
      <c r="A51" s="46" t="inlineStr">
        <is>
          <t>M3-06</t>
        </is>
      </c>
      <c r="B51" s="47" t="inlineStr">
        <is>
          <t>3. Mạch, ERC, HDL/FPGA</t>
        </is>
      </c>
      <c r="C51" s="47" t="inlineStr">
        <is>
          <t>ERC — pull-up I2C</t>
        </is>
      </c>
      <c r="D51" s="47" t="inlineStr">
        <is>
          <t>T10 ERC &amp; thiết kế mạch</t>
        </is>
      </c>
      <c r="E51" s="47" t="inlineStr">
        <is>
          <t>src/eide/knowledge/erc.py:454 (pull_up_bus), compare.py:264 (pull_up)</t>
        </is>
      </c>
      <c r="F51" s="47" t="inlineStr">
        <is>
          <t>pull_up_bus đếm mọi linh kiện có ref bắt đầu bằng 'R' nối vào net SDA/SCL rồi coi đó là pull-up. compare.pull_up chỉ cảnh báo khi R &gt; 2×khuyến nghị.</t>
        </is>
      </c>
      <c r="G51" s="47" t="inlineStr">
        <is>
          <t>Điện trở nối tiếp, ví dụ 33 Ω chống dội, bị tính thành pull-up, nên vừa che việc thiếu pull-up thật vừa sinh cảnh báo 'hai cụm' sai. Luật không kiểm đầu kia của điện trở có lên rail nguồn không. Không kiểm R quá nhỏ: tại 3,3 V, R &lt; Vdd/3 mA ≈ 1,1 kΩ thì vượt IOL 3 mA của I2C. Cũng không tính rise time theo điện dung bus.</t>
        </is>
      </c>
      <c r="H51" s="47" t="inlineStr">
        <is>
          <t>Evaluator–Optimizer (cổng mã)</t>
        </is>
      </c>
      <c r="I51" s="47" t="inlineStr">
        <is>
          <t>Chỉ coi là pull-up khi chân còn lại của R nằm trên một net loai power. Dùng chân này để biết rail và Vdd. Tính Rmin=(Vdd−VOL)/IOL và Rmax=tr/(0,8473·Cb) bằng mã (Cb lấy từ Fact hoặc mặc định có ghi nguồn 'giả định 100 pF' → tầng ĐỒNG). Kiểm cả SDA lẫn SCL theo cặp. Pull-up song song thì tính R tương đương thay vì chỉ đếm.</t>
        </is>
      </c>
      <c r="J51" s="47" t="inlineStr">
        <is>
          <t>Bớt báo nhầm, và bắt thêm lỗi pull-up quá mạnh hoặc quá yếu, loại lỗi 'chạy lúc được lúc không'.</t>
        </is>
      </c>
      <c r="K51" s="48" t="inlineStr">
        <is>
          <t>P1</t>
        </is>
      </c>
      <c r="L51" s="48" t="inlineStr">
        <is>
          <t>S</t>
        </is>
      </c>
      <c r="M51" s="48">
        <f>IF(K51="P0",IF(OR(L51="L",L51="XL"),"GĐ2","GĐ1"),IF(K51="P1",IF(L51="S","GĐ2","GĐ3"),"GĐ4"))</f>
        <v/>
      </c>
      <c r="N51" s="47" t="inlineStr">
        <is>
          <t>Giả định Cb phải được nói ra (N4) và đánh tầng ĐỒNG.</t>
        </is>
      </c>
      <c r="O51" s="47" t="inlineStr">
        <is>
          <t>Báo nhầm pull-up trên mạch có R nối tiếp = 0; ca R quá nhỏ được bắt</t>
        </is>
      </c>
      <c r="P51" s="47" t="n"/>
      <c r="Q51" s="48" t="inlineStr">
        <is>
          <t>Chưa làm</t>
        </is>
      </c>
      <c r="R51" s="47" t="n"/>
      <c r="S51" s="47" t="n"/>
    </row>
    <row r="52" ht="79.5" customHeight="1" s="27">
      <c r="A52" s="46" t="inlineStr">
        <is>
          <t>M3-07</t>
        </is>
      </c>
      <c r="B52" s="47" t="inlineStr">
        <is>
          <t>3. Mạch, ERC, HDL/FPGA</t>
        </is>
      </c>
      <c r="C52" s="47" t="inlineStr">
        <is>
          <t>Nối Fact trích từ datasheet ↔ khoá ERC</t>
        </is>
      </c>
      <c r="D52" s="47" t="inlineStr">
        <is>
          <t>T10 ERC &amp; thiết kế mạch</t>
        </is>
      </c>
      <c r="E52" s="47" t="inlineStr">
        <is>
          <t>src/eide/knowledge/erc.py:40 (KHOA) vs knowledge/docs.py:357 ('icc.typ'), tools/sch.py:216</t>
        </is>
      </c>
      <c r="F52" s="47" t="inlineStr">
        <is>
          <t>Trích theo dòng sinh khoá 'icc.typ' cho ICC, nhưng bí danh i_max trong ERC chỉ nhận icc.max/idd.max/i.max. Không có mẫu trích nào cho iout_max (dòng ra LDO) hay addr (địa chỉ I2C), nên hai vế này chỉ có được khi người tự khai. sch.netlist chỉ trả về các phát hiện 'khong_dat' và ẩn hết 'chua_du_du_kien'.</t>
        </is>
      </c>
      <c r="G52" s="47" t="inlineStr">
        <is>
          <t>Trên dự án thật, ngan_sach_dong và trung_dia_chi gần như luôn ra 'chưa đủ dữ kiện', còn sch.netlist báo 'ERC 0 lỗi chặn'. Đó là một ô xanh giả, vì phần lớn luật chưa hề được đánh giá. Tác tử không biết mình cần nạp Fact gì.</t>
        </is>
      </c>
      <c r="H52" s="47" t="inlineStr">
        <is>
          <t>Agentic RAG (định tuyến/viết lại truy vấn), Prompt Chaining</t>
        </is>
      </c>
      <c r="I52" s="47" t="inlineStr">
        <is>
          <t>(1) Thêm mẫu cho iout/output current/IOUT(max), I2C address/slave address (đọc dạng nhị phân 1001000 và hex), cùng ánh xạ cột Max của bảng ICC thành icc.max. (2) Cho i_max nhận thêm icc.typ nhưng đánh dấu 'dùng typ thay max' trong bằng chứng. (3) Mọi kết quả ERC (board.check, sch.netlist) trả thêm 'do_phu' = {luat: dat/khong_dat/chua_du} cùng danh sách Fact còn thiếu theo dạng lệnh gợi ý: doc.load hoặc fact.extract cho chip X, khoá Y.</t>
        </is>
      </c>
      <c r="J52" s="47" t="inlineStr">
        <is>
          <t>ERC thực sự đánh giá được thay vì luôn im lặng; tác tử có đường đi cụ thể để lấp dữ kiện còn thiếu.</t>
        </is>
      </c>
      <c r="K52" s="48" t="inlineStr">
        <is>
          <t>P0</t>
        </is>
      </c>
      <c r="L52" s="48" t="inlineStr">
        <is>
          <t>S</t>
        </is>
      </c>
      <c r="M52" s="48">
        <f>IF(K52="P0",IF(OR(L52="L",L52="XL"),"GĐ2","GĐ1"),IF(K52="P1",IF(L52="S","GĐ2","GĐ3"),"GĐ4"))</f>
        <v/>
      </c>
      <c r="N52" s="47" t="inlineStr">
        <is>
          <t>Thêm mẫu regex có thể bắt nhầm, cần PHAM_VI_HOP_LY cho khoá mới.</t>
        </is>
      </c>
      <c r="O52" s="47" t="inlineStr">
        <is>
          <t>Tỉ lệ phát hiện 'chua_du_du_kien' / tổng trên 3 mạch mẫu (mục tiêu &lt; 30%)</t>
        </is>
      </c>
      <c r="P52" s="47" t="inlineStr">
        <is>
          <t>M5-05</t>
        </is>
      </c>
      <c r="Q52" s="49" t="inlineStr">
        <is>
          <t>Xong</t>
        </is>
      </c>
      <c r="R52" s="47" t="inlineStr">
        <is>
          <t>Agent (Claude Opus 5)</t>
        </is>
      </c>
      <c r="S52" s="47" t="n"/>
      <c r="T52" s="50" t="inlineStr">
        <is>
          <t>07/10/2026</t>
        </is>
      </c>
      <c r="U52" s="50" t="inlineStr">
        <is>
          <t>DEV-341</t>
        </is>
      </c>
      <c r="V52" s="50" t="inlineStr">
        <is>
          <t>1703 → 1713</t>
        </is>
      </c>
      <c r="W52" s="50" t="inlineStr">
        <is>
          <t>Fact tới được ERC: 5 → 17 (+12). Ba kho có Fact datasheet thì TOÀN BỘ mang chủ thể chip:, tức trước đó không một Fact nào tới được ERC. Độ phủ 5 mạch thật nay đọc được</t>
        </is>
      </c>
      <c r="X52" s="50" t="inlineStr">
        <is>
          <t>không có cờ — sửa lỗi thuần</t>
        </is>
      </c>
      <c r="Y52" s="50" t="inlineStr">
        <is>
          <t>hai tập dữ liệu vẫn chưa giao nhau, nên luật quá áp M3-01 vẫn chưa nổ trên dữ liệu thật — nhưng đường dẫn đã thông</t>
        </is>
      </c>
    </row>
    <row r="53" ht="90.75" customHeight="1" s="27">
      <c r="A53" s="46" t="inlineStr">
        <is>
          <t>M3-08</t>
        </is>
      </c>
      <c r="B53" s="47" t="inlineStr">
        <is>
          <t>3. Mạch, ERC, HDL/FPGA</t>
        </is>
      </c>
      <c r="C53" s="47" t="inlineStr">
        <is>
          <t>Tính toán kỹ thuật bằng mã (CodeAct)</t>
        </is>
      </c>
      <c r="D53" s="47" t="inlineStr">
        <is>
          <t>T09 Phân tích mã tĩnh &amp; CodeAct</t>
        </is>
      </c>
      <c r="E53" s="47" t="inlineStr">
        <is>
          <t>src/eide/knowledge/khoi_thu_vien.py:56–81 (CONG_THUC)</t>
        </is>
      </c>
      <c r="F53" s="47" t="inlineStr">
        <is>
          <t>Có một danh sách công thức ĐÓNG, rất tốt: không eval, mỗi giá trị trả về GiaTriDanXuat kèm công thức và nguồn tham số. Nhưng danh sách chỉ có 3 công thức (chia_ap_r2, tu_loc, pull_up) và chỉ chạy được trong khoi.place. Trong 100+ công cụ không có công cụ tính toán hay chạy mã nào.</t>
        </is>
      </c>
      <c r="G53" s="47" t="inlineStr">
        <is>
          <t>Ngoài 3 công thức đó, mọi phép tính như R hạn dòng LED, chia áp ADC, công suất P=I²R, nhiệt LDO, RC/tần số timer, tụ tải thạch anh, baud error hay ngân sách dòng pin đều do LLM tự nhẩm trong lời văn. Kết quả không truy vết được và hay sai đơn vị.</t>
        </is>
      </c>
      <c r="H53" s="47" t="inlineStr">
        <is>
          <t>CodeAct</t>
        </is>
      </c>
      <c r="I53" s="47" t="inlineStr">
        <is>
          <t>Thêm công cụ calc.eval (R1, core): nhận biểu thức một dòng có đơn vị, phân tích bằng ast với whitelist toán tử và hàm (không eval tự do), đổi đơn vị bằng pint hoặc bảng nội bộ ve_si. Tham số tham chiếu Fact theo id ({fact:U1.vih}) để tự gắn nguồn. Trả GiaTriDanXuat; nếu tham số lấy từ Fact BẠC/ĐỒNG thì tier kết quả cũng hạ theo. Mở rộng CONG_THUC thêm led_r, chia_ap_adc, cong_suat_r, nhiet_ldo, rc_tan_so, tu_tai_thach_anh, sai_so_baud. Thêm vào hiến pháp/skill: 'mọi con số tính ra phải qua calc.eval'.</t>
        </is>
      </c>
      <c r="J53" s="47" t="inlineStr">
        <is>
          <t>Các giá trị linh kiện có công thức, tham số và nguồn đi kèm; bớt lỗi số học và lỗi đơn vị.</t>
        </is>
      </c>
      <c r="K53" s="48" t="inlineStr">
        <is>
          <t>P1</t>
        </is>
      </c>
      <c r="L53" s="48" t="inlineStr">
        <is>
          <t>M</t>
        </is>
      </c>
      <c r="M53" s="48">
        <f>IF(K53="P0",IF(OR(L53="L",L53="XL"),"GĐ2","GĐ1"),IF(K53="P1",IF(L53="S","GĐ2","GĐ3"),"GĐ4"))</f>
        <v/>
      </c>
      <c r="N53" s="47" t="inlineStr">
        <is>
          <t>Thêm một công cụ vào lược đồ tool; cần sandbox an toàn (không eval).</t>
        </is>
      </c>
      <c r="O53" s="47" t="inlineStr">
        <is>
          <t>Tỉ lệ con số dẫn xuất trong hiện vật có GiaTriDanXuat; sai số trên bộ 20 bài tính mạch chuẩn</t>
        </is>
      </c>
      <c r="P53" s="47" t="inlineStr">
        <is>
          <t>M1-21</t>
        </is>
      </c>
      <c r="Q53" s="48" t="inlineStr">
        <is>
          <t>Chưa làm</t>
        </is>
      </c>
      <c r="R53" s="47" t="n"/>
      <c r="S53" s="47" t="n"/>
    </row>
    <row r="54" ht="102" customHeight="1" s="27">
      <c r="A54" s="46" t="inlineStr">
        <is>
          <t>M3-09</t>
        </is>
      </c>
      <c r="B54" s="47" t="inlineStr">
        <is>
          <t>3. Mạch, ERC, HDL/FPGA</t>
        </is>
      </c>
      <c r="C54" s="47" t="inlineStr">
        <is>
          <t>Chọn linh kiện / trích datasheet (Agentic RAG)</t>
        </is>
      </c>
      <c r="D54" s="47" t="inlineStr">
        <is>
          <t>T13 RAG &amp; trích xuất datasheet</t>
        </is>
      </c>
      <c r="E54" s="47" t="inlineStr">
        <is>
          <t>src/eide/tools/knowledge.py:751 (fact.extract), knowledge/docs.py:372 (trich_fact_ung_vien)</t>
        </is>
      </c>
      <c r="F54" s="47" t="inlineStr">
        <is>
          <t>fact.extract đọc số bằng regex theo dòng hoặc theo hàng bảng, có số trang và trích đoạn nguyên văn, tầng BẠC. Khi không trích được thì công cụ bảo dừng ('đừng bịa'). Không có công cụ chọn hoặc so sánh linh kiện theo thông số.</t>
        </is>
      </c>
      <c r="G54" s="47" t="inlineStr">
        <is>
          <t>Không có vòng Agentic RAG nào: không chấm độ liên quan của trang, không viết lại truy vấn (đồng nghĩa IDD/ICC/supply current), không có đường dự phòng dùng LLM đọc bảng ảnh hay bảng phức tạp kèm kiểm bám nguồn, không đọc điều kiện đo (VDD, T, tần số). Việc chọn LDO hay cảm biến theo yêu cầu (Iout ≥ ΣI, Vdropout, gói) hoàn toàn do mô hình tự nghĩ.</t>
        </is>
      </c>
      <c r="H54" s="47" t="inlineStr">
        <is>
          <t>Agentic RAG (CRAG/Self-RAG), Routing</t>
        </is>
      </c>
      <c r="I54" s="47" t="inlineStr">
        <is>
          <t>(1) Thêm fact.extract_llm làm đường dự phòng khi regex trả 0 hoặc thiếu khoá mà ERC đòi: LLM đọc trang đã định vị, trả JSON {khoa, gia_tri, don_vi, dieu_kien, trich_nguyen_van}. Sau đó mã kiểm trích_nguyên_văn có xuất hiện nguyên chuỗi trong text trang không và số có nằm trong trích đoạn không, đạt thì giữ (tầng BẠC), trượt thì bỏ. (2) Thêm part.select: từ yêu cầu ràng buộc dạng mã (vd iout_max ≥ 1,2×ΣI), định tuyến nguồn tài liệu cục bộ → doc.search_web → doc.fetch, trích và kiểm như trên, rồi xếp hạng bằng mã. Ra bảng so sánh có trích dẫn và để người chọn (HITL).</t>
        </is>
      </c>
      <c r="J54" s="47" t="inlineStr">
        <is>
          <t>Tăng độ phủ Fact cho ERC; chọn linh kiện có căn cứ, truy vết được tới trang datasheet.</t>
        </is>
      </c>
      <c r="K54" s="48" t="inlineStr">
        <is>
          <t>P1</t>
        </is>
      </c>
      <c r="L54" s="48" t="inlineStr">
        <is>
          <t>L</t>
        </is>
      </c>
      <c r="M54" s="48">
        <f>IF(K54="P0",IF(OR(L54="L",L54="XL"),"GĐ2","GĐ1"),IF(K54="P1",IF(L54="S","GĐ2","GĐ3"),"GĐ4"))</f>
        <v/>
      </c>
      <c r="N54" s="47" t="inlineStr">
        <is>
          <t>Thêm token và độ trễ; LLM trích sai. Giảm rủi ro bằng kiểm bám nguyên văn bằng mã và người xác nhận lên VÀNG.</t>
        </is>
      </c>
      <c r="O54" s="47" t="inlineStr">
        <is>
          <t>Recall khoá ERC trên 20 datasheet; tỉ lệ Fact LLM bị loại ở bước kiểm bám; số lời gọi mỗi lần chọn một linh kiện</t>
        </is>
      </c>
      <c r="P54" s="47" t="inlineStr">
        <is>
          <t>M5-04</t>
        </is>
      </c>
      <c r="Q54" s="48" t="inlineStr">
        <is>
          <t>Chưa làm</t>
        </is>
      </c>
      <c r="R54" s="47" t="n"/>
      <c r="S54" s="47" t="n"/>
    </row>
    <row r="55" ht="90.75" customHeight="1" s="27">
      <c r="A55" s="46" t="inlineStr">
        <is>
          <t>M3-10</t>
        </is>
      </c>
      <c r="B55" s="47" t="inlineStr">
        <is>
          <t>3. Mạch, ERC, HDL/FPGA</t>
        </is>
      </c>
      <c r="C55" s="47" t="inlineStr">
        <is>
          <t>Vòng sinh → ERC → sửa cho thiết kế mạch</t>
        </is>
      </c>
      <c r="D55" s="47" t="inlineStr">
        <is>
          <t>T10 ERC &amp; thiết kế mạch</t>
        </is>
      </c>
      <c r="E55" s="47" t="inlineStr">
        <is>
          <t>src/eide/hooks/standard.py:303 (ledger_and_lint), kiem_chung.py:19 (_GHI_CHAC_CHAN), tools/ckm.py:766 (board.check)</t>
        </is>
      </c>
      <c r="F55" s="47" t="inlineStr">
        <is>
          <t>board.check chỉ chạy khi tác tử tự gọi, hoặc bên trong ckm.build và sch.netlist. Không có hook post_tool nào chạy ERC sau ckm.net_set, ckm.port_set hay khoi.place. _GHI_CHAC_CHAN không có ckm.* hay sch.* nên verifier không bị nhắc khi bản đồ mạch đổi. sch.compose sinh SKiDL TẤT ĐỊNH từ cây, nên phép kiểm đẳng cấu thực chất chỉ kiểm bộ sinh; phần thiết kế thật là việc LLM sửa CKM, và phần đó không có vòng chấm–sửa nào.</t>
        </is>
      </c>
      <c r="G55" s="47" t="inlineStr">
        <is>
          <t>Thiếu Evaluator–Optimizer đúng nghĩa: tác tử có thể thêm net, kết lượt và không bao giờ thấy lỗi chặn mới. Không có trần vòng riêng cho việc sửa ERC, nên hoặc không sửa, hoặc quay vòng tới hết ngân sách 40 lời gọi.</t>
        </is>
      </c>
      <c r="H55" s="47" t="inlineStr">
        <is>
          <t>Evaluator–Optimizer, Prompt Chaining, Human-in-the-loop</t>
        </is>
      </c>
      <c r="I55" s="47" t="inlineStr">
        <is>
          <t>Thêm hook on_post_tool 'erc_delta': sau mỗi ckm.*/khoi.place thành công, chạy ERC.erc (rẻ, không LLM), so với lần trước (lưu trong ctx), rồi gắn vào kết quả công cụ CHỈ những phát hiện blocker/major mới phát sinh, tối đa 3 dòng. Thêm hook on_stop: còn blocker mới chưa được nhắc tới thì cho thêm đúng 1 vòng. Đếm số lần sửa cho cùng một (luat, path); quá 3 lần thì đưa thẻ ask_user thay vì tiếp tục. Thêm ckm.*, sch.write, khoi.place vào _GHI_CHAC_CHAN.</t>
        </is>
      </c>
      <c r="J55" s="47" t="inlineStr">
        <is>
          <t>Lỗi được phát hiện ngay tại bước gây ra nó; vòng sửa có trần.</t>
        </is>
      </c>
      <c r="K55" s="48" t="inlineStr">
        <is>
          <t>P0</t>
        </is>
      </c>
      <c r="L55" s="48" t="inlineStr">
        <is>
          <t>M</t>
        </is>
      </c>
      <c r="M55" s="48">
        <f>IF(K55="P0",IF(OR(L55="L",L55="XL"),"GĐ2","GĐ1"),IF(K55="P1",IF(L55="S","GĐ2","GĐ3"),"GĐ4"))</f>
        <v/>
      </c>
      <c r="N55" s="47" t="inlineStr">
        <is>
          <t>Kết quả công cụ dài thêm; phải giới hạn chỉ phần delta và ≤3 dòng.</t>
        </is>
      </c>
      <c r="O55" s="47" t="inlineStr">
        <is>
          <t>Số blocker còn lại lúc kết lượt; số lời gọi trung bình để đưa ERC về 0 blocker; số lần chạm trần 3 vòng</t>
        </is>
      </c>
      <c r="P55" s="47" t="n"/>
      <c r="Q55" s="49" t="inlineStr">
        <is>
          <t>Xong</t>
        </is>
      </c>
      <c r="R55" s="47" t="inlineStr">
        <is>
          <t>Agent (Claude Opus 5)</t>
        </is>
      </c>
      <c r="S55" s="47" t="n"/>
      <c r="T55" s="50" t="inlineStr">
        <is>
          <t>07/10/2026</t>
        </is>
      </c>
      <c r="U55" s="50" t="inlineStr">
        <is>
          <t>DEV-342</t>
        </is>
      </c>
      <c r="V55" s="50" t="inlineStr">
        <is>
          <t>1713 → 1720</t>
        </is>
      </c>
      <c r="W55" s="50" t="inlineStr">
        <is>
          <t>chi phí đo thật: mạch lớn nhất trong kho 187 nút → ERC 7,6 ms mỗi lần ghi. Trần 2000 nút, vượt thì NÓI RA chứ không im lặng bỏ qua</t>
        </is>
      </c>
      <c r="X55" s="50" t="inlineStr">
        <is>
          <t>ERC_TU_DONG — TẮT</t>
        </is>
      </c>
      <c r="Y55" s="50" t="inlineStr">
        <is>
          <t>cần eval 76 ca + bộ phát lại trước khi bật mặc định</t>
        </is>
      </c>
    </row>
    <row r="56" ht="57" customHeight="1" s="27">
      <c r="A56" s="46" t="inlineStr">
        <is>
          <t>M3-11</t>
        </is>
      </c>
      <c r="B56" s="47" t="inlineStr">
        <is>
          <t>3. Mạch, ERC, HDL/FPGA</t>
        </is>
      </c>
      <c r="C56" s="47" t="inlineStr">
        <is>
          <t>Footprint và đối chiếu BOM</t>
        </is>
      </c>
      <c r="D56" s="47" t="inlineStr">
        <is>
          <t>T10 ERC &amp; thiết kế mạch</t>
        </is>
      </c>
      <c r="E56" s="47" t="inlineStr">
        <is>
          <t>src/eide/sch/netlist.py:viet_net, knowledge/eda.py:262 (doi_chieu_bom_netlist)</t>
        </is>
      </c>
      <c r="F56" s="47" t="inlineStr">
        <is>
          <t>viet_net ghi comp chỉ gồm ref/value/libsource, không có (footprint). eda.py có đọc trường footprint, nhưng doi_chieu_bom_netlist chỉ so ref, giá trị và số lượng.</t>
        </is>
      </c>
      <c r="G56" s="47" t="inlineStr">
        <is>
          <t>Netlist xuất ra không làm PCB được nếu chưa gán footprint bằng tay. Lỗi gói sai (SOT-23 hay SOT-223, chân 1 ở đâu) và lệch footprint giữa BOM và sơ đồ không được kiểm. Đây là lỗi hay chỉ lộ ra lúc hàn.</t>
        </is>
      </c>
      <c r="H56" s="47" t="inlineStr">
        <is>
          <t>Prompt Chaining (cổng mã)</t>
        </is>
      </c>
      <c r="I56" s="47" t="inlineStr">
        <is>
          <t>Thêm trường footprint vào canonical của lá (nguồn: hộ chiếu chip/gói trong Fact 'package', hoặc MPN trong BOM). viet_net ghi (footprint ...) khi có. Thêm luật 'footprint': thiếu footprint thì info; số pad của footprint (từ tên chuẩn KiCad, vd SOIC-8) khác số chân trong Fact pinout thì blocker; footprint trong BOM khác footprint trong sơ đồ thì major.</t>
        </is>
      </c>
      <c r="J56" s="47" t="inlineStr">
        <is>
          <t>Netlist dùng được cho bước PCB; bắt sai gói trước khi đặt mạch in.</t>
        </is>
      </c>
      <c r="K56" s="48" t="inlineStr">
        <is>
          <t>P2</t>
        </is>
      </c>
      <c r="L56" s="48" t="inlineStr">
        <is>
          <t>M</t>
        </is>
      </c>
      <c r="M56" s="48">
        <f>IF(K56="P0",IF(OR(L56="L",L56="XL"),"GĐ2","GĐ1"),IF(K56="P1",IF(L56="S","GĐ2","GĐ3"),"GĐ4"))</f>
        <v/>
      </c>
      <c r="N56" s="47" t="inlineStr">
        <is>
          <t>Cần bảng ánh xạ tên footprint ra số pad.</t>
        </is>
      </c>
      <c r="O56" s="47" t="inlineStr">
        <is>
          <t>Tỉ lệ linh kiện có footprint; số lệch gói bắt được trên bộ ca</t>
        </is>
      </c>
      <c r="P56" s="47" t="n"/>
      <c r="Q56" s="48" t="inlineStr">
        <is>
          <t>Chưa làm</t>
        </is>
      </c>
      <c r="R56" s="47" t="n"/>
      <c r="S56" s="47" t="n"/>
    </row>
    <row r="57" ht="79.5" customHeight="1" s="27">
      <c r="A57" s="46" t="inlineStr">
        <is>
          <t>M3-12</t>
        </is>
      </c>
      <c r="B57" s="47" t="inlineStr">
        <is>
          <t>3. Mạch, ERC, HDL/FPGA</t>
        </is>
      </c>
      <c r="C57" s="47" t="inlineStr">
        <is>
          <t>Mô phỏng HDL — đọc PASS/FAIL</t>
        </is>
      </c>
      <c r="D57" s="47" t="inlineStr">
        <is>
          <t>T11 HDL/FPGA</t>
        </is>
      </c>
      <c r="E57" s="47" t="inlineStr">
        <is>
          <t>src/eide/build/hdl.py:497 (mo_phong)</t>
        </is>
      </c>
      <c r="F57" s="47" t="inlineStr">
        <is>
          <t>kq.dat = 'PASS' in UPPER(nguyen_van) và 'FAIL' không có. nguyen_van gộp cả log biên dịch (iverilog/verilator) lẫn log chạy. Mã thoát của vvp/sim bị bỏ qua khi kết luận. Không đếm số ca.</t>
        </is>
      </c>
      <c r="G57" s="47" t="inlineStr">
        <is>
          <t>Báo PASS giả khi trong log có chữ BYPASS, tên tệp hay tín hiệu chứa 'pass' (pass_through.v trong một cảnh báo), hoặc khi in 'PASSED 0/5'. Báo FAIL giả khi có tên như FAILSAFE. Bỏ sót $fatal/$error và assertion fail (iverilog in 'FATAL'/'ERROR' kèm mã thoát khác 0) nếu testbench đã in PASS trước đó. Đây là đúng loại 'ô xanh giả' mà dự án đang cố diệt.</t>
        </is>
      </c>
      <c r="H57" s="47" t="inlineStr">
        <is>
          <t>Prompt Chaining (cổng mã), Evaluator–Optimizer</t>
        </is>
      </c>
      <c r="I57" s="47" t="inlineStr">
        <is>
          <t>Chỉ đọc log CHẠY (kq2.nguyen_van). Dùng giao thức dòng chặt: regex ^\s*(EIDE_)?(PASS|FAIL)\b(.*)$ ở đầu dòng, và khuyến nghị dạng 'TEST &lt;ten&gt; PASS/FAIL' để đếm ca. dat = có ≥1 PASS, 0 FAIL, mã thoát == 0, và không có ^(FATAL|ERROR|%Error|Assertion failed). Trả so_ca_pass/so_ca_fail. Thêm test cho các ca BYPASS, $fatal, mã thoát 1.</t>
        </is>
      </c>
      <c r="J57" s="47" t="inlineStr">
        <is>
          <t>Kết luận mô phỏng tin được; chặn PASS giả.</t>
        </is>
      </c>
      <c r="K57" s="48" t="inlineStr">
        <is>
          <t>P0</t>
        </is>
      </c>
      <c r="L57" s="48" t="inlineStr">
        <is>
          <t>S</t>
        </is>
      </c>
      <c r="M57" s="48">
        <f>IF(K57="P0",IF(OR(L57="L",L57="XL"),"GĐ2","GĐ1"),IF(K57="P1",IF(L57="S","GĐ2","GĐ3"),"GĐ4"))</f>
        <v/>
      </c>
      <c r="N57" s="47" t="inlineStr">
        <is>
          <t>Testbench cũ in 'PASS' giữa dòng sẽ phải sửa. Có thể giữ chế độ tương thích kèm cảnh báo.</t>
        </is>
      </c>
      <c r="O57" s="47" t="inlineStr">
        <is>
          <t>Số ca PASS giả/FAIL giả trên bộ 10 log cài sẵn (mục tiêu 0)</t>
        </is>
      </c>
      <c r="P57" s="47" t="inlineStr">
        <is>
          <t>M4-16</t>
        </is>
      </c>
      <c r="Q57" s="49" t="inlineStr">
        <is>
          <t>Xong</t>
        </is>
      </c>
      <c r="R57" s="47" t="inlineStr">
        <is>
          <t>Agent (Claude Opus 5)</t>
        </is>
      </c>
      <c r="S57" s="47" t="n"/>
      <c r="T57" s="50" t="inlineStr">
        <is>
          <t>07/10/2026</t>
        </is>
      </c>
      <c r="U57" s="50" t="inlineStr">
        <is>
          <t>DEV-343</t>
        </is>
      </c>
      <c r="V57" s="50" t="inlineStr">
        <is>
          <t>1720 → 1732</t>
        </is>
      </c>
      <c r="W57" s="50" t="inlineStr">
        <is>
          <t>846 bản ghi mô phỏng thật: regex mà KẾ HOẠCH ghi sẵn từ chối oan 588/846 (testbench dự án in 'KET QUA: PASS' — nhãn đứng TRƯỚC từ khoá). Nới đúng một chỗ → 846/846 khớp, vẫn bắt đủ bốn ca PASS giả</t>
        </is>
      </c>
      <c r="X57" s="50" t="inlineStr">
        <is>
          <t>không có cờ — sửa lỗi thuần</t>
        </is>
      </c>
      <c r="Y57" s="50" t="inlineStr">
        <is>
          <t>—</t>
        </is>
      </c>
    </row>
    <row r="58" ht="79.5" customHeight="1" s="27">
      <c r="A58" s="46" t="inlineStr">
        <is>
          <t>M3-13</t>
        </is>
      </c>
      <c r="B58" s="47" t="inlineStr">
        <is>
          <t>3. Mạch, ERC, HDL/FPGA</t>
        </is>
      </c>
      <c r="C58" s="47" t="inlineStr">
        <is>
          <t>Độ nhạy bộ kiểm HDL (mutation)</t>
        </is>
      </c>
      <c r="D58" s="47" t="inlineStr">
        <is>
          <t>T11 HDL/FPGA</t>
        </is>
      </c>
      <c r="E58" s="47" t="inlineStr">
        <is>
          <t>src/eide/tools/hdl.py:123 (tham số do_nhay), build/dot_bien.py:44, tools/xay_dung.py:738 (test.sensitivity chỉ cho .c)</t>
        </is>
      </c>
      <c r="F58" s="47" t="inlineStr">
        <is>
          <t>hdl.sim nhận 'do_nhay' {bat, tong} do chính tác tử TỰ KHAI ('chỉ điền khi đã thật sự làm'). dot_bien.py đã có bộ đột biến tốt, nhưng test.sensitivity chỉ lấy firmware/*.c và chạy test C.</t>
        </is>
      </c>
      <c r="G58" s="47" t="inlineStr">
        <is>
          <t>Con số đo chất lượng testbench là con số tự báo cáo, không phải đo, đúng loại số mà mô tả công cụ cảnh báo là 'bịa thì tệ hơn không có'. Tài liệu ghi nấc 3a từng PASS với hai lỗ mà không có công cụ đo độ nhạy tự động cho Verilog.</t>
        </is>
      </c>
      <c r="H58" s="47" t="inlineStr">
        <is>
          <t>Evaluator–Optimizer, CodeAct</t>
        </is>
      </c>
      <c r="I58" s="47" t="inlineStr">
        <is>
          <t>Thêm hdl.sensitivity: dùng lại DB.do_do_nhay với _chay = mo_phong (đã sửa phần đọc PASS/FAIL). Bổ sung phép đột biến Verilog: đảo điều kiện if (thêm !), đổi &amp; thành |, đổi hằng N'dX, bỏ một nhánh case (thành default), đổi posedge thành negedge, đổi &lt;= thành = trong always_ff. Có bộ lọc vùng không đột biến cho $display và chuỗi. Ghi do_nhay ĐO ĐƯỢC vào build:hdl:sim. Bỏ tham số do_nhay tự khai, hoặc đánh dấu 'tự báo cáo'.</t>
        </is>
      </c>
      <c r="J58" s="47" t="inlineStr">
        <is>
          <t>Chất lượng testbench HDL được đo khách quan; lỗ trong bộ kiểm lộ ra trước khi lên bo.</t>
        </is>
      </c>
      <c r="K58" s="48" t="inlineStr">
        <is>
          <t>P0</t>
        </is>
      </c>
      <c r="L58" s="48" t="inlineStr">
        <is>
          <t>M</t>
        </is>
      </c>
      <c r="M58" s="48">
        <f>IF(K58="P0",IF(OR(L58="L",L58="XL"),"GĐ2","GĐ1"),IF(K58="P1",IF(L58="S","GĐ2","GĐ3"),"GĐ4"))</f>
        <v/>
      </c>
      <c r="N58" s="47" t="inlineStr">
        <is>
          <t>Mỗi đột biến là một lần mô phỏng; với SoC lớn (verilator) có thể lâu, nên giới hạn số tệp và số phép.</t>
        </is>
      </c>
      <c r="O58" s="47" t="inlineStr">
        <is>
          <t>Mutation score; số lỗ testbench phát hiện; thời gian mỗi lần đo</t>
        </is>
      </c>
      <c r="P58" s="47" t="inlineStr">
        <is>
          <t>M4-16</t>
        </is>
      </c>
      <c r="Q58" s="51" t="inlineStr">
        <is>
          <t>Xong</t>
        </is>
      </c>
      <c r="R58" s="47" t="inlineStr">
        <is>
          <t>Agent (Claude Opus 5)</t>
        </is>
      </c>
      <c r="S58" s="47" t="n"/>
      <c r="T58" s="52" t="inlineStr">
        <is>
          <t>08/10/2026</t>
        </is>
      </c>
      <c r="U58" s="52" t="inlineStr">
        <is>
          <t>DEV-344</t>
        </is>
      </c>
      <c r="V58" s="52" t="inlineStr">
        <is>
          <t>1732 → 1744 (+12)</t>
        </is>
      </c>
      <c r="W58" s="52" t="inlineStr">
        <is>
          <t>testbench Verilog THẬT của bài 3 (lõi RISC-V), đo lại qua chính đường mã của công cụ trên một BẢN SAO của docs/riscv-tn20k: tb_pcpi_dot4 1/1 (đảo if, 3 chỗ → bộ kiểm ĐỎ), tb_pcpi_mac 1/1 (đảo if, 2 chỗ). tb_pcpi_vmini KHÔNG đo được — và cổng 'bộ kiểm phải XANH trước khi đo' chặn đúng: tb tạo thực thể bram với 5 cổng b_* của bản HAI CỔNG, mà rtl/bram.v đã về một cổng ngày 02/10/2026. Testbench nấc 3c không dịch nổi từ hôm ấy, trong khi bai3/NGOAI-PHAM-VI.md vẫn ghi 'độ nhạy 7/7'.</t>
        </is>
      </c>
      <c r="X58" s="52" t="inlineStr">
        <is>
          <t>không có cờ (công cụ mới core=False)</t>
        </is>
      </c>
      <c r="Y58" s="52" t="inlineStr">
        <is>
          <t>MẪU SỐ LÀ TỆP, không phải phép phá: do_do_nhay break ngay khi một phép làm bộ kiểm đỏ, nên '1/1' nghĩa là 1 trong 1 TỆP RTL — không so được với '7/7 phép' của bản đo tay. Nhãn A8.0 và note_vi đã sửa theo do_bang. · 'phá lại thì đỏ 6/6' của bản WIP là 7/9 khi phá bằng tập rộng hơn: hai chỗ LỌT là bang=PHEP_VERILOG và cổng 'bộ kiểm phải XANH'. Bù TC-07/08/09, phá lại 9/9. · Công cụ thứ 128 này CHƯA lượt Agent nào gọi.</t>
        </is>
      </c>
    </row>
    <row r="59" ht="90.75" customHeight="1" s="27">
      <c r="A59" s="46" t="inlineStr">
        <is>
          <t>M3-14</t>
        </is>
      </c>
      <c r="B59" s="47" t="inlineStr">
        <is>
          <t>3. Mạch, ERC, HDL/FPGA</t>
        </is>
      </c>
      <c r="C59" s="47" t="inlineStr">
        <is>
          <t>Testbench tự sinh &amp; mô hình tham chiếu</t>
        </is>
      </c>
      <c r="D59" s="47" t="inlineStr">
        <is>
          <t>T11 HDL/FPGA</t>
        </is>
      </c>
      <c r="E59" s="47" t="inlineStr">
        <is>
          <t>src/eide/tools/hdl.py (hdl.sim); tools/phien_fpga_bo_that.py:289 (bước đối chiếu ≤ 1%)</t>
        </is>
      </c>
      <c r="F59" s="47" t="inlineStr">
        <is>
          <t>Không có công cụ sinh testbench. Testbench do LLM viết tay mỗi lần. Phép so mô phỏng với đo trên bo (≤ 1%) được giao bằng câu lệnh tự nhiên 'So results/board.csv với results/all.csv' cho LLM tự làm. Không có mô hình tham chiếu (golden model) nào để so từng chu kỳ hay từng lệnh, ví dụ ISS RISC-V hay RVFI.</t>
        </is>
      </c>
      <c r="G59" s="47" t="inlineStr">
        <is>
          <t>Tiêu chí ≤ 1% của đề bài được kiểm bằng LLM đọc CSV, không tái lập được và dễ tính nhầm. Testbench viết tay thiếu ca biên và thiếu so sánh với mô hình tham chiếu, nên chỉ bắt được những lỗi người viết đã nghĩ tới.</t>
        </is>
      </c>
      <c r="H59" s="47" t="inlineStr">
        <is>
          <t>CodeAct, Evaluator–Optimizer, Prompt Chaining</t>
        </is>
      </c>
      <c r="I59" s="47" t="inlineStr">
        <is>
          <t>(1) Thêm hdl.compare: mã đọc hai CSV hoặc VCD, khớp theo khoá, tính sai lệch tương đối từng dòng, trả bảng dòng vượt ngưỡng. Ngưỡng là tham số kiểu tiêu chí (sim.criteria). (2) Thêm hdl.tb_scaffold: từ cổng của mô-đun đỉnh (đã đọc được qua hdl_cay) sinh khung testbench tự kiểm theo giao thức PASS/FAIL, gồm reset, clock, vòng đọc vector từ tệp .hex/.csv do mô hình tham chiếu Python sinh, so khớp và in FAIL kèm chỉ số. (3) Với lõi RISC-V: dùng giao diện RVFI của PicoRV32 (có sẵn) cộng một ISS nhỏ để so vết lệnh.</t>
        </is>
      </c>
      <c r="J59" s="47" t="inlineStr">
        <is>
          <t>Tiêu chí số được kiểm bằng mã; testbench phủ rộng nhờ vector từ mô hình tham chiếu.</t>
        </is>
      </c>
      <c r="K59" s="48" t="inlineStr">
        <is>
          <t>P1</t>
        </is>
      </c>
      <c r="L59" s="48" t="inlineStr">
        <is>
          <t>L</t>
        </is>
      </c>
      <c r="M59" s="48">
        <f>IF(K59="P0",IF(OR(L59="L",L59="XL"),"GĐ2","GĐ1"),IF(K59="P1",IF(L59="S","GĐ2","GĐ3"),"GĐ4"))</f>
        <v/>
      </c>
      <c r="N59" s="47" t="inlineStr">
        <is>
          <t>Viết mô hình tham chiếu tốn công; vết RVFI lớn.</t>
        </is>
      </c>
      <c r="O59" s="47" t="inlineStr">
        <is>
          <t>Số dòng đối chiếu tự động; số lỗi bắt được nhờ so với mô hình tham chiếu; thời gian xong bước đối chiếu</t>
        </is>
      </c>
      <c r="P59" s="47" t="inlineStr">
        <is>
          <t>M4-15</t>
        </is>
      </c>
      <c r="Q59" s="48" t="inlineStr">
        <is>
          <t>Chưa làm</t>
        </is>
      </c>
      <c r="R59" s="47" t="n"/>
      <c r="S59" s="47" t="n"/>
    </row>
    <row r="60" ht="68.25" customHeight="1" s="27">
      <c r="A60" s="46" t="inlineStr">
        <is>
          <t>M3-15</t>
        </is>
      </c>
      <c r="B60" s="47" t="inlineStr">
        <is>
          <t>3. Mạch, ERC, HDL/FPGA</t>
        </is>
      </c>
      <c r="C60" s="47" t="inlineStr">
        <is>
          <t>Kiểm hình thức / assertion (SVA, SymbiYosys)</t>
        </is>
      </c>
      <c r="D60" s="47" t="inlineStr">
        <is>
          <t>T11 HDL/FPGA</t>
        </is>
      </c>
      <c r="E60" s="47" t="inlineStr">
        <is>
          <t>src/eide/build/hdl.py (chỉ có lint/mo_phong/tong_hop/dat_di_day/dong_goi); hdl_cay.py:_TU_KHOA (có 'assert','property','restrict')</t>
        </is>
      </c>
      <c r="F60" s="47" t="inlineStr">
        <is>
          <t>Không có chặng formal nào. hdl_cay đã biết PicoRV32 dùng 'restrict property', nhưng EIDE không chạy SymbiYosys. Mô phỏng iverilog -g2012 hỗ trợ SVA rất hạn chế; verilator được gọi mà không có --assert.</t>
        </is>
      </c>
      <c r="G60" s="47" t="inlineStr">
        <is>
          <t>Các tính chất như FSM không kẹt, FIFO không tràn hay giao thức bus valid/ready chỉ được kiểm bằng mô phỏng theo vector, nên bỏ sót ca góc. Assertion viết trong RTL bị im lặng bỏ qua.</t>
        </is>
      </c>
      <c r="H60" s="47" t="inlineStr">
        <is>
          <t>Evaluator–Optimizer, CodeAct</t>
        </is>
      </c>
      <c r="I60" s="47" t="inlineStr">
        <is>
          <t>Thêm H.formal() và công cụ hdl.formal: sinh tệp .sby (mode bmc/prove, depth là tham số, engine smtbmc), chạy có HAN_GIAY, đọc 'PASS'/'FAIL' và đường dẫn trace VCD phản ví dụ trong engine_*/trace.vcd. Trích N chu kỳ cuối của các tín hiệu trong assertion bị vi phạm và trả gọn cho tác tử. Thêm --assert vào lệnh verilator ở mo_phong. Đặt trong deps/env.check như một công cụ tuỳ chọn.</t>
        </is>
      </c>
      <c r="J60" s="47" t="inlineStr">
        <is>
          <t>Chứng minh tính chất thay vì chỉ thử mẫu; phản ví dụ cụ thể giúp tác tử sửa đúng chỗ.</t>
        </is>
      </c>
      <c r="K60" s="48" t="inlineStr">
        <is>
          <t>P1</t>
        </is>
      </c>
      <c r="L60" s="48" t="inlineStr">
        <is>
          <t>M</t>
        </is>
      </c>
      <c r="M60" s="48">
        <f>IF(K60="P0",IF(OR(L60="L",L60="XL"),"GĐ2","GĐ1"),IF(K60="P1",IF(L60="S","GĐ2","GĐ3"),"GĐ4"))</f>
        <v/>
      </c>
      <c r="N60" s="47" t="inlineStr">
        <is>
          <t>Bùng nổ trạng thái trên SoC lớn; chỉ áp cho mô-đun nhỏ, và cần trần depth và thời gian.</t>
        </is>
      </c>
      <c r="O60" s="47" t="inlineStr">
        <is>
          <t>Số mô-đun có assertion được chứng minh; lỗi bắt được bằng formal mà mô phỏng bỏ sót</t>
        </is>
      </c>
      <c r="P60" s="47" t="n"/>
      <c r="Q60" s="48" t="inlineStr">
        <is>
          <t>Chưa làm</t>
        </is>
      </c>
      <c r="R60" s="47" t="n"/>
      <c r="S60" s="47" t="n"/>
    </row>
    <row r="61" ht="68.25" customHeight="1" s="27">
      <c r="A61" s="46" t="inlineStr">
        <is>
          <t>M3-16</t>
        </is>
      </c>
      <c r="B61" s="47" t="inlineStr">
        <is>
          <t>3. Mạch, ERC, HDL/FPGA</t>
        </is>
      </c>
      <c r="C61" s="47" t="inlineStr">
        <is>
          <t>Tập tệp nguồn RTL/testbench và kiểm cấu trúc khi tổng hợp</t>
        </is>
      </c>
      <c r="D61" s="47" t="inlineStr">
        <is>
          <t>T11 HDL/FPGA</t>
        </is>
      </c>
      <c r="E61" s="47" t="inlineStr">
        <is>
          <t>src/eide/build/hdl.py:371 (_nguon_hdl), :405 (lint), :530 (tong_hop)</t>
        </is>
      </c>
      <c r="F61" s="47" t="inlineStr">
        <is>
          <t>_nguon_hdl lấy mọi *.v/*.sv dưới thư mục (chỉ trừ build/obj_dir). Cả lint lẫn synth (read_verilog -sv …; synth_gowin) dùng chung danh sách này. Yosys chạy không có 'check -assert'. Cảnh báo chỉ được gom dạng chữ.</t>
        </is>
      </c>
      <c r="G61" s="47" t="inlineStr">
        <is>
          <t>Testbench (initial, #delay, $display) và mã bài khác (blinky.v, bai3/) lọt vào lint và synth, gây lỗi hoặc nhiễu, hoặc tổng hợp nhầm. Latch và tín hiệu nhiều nguồn lái chỉ là cảnh báo chữ, không chặn, nên bo chạy sai trong khi chặng vẫn 'đạt'.</t>
        </is>
      </c>
      <c r="H61" s="47" t="inlineStr">
        <is>
          <t>Prompt Chaining (cổng mã)</t>
        </is>
      </c>
      <c r="I61" s="47" t="inlineStr">
        <is>
          <t>Tách tham số 'rtl' và 'tb' (hoặc tệp danh sách .f). Mặc định loại *_tb.v, tb_*.v và thư mục sim/, tb/. Lint chạy với --top-module bắt buộc khi có nhiều đỉnh. Thêm vào kịch bản yosys: 'hierarchy -check -top X; proc; check -assert' trước synth_gowin. Phân loại cảnh báo theo mã (LATCH, MULTIDRIVEN, UNDRIVEN, WIDTH) thành trường riêng; LATCH và MULTIDRIVEN làm dat=False trừ khi được người chấp nhận.</t>
        </is>
      </c>
      <c r="J61" s="47" t="inlineStr">
        <is>
          <t>Tổng hợp đúng thiết kế; latch và đa nguồn lái bị chặn sớm.</t>
        </is>
      </c>
      <c r="K61" s="48" t="inlineStr">
        <is>
          <t>P2</t>
        </is>
      </c>
      <c r="L61" s="48" t="inlineStr">
        <is>
          <t>S</t>
        </is>
      </c>
      <c r="M61" s="48">
        <f>IF(K61="P0",IF(OR(L61="L",L61="XL"),"GĐ2","GĐ1"),IF(K61="P1",IF(L61="S","GĐ2","GĐ3"),"GĐ4"))</f>
        <v/>
      </c>
      <c r="N61" s="47" t="inlineStr">
        <is>
          <t>Thiết kế cũ có latch cố ý sẽ bị chặn, cần cơ chế chấp nhận.</t>
        </is>
      </c>
      <c r="O61" s="47" t="inlineStr">
        <is>
          <t>Số lần synth hỏng do lẫn tb; số latch hoặc đa nguồn lái bị chặn trước pnr</t>
        </is>
      </c>
      <c r="P61" s="47" t="n"/>
      <c r="Q61" s="48" t="inlineStr">
        <is>
          <t>Chưa làm</t>
        </is>
      </c>
      <c r="R61" s="47" t="n"/>
      <c r="S61" s="47" t="n"/>
    </row>
    <row r="62" ht="68.25" customHeight="1" s="27">
      <c r="A62" s="46" t="inlineStr">
        <is>
          <t>M3-17</t>
        </is>
      </c>
      <c r="B62" s="47" t="inlineStr">
        <is>
          <t>3. Mạch, ERC, HDL/FPGA</t>
        </is>
      </c>
      <c r="C62" s="47" t="inlineStr">
        <is>
          <t>Định thời (timing) sau đặt-đi dây</t>
        </is>
      </c>
      <c r="D62" s="47" t="inlineStr">
        <is>
          <t>T11 HDL/FPGA</t>
        </is>
      </c>
      <c r="E62" s="47" t="inlineStr">
        <is>
          <t>src/eide/build/hdl.py:190–209 (_MAU_FMAX, doc_ket_qua_pnr), :539 (dat_di_day)</t>
        </is>
      </c>
      <c r="F62" s="47" t="inlineStr">
        <is>
          <t>Quét MỌI dòng 'Max frequency for clock' trong toàn log nextpnr rồi lấy min, sau đó so với MỘT tan_so_mhz (mặc định 27). Không đọc báo cáo đường găng (critical path).</t>
        </is>
      </c>
      <c r="G62" s="47" t="inlineStr">
        <is>
          <t>nextpnr in Fmax ước lượng cả sau placement lẫn sau routing, nên lấy min trên toàn log có thể dùng số trước routing mà báo FAIL giả, hoặc lẫn số. Thiết kế nhiều miền đồng hồ (PLL 100 MHz cộng clock chia 1 MHz) bị so chung một đích. Khi FAIL, tác tử chỉ nhận lời khuyên chung 'chia bằng thanh ghi', không biết đường nào găng.</t>
        </is>
      </c>
      <c r="H62" s="47" t="inlineStr">
        <is>
          <t>Evaluator–Optimizer, Reflexion</t>
        </is>
      </c>
      <c r="I62" s="47" t="inlineStr">
        <is>
          <t>Chỉ lấy khối timing cuối cùng (sau 'Routing'); ánh xạ đích theo từng clock (tham số {clk: MHz}, hoặc đọc từ tệp .sdc/.cst). Trích 'Critical path report for clock …' thành top-3 đường {nguon, dich, tre_ns, cac_net} và trả kèm khi không đạt. Gợi ý sửa bằng mã: đường đi qua bộ cộng hay nhân thì gợi ý pipeline hoặc DSP.</t>
        </is>
      </c>
      <c r="J62" s="47" t="inlineStr">
        <is>
          <t>Kết luận định thời chính xác; tác tử sửa đúng đường găng thay vì đoán.</t>
        </is>
      </c>
      <c r="K62" s="48" t="inlineStr">
        <is>
          <t>P2</t>
        </is>
      </c>
      <c r="L62" s="48" t="inlineStr">
        <is>
          <t>M</t>
        </is>
      </c>
      <c r="M62" s="48">
        <f>IF(K62="P0",IF(OR(L62="L",L62="XL"),"GĐ2","GĐ1"),IF(K62="P1",IF(L62="S","GĐ2","GĐ3"),"GĐ4"))</f>
        <v/>
      </c>
      <c r="N62" s="47" t="inlineStr">
        <is>
          <t>Định dạng log nextpnr có thể đổi theo phiên bản, cần test với log mẫu.</t>
        </is>
      </c>
      <c r="O62" s="47" t="inlineStr">
        <is>
          <t>Số FAIL giả do số trước routing; số vòng sửa để đạt Fmax</t>
        </is>
      </c>
      <c r="P62" s="47" t="n"/>
      <c r="Q62" s="48" t="inlineStr">
        <is>
          <t>Chưa làm</t>
        </is>
      </c>
      <c r="R62" s="47" t="n"/>
      <c r="S62" s="47" t="inlineStr">
        <is>
          <t>Hạ P1→P2 khi kiểm lại mã (xem KE-HOACH-SUA-VA-KIEM-THU.md §10)</t>
        </is>
      </c>
    </row>
    <row r="63" ht="90.75" customHeight="1" s="27">
      <c r="A63" s="46" t="inlineStr">
        <is>
          <t>M3-18</t>
        </is>
      </c>
      <c r="B63" s="47" t="inlineStr">
        <is>
          <t>3. Mạch, ERC, HDL/FPGA</t>
        </is>
      </c>
      <c r="C63" s="47" t="inlineStr">
        <is>
          <t>Ràng buộc chân FPGA ↔ sơ đồ bo / cổng mô-đun đỉnh</t>
        </is>
      </c>
      <c r="D63" s="47" t="inlineStr">
        <is>
          <t>T11 HDL/FPGA</t>
        </is>
      </c>
      <c r="E63" s="47" t="inlineStr">
        <is>
          <t>src/eide/build/hdl.py:539 (dat_di_day chỉ kiểm cst.exists()); không có bộ đọc .cst nào trong src/</t>
        </is>
      </c>
      <c r="F63" s="47" t="inlineStr">
        <is>
          <t>hdl.pnr chỉ kiểm tệp .cst có tồn tại hay không. Không có mã nào đọc IO_LOC hay IO_PORT. Không đối chiếu với Fact chân của kit (docs/hardware-facts.md, hộ chiếu kit) hay với cổng của mô-đun đỉnh.</t>
        </is>
      </c>
      <c r="G63" s="47" t="inlineStr">
        <is>
          <t>Chân LED hay UART gán sai số, cổng đỉnh không có ràng buộc (nextpnr tự chọn chân), ràng buộc cho cổng không tồn tại, hay IO_TYPE LVCMOS33 trên bank VCCIO 1,8 V: tất cả đều qua mọi chặng 'đạt', nạp vào bo thì không chạy hoặc làm hại linh kiện ngoài.</t>
        </is>
      </c>
      <c r="H63" s="47" t="inlineStr">
        <is>
          <t>Prompt Chaining (cổng mã), Evaluator–Optimizer</t>
        </is>
      </c>
      <c r="I63" s="47" t="inlineStr">
        <is>
          <t>Thêm knowledge/cst.py (đọc IO_LOC/IO_PORT/IO_TYPE của Gowin; sau này thêm .pcf/.xdc) và công cụ hdl.constraints_check, gọi tự động ở đầu hdl.pnr: (a) mọi cổng của đỉnh (lấy từ JSON yosys, mục 'ports') đều có IO_LOC; (b) IO_LOC không trỏ tới cổng không tồn tại và không trùng chân; (c) chân đối chiếu với Fact pin của kit (pin:tangnano20k.&lt;so&gt;: chức năng LED/UART/clock 27 MHz), lệch thì blocker kèm trích dẫn; (d) IO_TYPE khớp VCCIO của bank (Fact). Nếu bo ngoài có CKM thì đối chiếu với net nối tới header.</t>
        </is>
      </c>
      <c r="J63" s="47" t="inlineStr">
        <is>
          <t>Bắt lỗi gán chân trước khi nạp; khép vòng giữa thiết kế chip và bo mạch.</t>
        </is>
      </c>
      <c r="K63" s="48" t="inlineStr">
        <is>
          <t>P0</t>
        </is>
      </c>
      <c r="L63" s="48" t="inlineStr">
        <is>
          <t>M</t>
        </is>
      </c>
      <c r="M63" s="48">
        <f>IF(K63="P0",IF(OR(L63="L",L63="XL"),"GĐ2","GĐ1"),IF(K63="P1",IF(L63="S","GĐ2","GĐ3"),"GĐ4"))</f>
        <v/>
      </c>
      <c r="N63" s="47" t="inlineStr">
        <is>
          <t>Cần nạp Fact chân của kit (datasheet hay schematic kit) ở tầng ≥ BẠC.</t>
        </is>
      </c>
      <c r="O63" s="47" t="inlineStr">
        <is>
          <t>Số lỗi ràng buộc bắt được trên bộ ca cài sẵn; số lần nạp bo 'không chạy' do sai chân</t>
        </is>
      </c>
      <c r="P63" s="47" t="n"/>
      <c r="Q63" s="48" t="inlineStr">
        <is>
          <t>Xong</t>
        </is>
      </c>
      <c r="R63" s="47" t="inlineStr">
        <is>
          <t>Agent (Claude Opus 5)</t>
        </is>
      </c>
      <c r="S63" s="47" t="n"/>
      <c r="T63" s="26" t="inlineStr">
        <is>
          <t>08/10/2026</t>
        </is>
      </c>
      <c r="U63" s="26" t="inlineStr">
        <is>
          <t>DEV-345</t>
        </is>
      </c>
      <c r="V63" s="26" t="inlineStr">
        <is>
          <t>1744 → 1773 (+29)</t>
        </is>
      </c>
      <c r="W63" s="26" t="inlineStr">
        <is>
          <t>6 cặp (mạng cổng, .cst) THẬT trong du-lieu/ → 1 chỗ CHẶN, và nó đã đi tới bitstream: blinky.v của riscv-tn20k-b khai cổng sys_clk, .cst chỉ khai clk_27m, không tệp .cst nào trong repo có IO_LOC cho sys_clk. nextpnr vẫn chạy; blinky.fs 4,6 MB dựng ra 01/10/2026. sys_clk rơi vào X0Y6/IOBA — cùng ô mà clk_27m (chân 4, CÓ IO_LOC) của soc_top được gán, nên bitstream ấy có thể đã chạy đúng: bằng may, không bằng ràng buộc. Và cả 7 tệp .cst thật trong repo đọc hết, 0 dòng sai cú pháp.</t>
        </is>
      </c>
      <c r="X63" s="26" t="inlineStr">
        <is>
          <t>không có cờ (công cụ mới core=False)</t>
        </is>
      </c>
      <c r="Y63" s="26" t="inlineStr">
        <is>
          <t>409 'blocker' của lượt chạy đầu gần như toàn bộ từ picorv32.json — mạng cổng của lõi CPU tổng hợp riêng để đếm ô, không bao giờ đem đặt-đi dây. Con số thật là 1. · Phép quét tệp .cst thật bản đầu chỉ thu 4/7 tệp mà ca kiểm vẫn xanh. · Hai luật chan_lech_kit và io_type_lech_bank CHƯA có dữ liệu để nổ: không kho nào trong repo có Fact pin:tangnano20k.* hay khoá vccio — nên cst.kiem trả thêm chua_co_fact_chan_kit mức info. · Mã lỗi E4033, không E4031 (loop.py đã dùng cho 'chưa chạy, vì chờ cổng'). · Chưa lượt Agent nào gọi.</t>
        </is>
      </c>
    </row>
    <row r="64" ht="68.25" customHeight="1" s="27">
      <c r="A64" s="46" t="inlineStr">
        <is>
          <t>M3-19</t>
        </is>
      </c>
      <c r="B64" s="47" t="inlineStr">
        <is>
          <t>3. Mạch, ERC, HDL/FPGA</t>
        </is>
      </c>
      <c r="C64" s="47" t="inlineStr">
        <is>
          <t>Bản đồ địa chỉ RTL ↔ linker ↔ firmware</t>
        </is>
      </c>
      <c r="D64" s="47" t="inlineStr">
        <is>
          <t>T11 HDL/FPGA</t>
        </is>
      </c>
      <c r="E64" s="47" t="inlineStr">
        <is>
          <t>docs/md/DE-XUAT-CAU-TRUC-FPGA.md Phần 2/A5.12; knowledge/vendor.py:142 (doc_ld đã có)</t>
        </is>
      </c>
      <c r="F64" s="47" t="inlineStr">
        <is>
          <t>Bản đồ địa chỉ của SoC chỉ nằm trong chú thích soc_top.v và EIDE.md. doc_ld đọc được MEMORY của linker, doi_chieu_cau_hinh so được .ld với datasheet, nhưng không có gì so RTL với .ld hay với các hằng địa chỉ trong main.c.</t>
        </is>
      </c>
      <c r="G64" s="47" t="inlineStr">
        <is>
          <t>Nâng BRAM từ 32 lên 64 KB hay dời UART là đổi chip, nhưng linker.ld và main.c không bị đánh dấu STALE và không bị kiểm. Lỗi lộ ra lúc chạy, ví dụ ghi vào địa chỉ không có thiết bị.</t>
        </is>
      </c>
      <c r="H64" s="47" t="inlineStr">
        <is>
          <t>Blackboard (hiện vật dùng chung hai tầng), Prompt Chaining</t>
        </is>
      </c>
      <c r="I64" s="47" t="inlineStr">
        <is>
          <t>Thêm hiện vật 'address_map' (canonical: [{base, size, thiet_bi, quyen}]) trích bằng mã từ localparam/parameter/so sánh địa chỉ trong RTL (mẫu mem_addr[31:28] == 4'h1) hoặc do người khai. Công cụ hdl.addrmap_check đối chiếu với doc_ld (ORIGIN/LENGTH) và #define *_BASE trong firmware. Thêm 'address_map' vào HA_NGUON của deps.py: address_map → (code, build, config).</t>
        </is>
      </c>
      <c r="J64" s="47" t="inlineStr">
        <is>
          <t>Giữ giao kèo giữa chip và phần mềm nhất quán; thay đổi ở RTL tự đánh STALE phía firmware.</t>
        </is>
      </c>
      <c r="K64" s="48" t="inlineStr">
        <is>
          <t>P2</t>
        </is>
      </c>
      <c r="L64" s="48" t="inlineStr">
        <is>
          <t>M</t>
        </is>
      </c>
      <c r="M64" s="48">
        <f>IF(K64="P0",IF(OR(L64="L",L64="XL"),"GĐ2","GĐ1"),IF(K64="P1",IF(L64="S","GĐ2","GĐ3"),"GĐ4"))</f>
        <v/>
      </c>
      <c r="N64" s="47" t="inlineStr">
        <is>
          <t>Trích địa chỉ từ RTL bằng regex dễ sót; cho phép người khai làm nguồn chính.</t>
        </is>
      </c>
      <c r="O64" s="47" t="inlineStr">
        <is>
          <t>Số lệch địa chỉ bắt được; số lỗi chạy do sai bản đồ</t>
        </is>
      </c>
      <c r="P64" s="47" t="n"/>
      <c r="Q64" s="48" t="inlineStr">
        <is>
          <t>Chưa làm</t>
        </is>
      </c>
      <c r="R64" s="47" t="n"/>
      <c r="S64" s="47" t="n"/>
    </row>
    <row r="65" ht="68.25" customHeight="1" s="27">
      <c r="A65" s="46" t="inlineStr">
        <is>
          <t>M3-20</t>
        </is>
      </c>
      <c r="B65" s="47" t="inlineStr">
        <is>
          <t>3. Mạch, ERC, HDL/FPGA</t>
        </is>
      </c>
      <c r="C65" s="47" t="inlineStr">
        <is>
          <t>Luồng HDL nhiều chặng (workflow có cổng)</t>
        </is>
      </c>
      <c r="D65" s="47" t="inlineStr">
        <is>
          <t>T05 Lập kế hoạch &amp; thực thi theo bước</t>
        </is>
      </c>
      <c r="E65" s="47" t="inlineStr">
        <is>
          <t>src/eide/tools/hdl.py (5 công cụ rời); tools/phien_fpga_bo_that.py:1–20 (giao một việc mỗi lượt)</t>
        </is>
      </c>
      <c r="F65" s="47" t="inlineStr">
        <is>
          <t>Luồng lint → sim → synth → pnr → bitstream → flash do LLM tự xâu chuỗi qua vòng ReAct. Nhật ký phiên ghi lại: 'đề dài có bảng và sáu mục thì nó đọc rồi dừng', và phải nâng hạn lên 3600 s / 220 lời gọi, rồi chia đề thành từng câu một việc bằng script bên ngoài.</t>
        </is>
      </c>
      <c r="G65" s="47" t="inlineStr">
        <is>
          <t>Việc chia bước và cổng kiểm đang nằm ngoài sản phẩm, trong script của người. Tác tử tốn lời gọi để nhớ thứ tự chặng, và dễ bỏ chặng như lint, độ nhạy hay kiểm ràng buộc trước pnr.</t>
        </is>
      </c>
      <c r="H65" s="47" t="inlineStr">
        <is>
          <t>Prompt Chaining, Plan-and-Execute</t>
        </is>
      </c>
      <c r="I65" s="47" t="inlineStr">
        <is>
          <t>Thêm công cụ hdl.flow(dinh, rtl, tb, cst, dich_mhz, den='bitstream'): chạy tuần tự các chặng bằng MÃ với cổng giữa chặng (lint 0 lỗi → sim PASS → sensitivity ≥ ngưỡng → constraints_check → synth vừa tài nguyên (≤85% LUT theo đề) → pnr đạt timing → bitstream). Dừng ở chặng đầu tiên trượt và trả gọn: chặng, lỗi có toạ độ, gợi ý. LLM chỉ còn việc sửa rồi gọi lại. Kết hợp plan mode: mỗi chặng là một plan.step tự đánh dấu xong.</t>
        </is>
      </c>
      <c r="J65" s="47" t="inlineStr">
        <is>
          <t>Bớt lời gọi và bớt việc dừng giữa chừng; thứ tự chặng và cổng kiểm được đảm bảo bằng mã.</t>
        </is>
      </c>
      <c r="K65" s="48" t="inlineStr">
        <is>
          <t>P1</t>
        </is>
      </c>
      <c r="L65" s="48" t="inlineStr">
        <is>
          <t>M</t>
        </is>
      </c>
      <c r="M65" s="48">
        <f>IF(K65="P0",IF(OR(L65="L",L65="XL"),"GĐ2","GĐ1"),IF(K65="P1",IF(L65="S","GĐ2","GĐ3"),"GĐ4"))</f>
        <v/>
      </c>
      <c r="N65" s="47" t="inlineStr">
        <is>
          <t>Một lời gọi chạy lâu (synth+pnr vài phút), cần báo tiến độ và giữ HAN_GIAY.</t>
        </is>
      </c>
      <c r="O65" s="47" t="inlineStr">
        <is>
          <t>Số lời gọi mỗi lần từ RTL tới bitstream; tỉ lệ phiên xong mà không cần chia đề bằng tay</t>
        </is>
      </c>
      <c r="P65" s="47" t="n"/>
      <c r="Q65" s="48" t="inlineStr">
        <is>
          <t>Chưa làm</t>
        </is>
      </c>
      <c r="R65" s="47" t="n"/>
      <c r="S65" s="47" t="n"/>
    </row>
    <row r="66" ht="68.25" customHeight="1" s="27">
      <c r="A66" s="46" t="inlineStr">
        <is>
          <t>M3-21</t>
        </is>
      </c>
      <c r="B66" s="47" t="inlineStr">
        <is>
          <t>3. Mạch, ERC, HDL/FPGA</t>
        </is>
      </c>
      <c r="C66" s="47" t="inlineStr">
        <is>
          <t>Sửa lỗi dựa trên log + bài học (Reflexion)</t>
        </is>
      </c>
      <c r="D66" s="47" t="inlineStr">
        <is>
          <t>T06 Reflexion – bài học dài hạn</t>
        </is>
      </c>
      <c r="E66" s="47" t="inlineStr">
        <is>
          <t>src/eide/tools/hdl.py:72 (_loi_chang: 10 lỗi đầu + 1500 ký tự đuôi log)</t>
        </is>
      </c>
      <c r="F66" s="47" t="inlineStr">
        <is>
          <t>Khi một chặng trượt, tác tử nhận 10 lỗi đầu có toạ độ cùng đuôi log, rồi tự sửa trong vòng ReAct chung. Có nhiều bài học đắt giá (yosys-abc mồ côi, tên chip pack khác family, Fmax None mà vẫn đạt…) nhưng chúng chỉ nằm trong chú thích mã. Không có bộ nhớ bài học theo chữ ký lỗi để đọc lại ở lần sau.</t>
        </is>
      </c>
      <c r="G66" s="47" t="inlineStr">
        <is>
          <t>Lỗi lặp lại giữa các phiên (sai cú pháp Gowin primitive, sai tên mô-đun đỉnh, quên $finish) lại tốn vòng lặp như lần đầu. Đuôi log 1500 ký tự có thể cắt mất lỗi gốc ở đầu log, nhất là với yosys.</t>
        </is>
      </c>
      <c r="H66" s="47" t="inlineStr">
        <is>
          <t>Reflexion, Memory-augmented</t>
        </is>
      </c>
      <c r="I66" s="47" t="inlineStr">
        <is>
          <t>(1) Trong _loi_chang, chọn lỗi ĐẦU TIÊN (lỗi gốc) kèm 5 dòng mã nguồn quanh toạ độ thay vì chỉ đuôi log. (2) Thêm memory 'bai_hoc_hdl': khi một chặng chuyển từ trượt sang đạt trong cùng lượt, ghi {chu_ky_loi: mã chặng + mẫu thông điệp đã chuẩn hoá, cach_sua: diff tóm tắt}. Hook pre_tool cho hdl.* tra chữ ký lỗi ở lần trượt sau và gắn tối đa 2 bài học vào kết quả. Có trần: sau 3 lần trượt liên tiếp cùng chữ ký thì ask_user.</t>
        </is>
      </c>
      <c r="J66" s="47" t="inlineStr">
        <is>
          <t>Giảm số vòng sửa cho lỗi đã gặp; lỗi gốc hiện ngay.</t>
        </is>
      </c>
      <c r="K66" s="48" t="inlineStr">
        <is>
          <t>P2</t>
        </is>
      </c>
      <c r="L66" s="48" t="inlineStr">
        <is>
          <t>M</t>
        </is>
      </c>
      <c r="M66" s="48">
        <f>IF(K66="P0",IF(OR(L66="L",L66="XL"),"GĐ2","GĐ1"),IF(K66="P1",IF(L66="S","GĐ2","GĐ3"),"GĐ4"))</f>
        <v/>
      </c>
      <c r="N66" s="47" t="inlineStr">
        <is>
          <t>Bài học sai hoặc lỗi thời lan sang phiên khác; cần cách gắn nguồn và hết hạn.</t>
        </is>
      </c>
      <c r="O66" s="47" t="inlineStr">
        <is>
          <t>Số vòng trung bình từ lần trượt đầu tới đạt cho cùng chữ ký lỗi; tỉ lệ trúng bài học</t>
        </is>
      </c>
      <c r="P66" s="47" t="inlineStr">
        <is>
          <t>M1-14, M5-14</t>
        </is>
      </c>
      <c r="Q66" s="48" t="inlineStr">
        <is>
          <t>Chưa làm</t>
        </is>
      </c>
      <c r="R66" s="47" t="n"/>
      <c r="S66" s="47" t="n"/>
    </row>
    <row r="67" ht="68.25" customHeight="1" s="27">
      <c r="A67" s="46" t="inlineStr">
        <is>
          <t>M3-22</t>
        </is>
      </c>
      <c r="B67" s="47" t="inlineStr">
        <is>
          <t>3. Mạch, ERC, HDL/FPGA</t>
        </is>
      </c>
      <c r="C67" s="47" t="inlineStr">
        <is>
          <t>Đo trên mạch thật khép vòng với ERC</t>
        </is>
      </c>
      <c r="D67" s="47" t="inlineStr">
        <is>
          <t>T10 ERC &amp; thiết kế mạch</t>
        </is>
      </c>
      <c r="E67" s="47" t="inlineStr">
        <is>
          <t>src/eide/tools/mach_that.py (target.detect/flash/verify/screen/debug/log); compare.py:326 (cam_nguoc)</t>
        </is>
      </c>
      <c r="F67" s="47" t="inlineStr">
        <is>
          <t>Phần mạch thật làm tốt việc dò bo (đọc chữ ký AVR, IDCODE JTAG), nạp có đọc ngược (st-flash, avrdude), và nói thẳng openFPGALoader không verify. Nhưng không có công cụ ĐO điện áp hay dòng. Luật cam_nguoc (dòng bất thường) tồn tại mà không có nguồn dữ liệu nào cấp vào.</t>
        </is>
      </c>
      <c r="G67" s="47" t="inlineStr">
        <is>
          <t>Ngân sách dòng do ERC dự đoán không bao giờ được so với dòng đo thật. Lần cấp nguồn đầu tiên không có quy trình 'đo trở kháng VCC–GND trước khi cấp' bằng mã hay thẻ hướng dẫn. Bằng chứng 'bo chạy' của FPGA chỉ là lời người quan sát.</t>
        </is>
      </c>
      <c r="H67" s="47" t="inlineStr">
        <is>
          <t>Human-in-the-loop, Evaluator–Optimizer</t>
        </is>
      </c>
      <c r="I67" s="47" t="inlineStr">
        <is>
          <t>Thêm target.measure ở hai chế độ: (a) HITL, thẻ yêu cầu người nhập số đo đồng hồ (V rail, I nguồn, R VCC–GND khi chưa cấp), ghi Fact tầng NGƯỜI với chủ thể net:/board.+3V3; (b) tự động qua cảm biến INA219 hay ADC của MCU đọc bằng target.log theo giao thức dòng 'MEAS &lt;net&gt; &lt;gia_tri&gt; &lt;don_vi&gt;'. Hook chạy cam_nguoc và so với ngan_sach_dong mỗi khi có số đo mới.</t>
        </is>
      </c>
      <c r="J67" s="47" t="inlineStr">
        <is>
          <t>Khép vòng giữa thiết kế và mạch thật; bắt chập hay cắm ngược sớm.</t>
        </is>
      </c>
      <c r="K67" s="48" t="inlineStr">
        <is>
          <t>P3</t>
        </is>
      </c>
      <c r="L67" s="48" t="inlineStr">
        <is>
          <t>S</t>
        </is>
      </c>
      <c r="M67" s="48">
        <f>IF(K67="P0",IF(OR(L67="L",L67="XL"),"GĐ2","GĐ1"),IF(K67="P1",IF(L67="S","GĐ2","GĐ3"),"GĐ4"))</f>
        <v/>
      </c>
      <c r="N67" s="47" t="inlineStr">
        <is>
          <t>Chế độ tự động phụ thuộc phần cứng đo; chế độ HITL tốn công người.</t>
        </is>
      </c>
      <c r="O67" s="47" t="inlineStr">
        <is>
          <t>Tỉ lệ rail có số đo; chênh lệch dòng dự đoán so với dòng đo</t>
        </is>
      </c>
      <c r="P67" s="47" t="n"/>
      <c r="Q67" s="48" t="inlineStr">
        <is>
          <t>Chưa làm</t>
        </is>
      </c>
      <c r="R67" s="47" t="n"/>
      <c r="S67" s="47" t="inlineStr">
        <is>
          <t>Hạ P2·L→P3·S khi kiểm lại mã (§10)</t>
        </is>
      </c>
    </row>
    <row r="68" ht="68.25" customHeight="1" s="27">
      <c r="A68" s="46" t="inlineStr">
        <is>
          <t>M4-01</t>
        </is>
      </c>
      <c r="B68" s="47" t="inlineStr">
        <is>
          <t>4. Kiểm thử &amp; kiểm chứng</t>
        </is>
      </c>
      <c r="C68" s="47" t="inlineStr">
        <is>
          <t>Unit test trên máy chủ (test.run) — máy chấm</t>
        </is>
      </c>
      <c r="D68" s="47" t="inlineStr">
        <is>
          <t>T12 Kiểm thử sản phẩm (unit, đột biến, hồi quy, HIL)</t>
        </is>
      </c>
      <c r="E68" s="47" t="inlineStr">
        <is>
          <t>src/eide/build/mo_phong.py::chay_test (dòng ~369-452), tools/xay_dung.py::test_run</t>
        </is>
      </c>
      <c r="F68" s="47" t="inlineStr">
        <is>
          <t>Tệp test tự in một dòng JSON {"ca":[{ten, dat:true/false, vi}]}. chay_test chỉ đếm số ca có `dat is True`. Không có tiêu chí nêu trước cho unit test, không có ngưỡng, không có mã REQ. Ngược hẳn với sim.run, nơi chương trình chỉ ĐO còn EIDE PHÁN (tieu_chi.py, quyết định số 1).</t>
        </is>
      </c>
      <c r="G68" s="47" t="inlineStr">
        <is>
          <t>Với unit test, chính thứ bị kiểm lại tự tuyên kết quả. Đây đúng là lỗ hổng mà tieu_chi.py đã vá cho sim.run ("một dòng sửa trong sim/plant.c đủ để mọi phép thử đạt"), nhưng ở test.run thì chưa vá: tác tử sửa `dat:true` hoặc nới điều kiện ngay trong test/*.c là test xanh. Không có máy chấm bằng code độc lập với mã của tác tử.</t>
        </is>
      </c>
      <c r="H68" s="47" t="inlineStr">
        <is>
          <t>Prompt Chaining (cổng kiểm bằng code), Evaluator–Optimizer</t>
        </is>
      </c>
      <c r="I68" s="47" t="inlineStr">
        <is>
          <t>Mở rộng tieu_chi.py sang unit test. Thêm `test.criteria` (hoặc cho sim.criteria nhận loai='unit'), mỗi ca gồm {ma, ham_duoc_goi, dau_vao, ky_vong|phep_so+nguong, do_req}. Chương trình test chỉ in `{"do":{"T1":giá_trị}}`, còn chay_test gọi xet_ket_qua() để phán. Nhận `dat` tự khai thì chỉ làm chế độ cũ, gắn nhãn do_tin=DONG. Ghi hiện vật criteria:unit-* và cho đi qua cổng G-QUAL như POL đổi tiêu chí.</t>
        </is>
      </c>
      <c r="J68" s="47" t="inlineStr">
        <is>
          <t>Bỏ được đường 'sửa test cho xanh'; kết luận unit test có cùng độ tin như sim; truy được REQ→ca kiểm.</t>
        </is>
      </c>
      <c r="K68" s="48" t="inlineStr">
        <is>
          <t>P0</t>
        </is>
      </c>
      <c r="L68" s="48" t="inlineStr">
        <is>
          <t>M</t>
        </is>
      </c>
      <c r="M68" s="48">
        <f>IF(K68="P0",IF(OR(L68="L",L68="XL"),"GĐ2","GĐ1"),IF(K68="P1",IF(L68="S","GĐ2","GĐ3"),"GĐ4"))</f>
        <v/>
      </c>
      <c r="N68" s="47" t="inlineStr">
        <is>
          <t>Tác tử phải viết test theo khuôn mới (thêm 1-2 lượt); phải giữ tương thích ngược với các test đã có.</t>
        </is>
      </c>
      <c r="O68" s="47" t="inlineStr">
        <is>
          <t>Tỉ lệ ca unit test do EIDE phán so với tự khai; số lần test xanh mà đột biến không bắt (giảm); số REQ có ít nhất 1 ca kiểm</t>
        </is>
      </c>
      <c r="P68" s="47" t="n"/>
      <c r="Q68" s="48" t="inlineStr">
        <is>
          <t>Xong</t>
        </is>
      </c>
      <c r="R68" s="47" t="inlineStr">
        <is>
          <t>Agent (Claude Opus 5)</t>
        </is>
      </c>
      <c r="S68" s="47" t="n"/>
      <c r="T68" s="26" t="inlineStr">
        <is>
          <t>08/10/2026</t>
        </is>
      </c>
      <c r="U68" s="26" t="inlineStr">
        <is>
          <t>DEV-346</t>
        </is>
      </c>
      <c r="V68" s="26" t="inlineStr">
        <is>
          <t>1773 → 1791 (+18)</t>
        </is>
      </c>
      <c r="W68" s="26" t="inlineStr">
        <is>
          <t>Không đo trên kho cũ được: chưa dự án nào trong du-lieu/ có tiêu chí unit test (loại hiện vật criteria:unit-* vừa mới tồn tại), nên phép đo ở đây là 18 ca chạy trình biên dịch C THẬT trên máy: tệp test in {"do":{"T1":300}} với ngưỡng &lt;=255 → EIDE phán 1 ca HỎNG và câu giải thích mang con số 300. Ca âm: không nêu tiêu chí thì hành vi y như cũ (6 ca test.run trong test_xay_dung.py giữ nguyên, không phải nới ca nào).</t>
        </is>
      </c>
      <c r="X68" s="26" t="inlineStr">
        <is>
          <t>không có cờ (công cụ mới core=False)</t>
        </is>
      </c>
      <c r="Y68" s="26" t="inlineStr">
        <is>
          <t>Phá lại 24/24, lượt đầu 17/24. Bảy chỗ LỌT: năm câu 'nói ra' tôi viết rồi không canh (ma_tieu_chi vào hiện vật, tiêu chí 0 assert, cổng E4023, E4024-ghi-kho-trước, _kiem_assert bị nới), và HAI ca kiểm xanh nhờ một DÒNG KHÁC — kiểm `"TỰ KHAI" in str(kh)` cả khối nên vẫn xanh khi phá chữ ấy ở dòng Kết luận, vì summary cũng chứa nó. · Một phép phá của tôi VÔ HIỆU: `[] or [[…]]` không đổi gì, báo LỌT oan. · Thêm E4023 cho đường unit test (kế hoạch không nêu). · Phải sửa cả surfaces.py, ngoài danh sách tệp chạm tới: test.run ghi vào loại sim_result nên hiện ở khối của sim.run, và dòng Kết luận ở đó nói 'chương trình mô phỏng tự kiểm' cho MỌI lượt. · Chưa lượt Agent nào gọi.</t>
        </is>
      </c>
    </row>
    <row r="69" ht="79.5" customHeight="1" s="27">
      <c r="A69" s="46" t="inlineStr">
        <is>
          <t>M4-02</t>
        </is>
      </c>
      <c r="B69" s="47" t="inlineStr">
        <is>
          <t>4. Kiểm thử &amp; kiểm chứng</t>
        </is>
      </c>
      <c r="C69" s="47" t="inlineStr">
        <is>
          <t>Bảo vệ tệp test khỏi bị sửa để ép đạt</t>
        </is>
      </c>
      <c r="D69" s="47" t="inlineStr">
        <is>
          <t>T12 Kiểm thử sản phẩm (unit, đột biến, hồi quy, HIL)</t>
        </is>
      </c>
      <c r="E69" s="47" t="inlineStr">
        <is>
          <t>hooks/standard.py::doi_tieu_chi (dòng 185-222), policy/*.yaml POL G-QUAL (dòng ~155, ~201), subagent.py SUBAGENT['sim-runner'].cong_cu</t>
        </is>
      </c>
      <c r="F69" s="47" t="inlineStr">
        <is>
          <t>Hook doi_tieu_chi chỉ bắt `sim.criteria`, và `criteria.has_result` đọc cứng `sim_result:can-bang`. Không luật nào nhìn tới việc sửa/xoá test/*.c, tests/*.c hay testbench HDL sau khi đã có kết quả đỏ. Subagent sim-runner có fs.write, nên nó sửa được chính tệp test nó đang chạy.</t>
        </is>
      </c>
      <c r="G69" s="47" t="inlineStr">
        <is>
          <t>TC022 cấm 'sửa tiêu chí/test để ép đạt', nhưng phần TEST không có cổng. Đường ngắn nhất từ đỏ sang xanh là sửa assert, xoá ca, hoặc chép logic vào tệp test (đúng ca FreeRTOS ghi ở dot_bien.py). Ngoài ra có thêm tiêu chí thứ hai (sim-ntc) thì has_result luôn sai.</t>
        </is>
      </c>
      <c r="H69" s="47" t="inlineStr">
        <is>
          <t>Human-in-the-loop, Prompt Chaining (cổng code)</t>
        </is>
      </c>
      <c r="I69" s="47" t="inlineStr">
        <is>
          <t>Thêm pre_tool hook `sua_test_sau_do`. Khi fs.write/fs.edit chạm test/**, tests/**, sim/** hoặc *_tb.v mà hiện vật sim_result/build:hdl:sim gần nhất có dat=False, tính diff số assert/ca (đếm `"dat"`, `$display("FAIL`, so sánh ngưỡng), rồi phát fact test.weakened. Policy mới POL-TEST-weaken dùng gate G-QUAL, never_auto. Sửa has_result để tra theo `ma_tieu_chi` thay cho khoá cứng. Bỏ fs.write khỏi sim-runner (chỉ cho viết sim/ mới qua công cụ riêng) hoặc giới hạn đường dẫn.</t>
        </is>
      </c>
      <c r="J69" s="47" t="inlineStr">
        <is>
          <t>Chặn được kiểu đạt giả phổ biến nhất ở tầng test; tiêu chí và test cùng được bảo vệ.</t>
        </is>
      </c>
      <c r="K69" s="48" t="inlineStr">
        <is>
          <t>P0</t>
        </is>
      </c>
      <c r="L69" s="48" t="inlineStr">
        <is>
          <t>M</t>
        </is>
      </c>
      <c r="M69" s="48">
        <f>IF(K69="P0",IF(OR(L69="L",L69="XL"),"GĐ2","GĐ1"),IF(K69="P1",IF(L69="S","GĐ2","GĐ3"),"GĐ4"))</f>
        <v/>
      </c>
      <c r="N69" s="47" t="inlineStr">
        <is>
          <t>Báo động giả khi sửa test chính đáng (test sai thật), nên thẻ phải hiện diff assert trước/sau để người quyết nhanh.</t>
        </is>
      </c>
      <c r="O69" s="47" t="inlineStr">
        <is>
          <t>Số thẻ G-QUAL cho test/lượt; tỉ lệ thẻ người từ chối (tức là bắt được ép đạt); số ca bị xoá trong các phiên</t>
        </is>
      </c>
      <c r="P69" s="47" t="inlineStr">
        <is>
          <t>M2-14</t>
        </is>
      </c>
      <c r="Q69" s="48" t="inlineStr">
        <is>
          <t>Xong</t>
        </is>
      </c>
      <c r="R69" s="47" t="inlineStr">
        <is>
          <t>Agent (Claude Opus 5)</t>
        </is>
      </c>
      <c r="S69" s="47" t="n"/>
      <c r="T69" s="26" t="inlineStr">
        <is>
          <t>08/10/2026</t>
        </is>
      </c>
      <c r="U69" s="26" t="inlineStr">
        <is>
          <t>DEV-347</t>
        </is>
      </c>
      <c r="V69" s="26" t="inlineStr">
        <is>
          <t>1791 → 1816 (+25)</t>
        </is>
      </c>
      <c r="W69" s="26" t="inlineStr">
        <is>
          <t>Không có dữ liệu cũ để đo lại trên: hook này cấp dữ kiện cho lời gọi SẮP xảy ra, không soát lại phiên đã lưu. Phép đo là 25 ca dựng đúng trạng thái thật: tệp test 3 ca với 1 ca đỏ trên đĩa + hiện vật sim_result dat=False trong kho → fs.write còn 1 ca thì test.weakened=True và test.doi_gi nói '7 chỗ canh → 3'. Và một phép đo trên chính hàng rào cũ: criteria.has_result tra cứng sim_result:can-bang, nên POL-N6-doi-tieu-chi CHƯA BAO GIỜ nổ cho sim-ntc hay unit-* — luật viết đúng, đường dẫn tới nó đứt.</t>
        </is>
      </c>
      <c r="X69" s="26" t="inlineStr">
        <is>
          <t>SIM_RUNNER_GIOI_HAN — TẮT (hàng rào chính POL-N6-sua-test thì KHÔNG sau cờ)</t>
        </is>
      </c>
      <c r="Y69" s="26" t="inlineStr">
        <is>
          <t>Phá lại 27/27, lượt đầu 22/27. · PHÁT HIỆN ngoài phạm vi kế hoạch: một luật trỏ tới nhóm dữ kiện chưa khai thì DỪNG CẢ LƯỢT bằng ValueError, không phải 'không nổ' — _env có danh sách 'nhóm phải luôn tồn tại' và nhóm `test` không có trong đó, nên luật mới làm mọi fs.write đổ. Mở ra thì thấy `criteria` cũng chưa bao giờ có trong danh sách ấy. · HAI phép phá của tôi vô hiệu ở cùng một dòng: `cu = cu or ""` không đổi hành vi, rồi bỏ is_file() cũng không vì except OSError bắt FileNotFoundError. Lần thứ hai liền sau M4-01. · Bốn chỗ LỌT còn lại: tiền tố unit-, số chỗ canh không đổi, testbench ngoài thư mục test/, và luật (khác hook) cho test.criteria.</t>
        </is>
      </c>
    </row>
    <row r="70" ht="90.75" customHeight="1" s="27">
      <c r="A70" s="46" t="inlineStr">
        <is>
          <t>M4-03</t>
        </is>
      </c>
      <c r="B70" s="47" t="inlineStr">
        <is>
          <t>4. Kiểm thử &amp; kiểm chứng</t>
        </is>
      </c>
      <c r="C70" s="47" t="inlineStr">
        <is>
          <t>Tác tử tự sinh test (biên, fuzz, property-based)</t>
        </is>
      </c>
      <c r="D70" s="47" t="inlineStr">
        <is>
          <t>T12 Kiểm thử sản phẩm (unit, đột biến, hồi quy, HIL)</t>
        </is>
      </c>
      <c r="E70" s="47" t="inlineStr">
        <is>
          <t>tools/xay_dung.py (chỉ có test.run, test.sensitivity), build/mo_phong.py::KHUON_RA</t>
        </is>
      </c>
      <c r="F70" s="47" t="inlineStr">
        <is>
          <t>EIDE chỉ CHẠY test do tác tử viết tay bằng fs.write. Không có công cụ sinh test: không tự rút giá trị biên từ Fact/REQ (min/max, tràn số, chia 0), không có harness fuzz (libFuzzer/AFL) hay property-based cho hàm logic C. Giá trị đầu vào hoàn toàn do mô hình nghĩ ra.</t>
        </is>
      </c>
      <c r="G70" s="47" t="inlineStr">
        <is>
          <t>Mô hình viết test 'đường đẹp', thiếu ca biên. Tài liệu DANH-GIA §5.5 ghi ca A→B→A 'xanh đúng về một câu hỏi khác câu cần'. Không có nguồn đầu vào có hệ thống nên độ phủ hành vi phụ thuộc may rủi.</t>
        </is>
      </c>
      <c r="H70" s="47" t="inlineStr">
        <is>
          <t>CodeAct, Evaluator–Optimizer</t>
        </is>
      </c>
      <c r="I70" s="47" t="inlineStr">
        <is>
          <t>Thêm build/sinh_test.py + công cụ `test.generate(ham, req)`. (1) Phân tích chữ ký hàm bằng phan_tich_ma.quet, lấy miền giá trị từ Fact và kiểu C, rồi sinh bảng biên (min, min-1, 0, max, max+1, NaN với float). (2) Sinh harness libFuzzer `LLVMFuzzerTestOneInput` cho hàm thuần logic, chạy -max_total_time=30 với -fsanitize=address,undefined. (3) Sinh khung property (bất biến do tác tử khai: ví dụ |u|≤u_max) chạy N mẫu ngẫu nhiên có seed. Kết quả trả về dạng {"do":…} để tiêu chí phán. Đánh dấu ca sinh tự động là `nguon=sinh`.</t>
        </is>
      </c>
      <c r="J70" s="47" t="inlineStr">
        <is>
          <t>Bắt được lỗi tràn số, chia 0, UB mà test viết tay bỏ sót; ít phụ thuộc vào trí tưởng tượng của mô hình.</t>
        </is>
      </c>
      <c r="K70" s="48" t="inlineStr">
        <is>
          <t>P1</t>
        </is>
      </c>
      <c r="L70" s="48" t="inlineStr">
        <is>
          <t>L</t>
        </is>
      </c>
      <c r="M70" s="48">
        <f>IF(K70="P0",IF(OR(L70="L",L70="XL"),"GĐ2","GĐ1"),IF(K70="P1",IF(L70="S","GĐ2","GĐ3"),"GĐ4"))</f>
        <v/>
      </c>
      <c r="N70" s="47" t="inlineStr">
        <is>
          <t>Thời gian chạy fuzz dài, phải có trần thời gian; clang/libFuzzer trên macOS có thể thiếu; ca sinh ra nhiễu khi miền giá trị chưa rõ.</t>
        </is>
      </c>
      <c r="O70" s="47" t="inlineStr">
        <is>
          <t>Số lỗi UB/ASan bắt được mỗi dự án; số ca biên/hàm; điểm đột biến trước/sau khi thêm ca sinh</t>
        </is>
      </c>
      <c r="P70" s="47" t="n"/>
      <c r="Q70" s="48" t="inlineStr">
        <is>
          <t>Chưa làm</t>
        </is>
      </c>
      <c r="R70" s="47" t="n"/>
      <c r="S70" s="47" t="n"/>
    </row>
    <row r="71" ht="68.25" customHeight="1" s="27">
      <c r="A71" s="46" t="inlineStr">
        <is>
          <t>M4-04</t>
        </is>
      </c>
      <c r="B71" s="47" t="inlineStr">
        <is>
          <t>4. Kiểm thử &amp; kiểm chứng</t>
        </is>
      </c>
      <c r="C71" s="47" t="inlineStr">
        <is>
          <t>Đột biến (mutation) — độ mịn và điểm đột biến</t>
        </is>
      </c>
      <c r="D71" s="47" t="inlineStr">
        <is>
          <t>T12 Kiểm thử sản phẩm (unit, đột biến, hồi quy, HIL)</t>
        </is>
      </c>
      <c r="E71" s="47" t="inlineStr">
        <is>
          <t>build/dot_bien.py::dot_bien_van_ban, do_do_nhay (dòng 44-164)</t>
        </is>
      </c>
      <c r="F71" s="47" t="inlineStr">
        <is>
          <t>4 phép đột biến, mỗi phép thay TOÀN BỘ chỗ khớp trong tệp cùng lúc (re.subn toàn cục: mọi hằng ≥2 chữ số → 99999). Dừng ở phép đầu tiên làm bộ kiểm đỏ, trả trạng thái nhị phân theo tệp (thay/khong_thay). Docstring tự nhận 'không phải mutation testing đầy đủ, không tính mutation score'.</t>
        </is>
      </c>
      <c r="G71" s="47" t="inlineStr">
        <is>
          <t>Phá cả trăm chỗ một lúc thì gần như luôn đỏ, nên 'thay' chỉ chứng minh bộ kiểm không rỗng mà không nói được hàm/nhánh nào bị mù. Đúng loại lỗi trong DANH-GIA §2.2 (đổi 0xFFFFFFFD→0, cả 4 ca vẫn xanh) thì phép này không bắt được: hằng hex bị bỏ qua, và một chỗ hỏng bị che bởi chỗ khác.</t>
        </is>
      </c>
      <c r="H71" s="47" t="inlineStr">
        <is>
          <t>Evaluator–Optimizer</t>
        </is>
      </c>
      <c r="I71" s="47" t="inlineStr">
        <is>
          <t>Thêm chế độ `muc='chi_tiet'`: liệt kê từng vị trí đột biến (re.finditer), mỗi đột biến chỉ đổi MỘT chỗ. Thêm toán tử: hằng hex/bit-mask (0x…→0, ~), &amp;&amp;↔||, &gt;=↔&gt;, xoá lời gọi hàm (stmt-deletion), return hằng. Lấy mẫu tối đa K=30 đột biến/tệp, ưu tiên dòng có trong coverage. Tính mutation score = killed/(total−equivalent_ứng_viên), trả về danh sách đột biến sống kèm tệp:dòng.</t>
        </is>
      </c>
      <c r="J71" s="47" t="inlineStr">
        <is>
          <t>Chỉ ra đúng dòng bộ kiểm không canh; có con số liên tục để theo dõi chất lượng test.</t>
        </is>
      </c>
      <c r="K71" s="48" t="inlineStr">
        <is>
          <t>P1</t>
        </is>
      </c>
      <c r="L71" s="48" t="inlineStr">
        <is>
          <t>M</t>
        </is>
      </c>
      <c r="M71" s="48">
        <f>IF(K71="P0",IF(OR(L71="L",L71="XL"),"GĐ2","GĐ1"),IF(K71="P1",IF(L71="S","GĐ2","GĐ3"),"GĐ4"))</f>
        <v/>
      </c>
      <c r="N71" s="47" t="inlineStr">
        <is>
          <t>Chi phí biên dịch K lần cho mỗi tệp (giảm được bằng biên dịch song song); đột biến tương đương gây báo động giả.</t>
        </is>
      </c>
      <c r="O71" s="47" t="inlineStr">
        <is>
          <t>Mutation score theo tệp; số đột biến sống/tệp; thời gian chạy test.sensitivity</t>
        </is>
      </c>
      <c r="P71" s="47" t="n"/>
      <c r="Q71" s="48" t="inlineStr">
        <is>
          <t>Xong</t>
        </is>
      </c>
      <c r="R71" s="47" t="inlineStr">
        <is>
          <t>Agent (Claude Opus 5)</t>
        </is>
      </c>
      <c r="S71" s="47" t="inlineStr">
        <is>
          <t>Kéo lên giai đoạn sớm hơn vì là tiền đề (xem §5 kế hoạch)</t>
        </is>
      </c>
      <c r="T71" s="26" t="inlineStr">
        <is>
          <t>09/10/2026</t>
        </is>
      </c>
      <c r="U71" s="26" t="inlineStr">
        <is>
          <t>DEV-350</t>
        </is>
      </c>
      <c r="V71" s="26" t="inlineStr">
        <is>
          <t>1846 → 1862 (+16)</t>
        </is>
      </c>
      <c r="W71" s="26" t="inlineStr">
        <is>
          <t>TÁI HIỆN ĐƯỢC ca DANH-GIA §2.2 bằng máy, trên hiện vật thật control_rtos.c: bảng phép CŨ có 0 đột biến cho hằng hex (phép đo cũ về mặt cấu trúc KHÔNG THỂ thấy chỗ ấy); bảng MỚI tìm đúng dòng 147, *(--sp) = 0xFFFFFFFDU → 0x0U; áp vào rồi chạy bộ kiểm thật thì vẫn XANH ⇒ mutant SỐNG. Điểm mù hôm ấy chỉ tồn tại vì Agent tự khai và một người sửa tay, nay đo được bằng máy. · Chạy chi_tiet trên 12 tệp thật: 110 s, điểm 0,0 — ĐÚNG (sáu tệp bitmap, không bộ kiểm nào đọc chúng) mà vô dụng, và nó chỉ ra chỗ thật: control_rtos.c là khong_nap_duoc vì tệp test #include chính tệp .c đó. · font8.c từ 'không có chỗ nào để đột biến' thành 30 đột biến — bảng mới thấy những tệp bảng cũ không chạm tới.</t>
        </is>
      </c>
      <c r="X71" s="26" t="inlineStr">
        <is>
          <t>không có cờ (tham số mới, mặc định giữ hành vi cũ)</t>
        </is>
      </c>
      <c r="Y71" s="26" t="inlineStr">
        <is>
          <t>PHÉP ĐO MỚI TREO 10 phút trên tệp thật đầu tiên — không đổ, không báo gì. logo_ptit.c là 720 KB với 57 600 chỗ khớp phép hex, và liet_ke dựng CẢ TỆP cho MỖI chỗ: ≈41 GB việc chuỗi. Nay liệt kê rẻ, lấy mẫu TRƯỚC, số dòng tra qua bản đồ đoạn — 0,04 s so với ≈21 s. · Ca kiểm chi phí của tôi cũng sai một lần: dùng hằng hex TRẦN thì không bắt được bản chậm, vì _bo_che trả về ngay khi không có chỗ giữ; chính CHÚ THÍCH mỗi dòng mới làm mỗi lượt bỏ che thành một lượt regex thật. · HAI luật của dự án bắt được chuyện tôi làm sai: N8 không có ngoại lệ (ghi hiện vật thì phải đòi explain), và plan mode khoá công cụ ghi lấy từ HỢP ĐỒNG chứ không từ danh sách tên (giải bằng KHONG_KHOA, cùng lý do memory.note). · Phá lại 22/22, lượt đầu 15/22. · Hiện vật mới: sim_result:test-sensitivity.</t>
        </is>
      </c>
    </row>
    <row r="72" ht="68.25" customHeight="1" s="27">
      <c r="A72" s="46" t="inlineStr">
        <is>
          <t>M4-05</t>
        </is>
      </c>
      <c r="B72" s="47" t="inlineStr">
        <is>
          <t>4. Kiểm thử &amp; kiểm chứng</t>
        </is>
      </c>
      <c r="C72" s="47" t="inlineStr">
        <is>
          <t>Đột biến không dịch được bị tính là 'bắt được'</t>
        </is>
      </c>
      <c r="D72" s="47" t="inlineStr">
        <is>
          <t>T12 Kiểm thử sản phẩm (unit, đột biến, hồi quy, HIL)</t>
        </is>
      </c>
      <c r="E72" s="47" t="inlineStr">
        <is>
          <t>build/dot_bien.py::do_do_nhay dòng 145-153; tools/xay_dung.py::test_sensitivity::_chay</t>
        </is>
      </c>
      <c r="F72" s="47" t="inlineStr">
        <is>
          <t>Sau khi ghi mã đột biến, `dat, _ = chay(p)` trả False cả khi chương trình KHÔNG BIÊN DỊCH ĐƯỢC (_chay trả False khi kq.chay_duoc=False), và trường hợp đó bị xếp 'thay'. _khong_dich_duoc() chỉ được dùng ở bước nạp mã gốc, không dùng cho mã đột biến.</t>
        </is>
      </c>
      <c r="G72" s="47" t="inlineStr">
        <is>
          <t>Chính chú thích dòng 48-51 đã cảnh báo rằng 'không dịch được' rất dễ bị đọc thành 'bộ kiểm bắt được', nhưng phòng vệ chỉ ở regex dấu '+'. Hằng → 99999 trong độ rộng bitfield, kích thước mảng static_assert hay case trùng giá trị đều làm lỗi biên dịch và sinh ô xanh giả ngay trong công cụ đi vạch ô xanh giả.</t>
        </is>
      </c>
      <c r="H72" s="47" t="inlineStr">
        <is>
          <t>Prompt Chaining (cổng kiểm bằng code)</t>
        </is>
      </c>
      <c r="I72" s="47" t="inlineStr">
        <is>
          <t>Trong vòng đột biến: gọi chay(p) và lấy log; nếu _khong_dich_duoc(log) thì xếp mutant 'khong_hop_le' (stillborn) và thử phép kế tiếp, không tính là killed. Trả thêm so_mutant_khong_hop_le. Thêm test_dot_bien: một đột biến gây lỗi biên dịch không được ra 'thay'.</t>
        </is>
      </c>
      <c r="J72" s="47" t="inlineStr">
        <is>
          <t>Bỏ được dương tính giả trong phép đo chất lượng test.</t>
        </is>
      </c>
      <c r="K72" s="48" t="inlineStr">
        <is>
          <t>P1</t>
        </is>
      </c>
      <c r="L72" s="48" t="inlineStr">
        <is>
          <t>S</t>
        </is>
      </c>
      <c r="M72" s="48">
        <f>IF(K72="P0",IF(OR(L72="L",L72="XL"),"GĐ2","GĐ1"),IF(K72="P1",IF(L72="S","GĐ2","GĐ3"),"GĐ4"))</f>
        <v/>
      </c>
      <c r="N72" s="47" t="inlineStr">
        <is>
          <t>Gần như không có; thêm 1 phép so chuỗi log.</t>
        </is>
      </c>
      <c r="O72" s="47" t="inlineStr">
        <is>
          <t>Tỉ lệ mutant stillborn; số tệp đổi trạng thái từ 'thay' sang 'khong_thay' sau khi sửa</t>
        </is>
      </c>
      <c r="P72" s="47" t="n"/>
      <c r="Q72" s="48" t="inlineStr">
        <is>
          <t>Xong</t>
        </is>
      </c>
      <c r="R72" s="47" t="inlineStr">
        <is>
          <t>Agent (Claude Opus 5)</t>
        </is>
      </c>
      <c r="S72" s="47" t="inlineStr">
        <is>
          <t>Kéo lên giai đoạn sớm hơn vì là tiền đề (xem §5 kế hoạch)</t>
        </is>
      </c>
      <c r="T72" s="26" t="inlineStr">
        <is>
          <t>08/10/2026</t>
        </is>
      </c>
      <c r="U72" s="26" t="inlineStr">
        <is>
          <t>DEV-348</t>
        </is>
      </c>
      <c r="V72" s="26" t="inlineStr">
        <is>
          <t>1816 → 1835 (+19)</t>
        </is>
      </c>
      <c r="W72" s="26" t="inlineStr">
        <is>
          <t>du-lieu/rtos-sinhvien (12 tệp sản phẩm, 1 tệp test), chạy CẢ HAI hành vi trên cùng dữ liệu: CŨ so_thay=1 (logo_ptit.c 'thay' — bộ kiểm ĐỎ), MỚI so_thay=0 (logo_ptit.c 'mọi đột biến đều làm hỏng biên dịch'). Con số cũ là 1/5 bắt được; sự thật là 0 tệp đo được. Hai dự án firmware thật còn lại (stm32f469-freertos, thu-nghiem-g6) có bộ kiểm ĐỎ SẴN nên không đo được gì. Và kiểm lại DEV-344: bài 3 vẫn tb_pcpi_dot4 1/1, tb_pcpi_mac 1/1, stillborn=0 — con số ấy ĐỨNG, do năm phép PHEP_VERILOG đều hợp lệ về cú pháp.</t>
        </is>
      </c>
      <c r="X72" s="26" t="inlineStr">
        <is>
          <t>không có cờ — sửa lỗi thuần</t>
        </is>
      </c>
      <c r="Y72" s="26" t="inlineStr">
        <is>
          <t>Nhiệm vụ nhỏ nhất của đợt (P1·S) và tìm ra nhiều lỗi thật nhất — BA lỗi ngoài việc được giao, cả ba chỉ lộ ra khi CHẠY phép đo trên dữ liệu thật: (2) test.sensitivity ĐỔ IndexError trên mọi tệp firmware thật, vì chỗ giữ chú thích \x00{i}\x00 bị chính phép phá đổi số thành 99999 từ chỗ giữ thứ 11 — đường đo độ nhạy cho C chưa bao giờ chạy nổi trên một tệp thật; (3) mo_phong chạy lại sim.vvp CŨ khi biên dịch đổ, cho dat=True và pass_fail='PASS' — _don_tep_ra đã có từ 01/10 cho đúng chuyện này ở nextpnr, chỉ mo_phong là không gọi, và nó là TIỀN ĐỀ của chính nhiệm vụ này; (4) loi_nguoi_doc in 'nhìn thấy cả 0/1 tệp — phá tệp nào cũng có ca đỏ'. · Phá lại 22/22, lượt đầu 15/20; bốn chỗ LỌT cùng hình dạng: luật ĐÚNG nhưng nằm ở chỗ ca kiểm không với tới (hai closure, bảng phép không dựng nổi ca, và tầng báo lại). · Tập phép phá lần này TỰ KIỂM: so byte trước–sau và in [VÔ HIỆU] nếu không đổi gì.</t>
        </is>
      </c>
    </row>
    <row r="73" ht="90.75" customHeight="1" s="27">
      <c r="A73" s="46" t="inlineStr">
        <is>
          <t>M4-06</t>
        </is>
      </c>
      <c r="B73" s="47" t="inlineStr">
        <is>
          <t>4. Kiểm thử &amp; kiểm chứng</t>
        </is>
      </c>
      <c r="C73" s="47" t="inlineStr">
        <is>
          <t>Vòng tự nâng test khi đột biến sống (Evaluator–Optimizer)</t>
        </is>
      </c>
      <c r="D73" s="47" t="inlineStr">
        <is>
          <t>T12 Kiểm thử sản phẩm (unit, đột biến, hồi quy, HIL)</t>
        </is>
      </c>
      <c r="E73" s="47" t="inlineStr">
        <is>
          <t>tools/xay_dung.py::test_sensitivity (trả note_vi rồi dừng); không có hook nào gọi test.sensitivity</t>
        </is>
      </c>
      <c r="F73" s="47" t="inlineStr">
        <is>
          <t>test.sensitivity là core=False (bị ẩn tới khi tool.search), chỉ trả lời khuyên. Không hook nào bắt buộc gọi nó sau test.run xanh, không có vòng 'đột biến sống → sinh ca mới → đo lại'. Kết quả không ghi vào kho (chú thích trong tools/hdl.py thừa nhận 'con số chỉ nằm trong hội thoại rồi mất').</t>
        </is>
      </c>
      <c r="G73" s="47" t="inlineStr">
        <is>
          <t>Mô tả công cụ dặn 'gọi SAU khi test.run xanh', nhưng đó chỉ là gợi ý cho mô hình, và mô hình còn không nhìn thấy công cụ. DANH-GIA §3.2 ghi tác tử 'mô tả phép đo thay vì chạy phép đo'. Không có vòng tối ưu nên chất lượng test không tự tăng.</t>
        </is>
      </c>
      <c r="H73" s="47" t="inlineStr">
        <is>
          <t>Evaluator–Optimizer, Prompt Chaining</t>
        </is>
      </c>
      <c r="I73" s="47" t="inlineStr">
        <is>
          <t>(1) Ghi hiện vật `sim_result:test-sensitivity` (deps.upstream gồm tệp test và tệp sản phẩm). (2) Thêm Stop hook `test_xanh_chua_do_nhay`: có MA_TEST dat=True mới hơn lần đo độ nhạy cuối thì mở khoá test.sensitivity và cho thêm 1 vòng. (3) Thêm công cụ `test.harden(max_vong=3)`: với mỗi mutant sống, giao subagent 'test-writer' (chỉ ghi được test/**) một ca nhắm đúng tệp:dòng đó, chạy test.run trên mã gốc (phải xanh) và trên mutant (phải đỏ), có trần 3 vòng hoặc 15 lời gọi.</t>
        </is>
      </c>
      <c r="J73" s="47" t="inlineStr">
        <is>
          <t>Mutation score tăng tự động; ô xanh giả bị lật trước khi báo người dùng.</t>
        </is>
      </c>
      <c r="K73" s="48" t="inlineStr">
        <is>
          <t>P0</t>
        </is>
      </c>
      <c r="L73" s="48" t="inlineStr">
        <is>
          <t>M</t>
        </is>
      </c>
      <c r="M73" s="48">
        <f>IF(K73="P0",IF(OR(L73="L",L73="XL"),"GĐ2","GĐ1"),IF(K73="P1",IF(L73="S","GĐ2","GĐ3"),"GĐ4"))</f>
        <v/>
      </c>
      <c r="N73" s="47" t="inlineStr">
        <is>
          <t>Tốn token/thời gian (mỗi vòng N lần biên dịch + 1-3 lời gọi LLM); cần trần cứng; có thể sinh ca dính chặt vào cài đặt hiện tại.</t>
        </is>
      </c>
      <c r="O73" s="47" t="inlineStr">
        <is>
          <t>Mutation score trước/sau harden; số vòng trung bình; tỉ lệ phiên có test.sensitivity trước khi báo xong</t>
        </is>
      </c>
      <c r="P73" s="47" t="n"/>
      <c r="Q73" s="48" t="inlineStr">
        <is>
          <t>Xong (một tiêu chí CHƯA đạt)</t>
        </is>
      </c>
      <c r="R73" s="47" t="inlineStr">
        <is>
          <t>Agent (Claude Opus 5)</t>
        </is>
      </c>
      <c r="S73" s="47" t="n"/>
      <c r="T73" s="26" t="inlineStr">
        <is>
          <t>09/10/2026</t>
        </is>
      </c>
      <c r="U73" s="26" t="inlineStr">
        <is>
          <t>DEV-351</t>
        </is>
      </c>
      <c r="V73" s="26" t="inlineStr">
        <is>
          <t>1862 → 1878 (+16)</t>
        </is>
      </c>
      <c r="W73" s="26" t="inlineStr">
        <is>
          <t>Đo 'TRƯỚC' trên dự án thật du-lieu/rtos-sinhvien, tệp logo_ptit.c: điểm 0,0 · 30 mutant · 20 sống · 18 s. Phần 'SAU' CHƯA ĐO: chạy test.harden thật cần LỜI GỌI MÔ HÌNH và §3.0 bắt hỏi anh Công trước — tôi chưa hỏi. Và kể cả có hỏi, dự án ấy KHÔNG CÓ CHỖ để đo: tệp duy nhất đáng nâng là control_rtos.c, mà nó là khong_nap_duoc vì tệp test #include chính tệp .c đó (DEV-350); sáu tệp còn lại là bitmap — không ca kiểm nào giết được một đột biến một byte trong logo. · Kiểm trên dữ liệu thật một ràng buộc khác: cả BỐN dự án có test/ đều đúng MỘT tệp test, nên ca mới phải thêm vào tệp đang có.</t>
        </is>
      </c>
      <c r="X73" s="26" t="inlineStr">
        <is>
          <t>TEST_HARDEN — TẮT (phần ghi deps.upstream thì KHÔNG sau cờ)</t>
        </is>
      </c>
      <c r="Y73" s="26" t="inlineStr">
        <is>
          <t>TIÊU CHÍ 'mutation score tăng sau harden' CHƯA ĐẠT — xem cột bên. Cờ giữ TẮT; bật mặc định còn cần bộ 76 ca chạy hai chế độ, cũng phải hỏi trước. · So PHIÊN BẢN, không so updated_at: độ phân giải thô nên hai lần ghi cùng giây BẰNG NHAU và phép so 'mới hơn' im lặng sai — ca kiểm đầu tiên của chính hook ấy đỏ ngay. · Phần Evaluator do MÃ làm: EIDE chạy bộ kiểm HAI lần (xanh trên mã thật, đỏ trên mutant), thiếu một chiều là loại, ca bị loại được TRẢ LẠI. Chỉ đòi chiều 'đỏ trên mutant' là nhận cả ca đỏ sẵn → vòng tự nâng tự khoá chính nó. · Hai hàng rào có sẵn chỉ ra hai ràng buộc thật: một dự án chỉ có MỘT tệp test, và fs.write không ghi đè tệp chưa đọc (E4020). · Bộ dò tài liệu tự khai 'kể cả công cụ sau cờ' mà chỉ bật MỘT cờ theo tên — đã sửa để lấy từ Features.ten_co(). · Phá lại 22/22, lượt đầu 18/22. · QUY TRÌNH: tôi quên mở nhánh và commit thẳng lên main; đã dựng lại con trỏ toi-uu/M4-06 tại đúng commit f829ddb.</t>
        </is>
      </c>
    </row>
    <row r="74" ht="68.25" customHeight="1" s="27">
      <c r="A74" s="46" t="inlineStr">
        <is>
          <t>M4-07</t>
        </is>
      </c>
      <c r="B74" s="47" t="inlineStr">
        <is>
          <t>4. Kiểm thử &amp; kiểm chứng</t>
        </is>
      </c>
      <c r="C74" s="47" t="inlineStr">
        <is>
          <t>Verifier độc lập — đề bài do tác tử chính soạn</t>
        </is>
      </c>
      <c r="D74" s="47" t="inlineStr">
        <is>
          <t>T04 Kiểm chứng độc lập (verifier)</t>
        </is>
      </c>
      <c r="E74" s="47" t="inlineStr">
        <is>
          <t>hooks/standard.py::kiem_viec_chua_ai_kiem (dòng 557-611), tools/dieu_phoi.py::task_run, subagent.py::viec_cho_verifier</t>
        </is>
      </c>
      <c r="F74" s="47" t="inlineStr">
        <is>
          <t>Trên đường tự động (SubagentStop) verifier chỉ nhận JSON báo cáo, không có đề bài, nhờ viec_cho_verifier. Nhưng trên đường dùng nhiều nhất là Stop hook, hook lại bảo tác tử CHÍNH tự gọi task.run(subagent="verifier", viec=…), và tác tử tự viết `viec`.</t>
        </is>
      </c>
      <c r="G74" s="47" t="inlineStr">
        <is>
          <t>Tác tử chính soạn đề bài cho verifier, nên nó có thể đưa sẵn kết luận, lập luận và chọn bằng chứng có lợi. Tính 'mù đề bài' (subagent.py điểm 3) chỉ đúng trên đường tự động. Verifier lại thấy đúng lời biện minh mà nó cần độc lập.</t>
        </is>
      </c>
      <c r="H74" s="47" t="inlineStr">
        <is>
          <t>Debate (trọng tài độc lập), Supervisor–Workers (context sạch)</t>
        </is>
      </c>
      <c r="I74" s="47" t="inlineStr">
        <is>
          <t>Khi subagent=='verifier', task_run bỏ `viec` tự do và tự DỰNG gói bằng chứng từ sổ cái: các changeset kể từ lần verifier trước (history), hiện vật có writes_artefact, kết quả build/test/sim gần nhất (id + phiên bản), cộng một câu khẳng định trích từ lời tác tử cuối. `viec` của tác tử chỉ còn là 'claim' ≤300 ký tự và bị lọc bỏ các cụm lập luận ('vì', 'chắc chắn', 'đã kiểm'). Thêm hàm subagent.goi_bang_chung_tu_so_cai(ledger, store).</t>
        </is>
      </c>
      <c r="J74" s="47" t="inlineStr">
        <is>
          <t>Verifier độc lập thật; giảm xác nhận theo kỳ vọng.</t>
        </is>
      </c>
      <c r="K74" s="48" t="inlineStr">
        <is>
          <t>P0</t>
        </is>
      </c>
      <c r="L74" s="48" t="inlineStr">
        <is>
          <t>M</t>
        </is>
      </c>
      <c r="M74" s="48">
        <f>IF(K74="P0",IF(OR(L74="L",L74="XL"),"GĐ2","GĐ1"),IF(K74="P1",IF(L74="S","GĐ2","GĐ3"),"GĐ4"))</f>
        <v/>
      </c>
      <c r="N74" s="47" t="inlineStr">
        <is>
          <t>Gói bằng chứng có thể dài, phải cắt theo blob; có thể thiếu ngữ cảnh khi việc không ghi vào kho.</t>
        </is>
      </c>
      <c r="O74" s="47" t="inlineStr">
        <is>
          <t>Tỉ lệ verifier trả khong_dat/chua_du_du_kien; số ca verifier bác đúng trên bộ ca gài lỗi (seeded)</t>
        </is>
      </c>
      <c r="P74" s="47" t="inlineStr">
        <is>
          <t>M1-06, M4-08</t>
        </is>
      </c>
      <c r="Q74" s="48" t="inlineStr">
        <is>
          <t>Xong</t>
        </is>
      </c>
      <c r="R74" s="47" t="inlineStr">
        <is>
          <t>Claude (Opus 5)</t>
        </is>
      </c>
      <c r="S74" s="47" t="n"/>
      <c r="T74" s="26" t="inlineStr">
        <is>
          <t>09/10/2026</t>
        </is>
      </c>
      <c r="U74" s="26" t="inlineStr">
        <is>
          <t>DEV-352</t>
        </is>
      </c>
      <c r="V74" s="26" t="inlineStr">
        <is>
          <t>18 ca mới trong tests/test_subagent.py (TC-M4-07-01…18). Phá lại thì đỏ: 34/36 lượt đầu → 36/36 sau khi thêm hai ca đọc riêng khối A rỗng và khối B</t>
        </is>
      </c>
      <c r="W74" s="26" t="inlineStr">
        <is>
          <t>sổ cái 42 dự án: 327 lời gọi task.run có việc, 323 là verifier · 209/323 đề bài dài hơn trần 300 ký tự · gói bằng chứng dựng được CÓ NỘI DUNG trên 29/42 dự án, 0 lần đổ · robot-canbang đụng ĐÚNG trần 6 000 ký tự · loc_claim bỏ 95/1 706 câu (năm dấu hiệu kế hoạch chỉ bỏ 11) · history làm gói rtos-sinhvien dài 2 142 → 2 322 ký tự, thêm (update→v24)</t>
        </is>
      </c>
      <c r="X74" s="26" t="inlineStr">
        <is>
          <t>VERIFIER_GOI_BANG_CHUNG — mặc định TẮT</t>
        </is>
      </c>
      <c r="Y74" s="26" t="inlineStr">
        <is>
          <t>Tiêu chí 'tỉ lệ verifier bác đúng không giảm khi bật cờ' CHƯA ĐẠT: nó cần bộ ca gài lỗi M4-22, mà M4-22 nằm ở nhiệm vụ SAU trong kế hoạch, và phép đo ấy cần lời gọi mô hình thật (§3.0 bắt hỏi anh Công trước). Gói bằng chứng chưa lần nào tới một mô hình thật.</t>
        </is>
      </c>
    </row>
    <row r="75" ht="79.5" customHeight="1" s="27">
      <c r="A75" s="46" t="inlineStr">
        <is>
          <t>M4-08</t>
        </is>
      </c>
      <c r="B75" s="47" t="inlineStr">
        <is>
          <t>4. Kiểm thử &amp; kiểm chứng</t>
        </is>
      </c>
      <c r="C75" s="47" t="inlineStr">
        <is>
          <t>Verifier — cùng model, chỉ đọc, không chạy lại phép đo</t>
        </is>
      </c>
      <c r="D75" s="47" t="inlineStr">
        <is>
          <t>T04 Kiểm chứng độc lập (verifier)</t>
        </is>
      </c>
      <c r="E75" s="47" t="inlineStr">
        <is>
          <t>subagent.py SUBAGENT['verifier'] (dòng 140-160), tools/dieu_phoi.py::task_run (llm = ctx.agent.llm)</t>
        </is>
      </c>
      <c r="F75" s="47" t="inlineStr">
        <is>
          <t>Verifier dùng chung đối tượng llm với tác tử chính (cùng model Gemini, cùng nhiệt độ). Bộ công cụ chỉ đọc gồm fs.read, store.get, ledger.query, history.diff…; không có build.compile, test.run, sim.run hay target.verify để tự CHẠY LẠI. toi_da_goi=10.</t>
        </is>
      </c>
      <c r="G75" s="47" t="inlineStr">
        <is>
          <t>Cùng model thì cùng điểm mù và sai lệch hệ thống. Chỉ đọc hiện vật thì verifier xác nhận 'hiện vật nói X', không xác nhận 'X còn đúng lúc này' (ví dụ kết quả test đã cũ so với mã mới, xem phiên 'bản nháy đèn cũ' trong chính hook).</t>
        </is>
      </c>
      <c r="H75" s="47" t="inlineStr">
        <is>
          <t>Debate (model khác), Routing (định tuyến model)</t>
        </is>
      </c>
      <c r="I75" s="47" t="inlineStr">
        <is>
          <t>(1) Thêm cấu hình `model.verifier` trong Config, mặc định một model khác họ hoặc khác cỡ, nhiệt độ 0; task_run chọn gateway theo dn.ma. (2) Cho verifier các công cụ chạy lại CHỈ-ĐỌC-KẾT-QUẢ: `test.run`, `sim.run` (không ghi đè hiện vật chính mà ghi vào sim_result:verify-*), `target.verify`. Thêm luật: kết luận 'dat' phải có ít nhất 1 bằng chứng kind='rerun' khi báo cáo có test/sim. (3) Kiểm stale: hiện vật bằng chứng mà store.stale=True thì tự hạ chua_du_du_kien.</t>
        </is>
      </c>
      <c r="J75" s="47" t="inlineStr">
        <is>
          <t>Kiểm chứng được tái lập (reproducible) thay vì chỉ đọc lại; giảm sai lệch tương quan giữa người làm và người kiểm.</t>
        </is>
      </c>
      <c r="K75" s="48" t="inlineStr">
        <is>
          <t>P1</t>
        </is>
      </c>
      <c r="L75" s="48" t="inlineStr">
        <is>
          <t>M</t>
        </is>
      </c>
      <c r="M75" s="48">
        <f>IF(K75="P0",IF(OR(L75="L",L75="XL"),"GĐ2","GĐ1"),IF(K75="P1",IF(L75="S","GĐ2","GĐ3"),"GĐ4"))</f>
        <v/>
      </c>
      <c r="N75" s="47" t="inlineStr">
        <is>
          <t>Chi phí model thứ hai; chạy lại mô phỏng tăng độ trễ; phải chống verifier ghi đè kết quả chính.</t>
        </is>
      </c>
      <c r="O75" s="47" t="inlineStr">
        <is>
          <t>Tỉ lệ bất đồng verifier-tác tử; số đạt giả bị bắt trên bộ ca gài lỗi; chi phí token/verifier</t>
        </is>
      </c>
      <c r="P75" s="47" t="inlineStr">
        <is>
          <t>M1-06, M4-07</t>
        </is>
      </c>
      <c r="Q75" s="48" t="inlineStr">
        <is>
          <t>Chưa làm</t>
        </is>
      </c>
      <c r="R75" s="47" t="n"/>
      <c r="S75" s="47" t="n"/>
    </row>
    <row r="76" ht="79.5" customHeight="1" s="27">
      <c r="A76" s="46" t="inlineStr">
        <is>
          <t>M4-09</t>
        </is>
      </c>
      <c r="B76" s="47" t="inlineStr">
        <is>
          <t>4. Kiểm thử &amp; kiểm chứng</t>
        </is>
      </c>
      <c r="C76" s="47" t="inlineStr">
        <is>
          <t>Stop hook coi MỌI task.run là đã kiểm</t>
        </is>
      </c>
      <c r="D76" s="47" t="inlineStr">
        <is>
          <t>T04 Kiểm chứng độc lập (verifier)</t>
        </is>
      </c>
      <c r="E76" s="47" t="inlineStr">
        <is>
          <t>hooks/standard.py::kiem_viec_chua_ai_kiem dòng 562-563</t>
        </is>
      </c>
      <c r="F76" s="47" t="inlineStr">
        <is>
          <t>`if "task.run" in ctx.cong_cu_da_goi: return StopResult(fired=["tu_kiem_da_chay"])`. Chỉ cần gọi task.run với BẤT KỲ subagent nào (datasheet-ingest, code-analyst, firmware…) là hook thôi đòi kiểm chứng. kiem_chung.py và loop.py dòng 891 đã cẩn thận đọc args.subagent=='verifier', còn hook này thì không (test_da_goi_verifier_roi_thi_thoi cũng chỉ thử với 'task.run' trơn).</t>
        </is>
      </c>
      <c r="G76" s="47" t="inlineStr">
        <is>
          <t>Có đường lách N6: gọi task.run(firmware) xong là hook im. Ba chỗ cùng hỏi một câu 'verifier đã chạy chưa' nhưng trả lời không nhất quán.</t>
        </is>
      </c>
      <c r="H76" s="47" t="inlineStr">
        <is>
          <t>Prompt Chaining (cổng kiểm bằng code)</t>
        </is>
      </c>
      <c r="I76" s="47" t="inlineStr">
        <is>
          <t>Bỏ nhánh dòng 562, chỉ dùng co_viec_chua_kiem() (đọc args.subagent). Hoặc dùng cờ ctx.da_goi_verifier do loop đặt ở dòng 891. Sửa test: task.run(subagent='firmware') rồi Stop vẫn phải bật kiểm chứng. Đồng thời yêu cầu kết quả verifier ok=True VÀ ket_luan khác null mới tắt cờ.</t>
        </is>
      </c>
      <c r="J76" s="47" t="inlineStr">
        <is>
          <t>Đóng một đường lách kiểm chứng; logic nhất quán ở một nguồn.</t>
        </is>
      </c>
      <c r="K76" s="48" t="inlineStr">
        <is>
          <t>P0</t>
        </is>
      </c>
      <c r="L76" s="48" t="inlineStr">
        <is>
          <t>S</t>
        </is>
      </c>
      <c r="M76" s="48">
        <f>IF(K76="P0",IF(OR(L76="L",L76="XL"),"GĐ2","GĐ1"),IF(K76="P1",IF(L76="S","GĐ2","GĐ3"),"GĐ4"))</f>
        <v/>
      </c>
      <c r="N76" s="47" t="inlineStr">
        <is>
          <t>Không đáng kể.</t>
        </is>
      </c>
      <c r="O76" s="47" t="inlineStr">
        <is>
          <t>Số lượt kết thúc có ghi mà không có verifier (từ sổ cái) trước/sau sửa</t>
        </is>
      </c>
      <c r="P76" s="47" t="n"/>
      <c r="Q76" s="48" t="inlineStr">
        <is>
          <t>Xong</t>
        </is>
      </c>
      <c r="R76" s="47" t="inlineStr">
        <is>
          <t>Claude (Opus 5)</t>
        </is>
      </c>
      <c r="S76" s="47" t="n"/>
      <c r="T76" s="26" t="inlineStr">
        <is>
          <t>09/10/2026</t>
        </is>
      </c>
      <c r="U76" s="26" t="inlineStr">
        <is>
          <t>DEV-353</t>
        </is>
      </c>
      <c r="V76" s="26" t="inlineStr">
        <is>
          <t>1 896 → 1 901 (5 ca mới trong tests/test_tu_phat_hien_sai.py: TC-M4-09-01, TC-M4-09-02 cả hai mặt firmware/verifier, TC-M4-09-03, và ca mặc định của getattr). Ca CŨ test_da_goi_verifier_roi_thi_thoi đã sửa vì nó khoá đúng hành vi SAI (§3.2). Phá lại thì đỏ: 10/12 — hai chỗ LỌT đã kiểm lại là KHÔNG đổi hành vi (bỏ res.ok là guard chết vì _one_tool return sớm; so lỏng 'verifier' in ten vô hiệu vì trong tám tên SUBAGENT chỉ verifier chứa chuỗi ấy)</t>
        </is>
      </c>
      <c r="W76" s="26" t="inlineStr">
        <is>
          <t>68 sổ cái dự án (26 sổ có task.run, 257 lời gọi: verifier 253 · code-analyst 2 · firmware 1 · sim-runner 1). Hook Stop ghi lại chính checks của nó, nên đếm được: 41 lượt hook khai tu_kiem_da_chay (đã IM), và 1 trong 41 lượt ấy KHÔNG có task.run(verifier) nào — robot-sinhvien2 run-007, nơi lời gọi task.run(code-analyst) nằm TRƯỚC fs.edit vào ISR(TIMER2_COMPA_vect), build.compile và fs.write sim/dump_isr.c. Quét theo hình dạng ra 2 lượt: thêm rtos-sinhvien run-026, lượt có cả target.flash.</t>
        </is>
      </c>
      <c r="X76" s="26" t="inlineStr">
        <is>
          <t>không có cờ — sửa lỗi thuần</t>
        </is>
      </c>
      <c r="Y76" s="26" t="inlineStr">
        <is>
          <t>Không còn nợ tiêu chí nào. Ghi chú thiết kế: câu 'còn việc chưa ai kiểm chưa' vẫn đọc SỔ CÁI (xuyên phiên, co_viec_chua_kiem không đổi); chỉ câu 'verifier có chạy trong LƯỢT này không' mới dùng cờ trên ctx — ctx sinh ra và chết cùng lượt nên nó là vật đúng để hỏi.</t>
        </is>
      </c>
    </row>
    <row r="77" ht="57" customHeight="1" s="27">
      <c r="A77" s="46" t="inlineStr">
        <is>
          <t>M4-10</t>
        </is>
      </c>
      <c r="B77" s="47" t="inlineStr">
        <is>
          <t>4. Kiểm thử &amp; kiểm chứng</t>
        </is>
      </c>
      <c r="C77" s="47" t="inlineStr">
        <is>
          <t>Kết luận khong_dat của verifier không kéo theo vòng sửa</t>
        </is>
      </c>
      <c r="D77" s="47" t="inlineStr">
        <is>
          <t>T04 Kiểm chứng độc lập (verifier)</t>
        </is>
      </c>
      <c r="E77" s="47" t="inlineStr">
        <is>
          <t>subagent.py::gop_kiem_chung, tools/dieu_phoi.py::task_run, hooks/standard.py injection 'NÓI RA điều đó'</t>
        </is>
      </c>
      <c r="F77" s="47" t="inlineStr">
        <is>
          <t>Verifier bác thì kết luận bị hạ và ghi vào chua_lam, rồi tác tử chính được dặn 'nói ra với người dùng'. ctx.da_tu_kiem=True khiến hook chỉ nổ một lần mỗi lượt. Không có vòng sinh → chấm → sửa có trần.</t>
        </is>
      </c>
      <c r="G77" s="47" t="inlineStr">
        <is>
          <t>Đánh giá tồn tại nhưng không có Optimizer: lỗi được báo mà không được sửa. Người dùng nhận một bản 'chưa đạt' trong khi phần sửa thường máy làm được (thiếu nối hàm, thiếu bằng chứng).</t>
        </is>
      </c>
      <c r="H77" s="47" t="inlineStr">
        <is>
          <t>Evaluator–Optimizer, Reflexion</t>
        </is>
      </c>
      <c r="I77" s="47" t="inlineStr">
        <is>
          <t>Khi verifier trả khong_dat với các mục cụ thể (tệp:dòng hoặc hiện vật): Stop hook tiêm danh sách phát hiện dạng checklist và cho thêm tối đa N=2 vòng sửa (cấu hình `max_vong_sua_sau_kiem`), sau mỗi vòng gọi lại verifier trên phần đã đổi. Hết trần thì báo người dùng kèm danh sách còn lại. Ghi bài học (Reflexion) vào memory dự án: 'claim X bị bác vì Y'.</t>
        </is>
      </c>
      <c r="J77" s="47" t="inlineStr">
        <is>
          <t>Tăng tỉ lệ việc đạt thật mà không cần người; bài học tích luỹ qua phiên.</t>
        </is>
      </c>
      <c r="K77" s="48" t="inlineStr">
        <is>
          <t>P1</t>
        </is>
      </c>
      <c r="L77" s="48" t="inlineStr">
        <is>
          <t>M</t>
        </is>
      </c>
      <c r="M77" s="48">
        <f>IF(K77="P0",IF(OR(L77="L",L77="XL"),"GĐ2","GĐ1"),IF(K77="P1",IF(L77="S","GĐ2","GĐ3"),"GĐ4"))</f>
        <v/>
      </c>
      <c r="N77" s="47" t="inlineStr">
        <is>
          <t>Dễ thành vòng vô tận nếu verifier quá khắt, nên phải có trần vòng/token; tốn thêm 2 lần verifier.</t>
        </is>
      </c>
      <c r="O77" s="47" t="inlineStr">
        <is>
          <t>Tỉ lệ khong_dat → dat sau ≤2 vòng; số lượt/việc; chi phí token mỗi lần sửa</t>
        </is>
      </c>
      <c r="P77" s="47" t="inlineStr">
        <is>
          <t>M1-15</t>
        </is>
      </c>
      <c r="Q77" s="48" t="inlineStr">
        <is>
          <t>Chưa làm</t>
        </is>
      </c>
      <c r="R77" s="47" t="n"/>
      <c r="S77" s="47" t="n"/>
    </row>
    <row r="78" ht="79.5" customHeight="1" s="27">
      <c r="A78" s="46" t="inlineStr">
        <is>
          <t>M4-11</t>
        </is>
      </c>
      <c r="B78" s="47" t="inlineStr">
        <is>
          <t>4. Kiểm thử &amp; kiểm chứng</t>
        </is>
      </c>
      <c r="C78" s="47" t="inlineStr">
        <is>
          <t>Hồi quy tự động sau thay đổi mã</t>
        </is>
      </c>
      <c r="D78" s="47" t="inlineStr">
        <is>
          <t>T12 Kiểm thử sản phẩm (unit, đột biến, hồi quy, HIL)</t>
        </is>
      </c>
      <c r="E78" s="47" t="inlineStr">
        <is>
          <t>history.py::ghi_tep → deps.danh_dau_stale (dòng 217); deps.py HA_NGUON 'code': ('build','sim_result','target')</t>
        </is>
      </c>
      <c r="F78" s="47" t="inlineStr">
        <is>
          <t>Mỗi lần ghi tệp, MỌI hiện vật loại build/sim_result/target bị đánh STALE (theo loại, không theo tệp). Không ai chạy lại test.run/sim.run/hdl.sim bị ảnh hưởng. Stop hook không kiểm 'còn kết quả test STALE mà tác tử tuyên xong'.</t>
        </is>
      </c>
      <c r="G78" s="47" t="inlineStr">
        <is>
          <t>Tác tử có thể sửa control.c sau lần test xanh rồi báo 'đã kiểm', dựa trên kết quả cũ. STALE thô (mọi sim_result) làm mất tín hiệu, còn thiếu tự chạy lại thì hồi quy phụ thuộc trí nhớ mô hình. Đúng họ lỗi 'nối' trong DANH-GIA §3.1.</t>
        </is>
      </c>
      <c r="H78" s="47" t="inlineStr">
        <is>
          <t>Prompt Chaining, Plan-and-Execute (bước kiểm bắt buộc)</t>
        </is>
      </c>
      <c r="I78" s="47" t="inlineStr">
        <is>
          <t>(1) Lưu trong sim_result danh sách `tep_nguon` + sha từng tệp (đã có tep_nguon), rồi deps chỉ đánh STALE kết quả có tệp vừa đổi. (2) Thêm post_tool hook `hoi_quy_nen`: sau fs.write/fs.edit vào firmware/**, tự chạy test.run (không LLM, chỉ biên dịch và chạy) cho các bộ test có tệp đó trong tep_nguon, tiêm kết quả gọn (`hồi quy: 12/12` hoặc ca hỏng) vào ngữ cảnh. Có trần 1 lần/lượt và thời gian ≤20s. (3) Stop hook chặn tuyên xong khi còn kết quả test/sim STALE.</t>
        </is>
      </c>
      <c r="J78" s="47" t="inlineStr">
        <is>
          <t>Bắt hồi quy ngay sau khi sửa; báo cáo luôn dựa trên kết quả mới.</t>
        </is>
      </c>
      <c r="K78" s="48" t="inlineStr">
        <is>
          <t>P0</t>
        </is>
      </c>
      <c r="L78" s="48" t="inlineStr">
        <is>
          <t>M</t>
        </is>
      </c>
      <c r="M78" s="48">
        <f>IF(K78="P0",IF(OR(L78="L",L78="XL"),"GĐ2","GĐ1"),IF(K78="P1",IF(L78="S","GĐ2","GĐ3"),"GĐ4"))</f>
        <v/>
      </c>
      <c r="N78" s="47" t="inlineStr">
        <is>
          <t>Độ trễ mỗi lần ghi; test chậm thì phải chạy nền hoặc gom theo lượt.</t>
        </is>
      </c>
      <c r="O78" s="47" t="inlineStr">
        <is>
          <t>Số lần tuyên xong với kết quả STALE (về 0); thời gian phát hiện hồi quy (số lượt từ khi sửa tới khi biết)</t>
        </is>
      </c>
      <c r="P78" s="47" t="inlineStr">
        <is>
          <t>M2-01</t>
        </is>
      </c>
      <c r="Q78" s="48" t="inlineStr">
        <is>
          <t>Xong (một tiêu chí CHƯA đạt)</t>
        </is>
      </c>
      <c r="R78" s="47" t="inlineStr">
        <is>
          <t>Claude (Opus 5)</t>
        </is>
      </c>
      <c r="S78" s="47" t="n"/>
      <c r="T78" s="26" t="inlineStr">
        <is>
          <t>09/10/2026</t>
        </is>
      </c>
      <c r="U78" s="26" t="inlineStr">
        <is>
          <t>DEV-354</t>
        </is>
      </c>
      <c r="V78" s="26" t="inlineStr">
        <is>
          <t>1 901 → 1 929 (28 ca mới trong tests/test_hoi_quy.py). Phá lại thì đỏ: 24/32 lượt đầu → 31/34 sau khi thêm bảy ca kiểm và hai phép phá GỘP. Ba chỗ LỌT còn lại đã kiểm lại là KHÔNG đổi hành vi: bỏ ung.is_file() (p.is_file() vẫn lọc), trần quay lại đếm len(xong) (dedupe vẫn làm hàng đợi cạn), bỏ res.ok (guard chết vì _one_tool return sớm). Hai lớp phòng độc lập thì CHỈ phép phá gộp nói được có ca canh hay không — gộp dedupe + trần-đếm-lượt thì vòng lặp không dừng, và ca luồng-có-đồng-hồ biến nó thành chữ ĐỎ trong 8 giây thay vì một lượt treo 120 giây.</t>
        </is>
      </c>
      <c r="W78" s="26" t="inlineStr">
        <is>
          <t>9 kho THẬT: bán kính STALE của kết quả test/sim khi sửa một tệp mã 107 lần → 49 lần, tức 58/107 (54 %) là cáo buộc OAN. Chi tiết: robot-canbang 6→3 · robot-sinhvien 14→10 · robot-sinhvien2 14→5 · robot-tu-can-bang 24→13 · rtos-sinhvien 30→8 · stm32f469-freertos 12→6 · usecase/uc03 3→1 · usecase/uc11 4→3. Và chính dữ liệu thật bác bước 1 của kế hoạch: robot-sinhvien2 lưu tep_nguon = ['sim/test_balance.c'] MỘT tệp, mà tệp ấy #include '../firmware/pid.c', motor.c, filter.c — nên upstream phải là bao đóng #include, không phải danh sách tệp đưa cho trình biên dịch. Bao đóng ra đúng 5 mắt.</t>
        </is>
      </c>
      <c r="X78" s="26" t="inlineStr">
        <is>
          <t>HOI_QUY_NEN — mặc định TẮT (phần deps.upstream + hook ket_qua_stale KHÔNG sau cờ)</t>
        </is>
      </c>
      <c r="Y78" s="26" t="inlineStr">
        <is>
          <t>Tiêu chí 'số lần tuyên xong với kết quả STALE = 0' CHƯA ĐẠT: sổ cái ghi lời gọi công cụ và checks của hook, nhưng KHÔNG ghi trạng thái kho tại thời điểm ấy — nên khác mọi phép đo khác của đợt, nó không soát lại được phiên đã lưu. Đóng nó cần PHÁT LẠI phiên mẫu với hook mới, tức lời gọi mô hình thật (§3.0 bắt hỏi anh Công trước). Và kế hoạch SAI chỗ: nó bảo sửa deps.ha_nguon_cua, nhưng ba ca kiểm đầu XANH SẴN — lớp đọc đã đúng từ M2-01; chỗ đứt là lớp GHI (test.run/sim.run gọi store.apply không có deps). Lỗi tìm thấy trong chính mã vừa viết: trần của _khep_include đếm len(xong) nên không chặn được vòng #include vô hạn — phép phá treo 900 giây thay vì đỏ; nay trần đếm LƯỢT.</t>
        </is>
      </c>
    </row>
    <row r="79" ht="68.25" customHeight="1" s="27">
      <c r="A79" s="46" t="inlineStr">
        <is>
          <t>M4-12</t>
        </is>
      </c>
      <c r="B79" s="47" t="inlineStr">
        <is>
          <t>4. Kiểm thử &amp; kiểm chứng</t>
        </is>
      </c>
      <c r="C79" s="47" t="inlineStr">
        <is>
          <t>Kiểm tiêu chí có khả năng ĐỎ không (đo cái đo ở tầng tiêu chí)</t>
        </is>
      </c>
      <c r="D79" s="47" t="inlineStr">
        <is>
          <t>T07 Phản biện thiết kế (Debate/ToT)</t>
        </is>
      </c>
      <c r="E79" s="47" t="inlineStr">
        <is>
          <t>build/tieu_chi.py::xet_ket_qua; tools/xay_dung.py::sim_criteria; docs/md/DANH-GIA-NGUOI-VS-AGENT-2-VIEC.md §4</t>
        </is>
      </c>
      <c r="F79" s="47" t="inlineStr">
        <is>
          <t>sim.criteria kiểm khuôn (ma, mo_ta, phep_so hợp lệ, có nguồn ngưỡng) và đòi người xác nhận. Không có phép thử 'assert này có bao giờ trượt được không'.</t>
        </is>
      </c>
      <c r="G79" s="47" t="inlineStr">
        <is>
          <t>DANH-GIA §4: tiêu chí 'mọi ô ok=1' khiến 24/96 ô KHÔNG THỂ báo sai, và tiêu chí 'mọi tệp vào ảnh' sinh 36 dòng mã rỗng. Kết luận của chính tài liệu: 'Agent làm đúng theo tiêu chí sai'. Người xác nhận tiêu chí bằng mắt không bắt được loại này.</t>
        </is>
      </c>
      <c r="H79" s="47" t="inlineStr">
        <is>
          <t>Debate (phản biện tiêu chí), Evaluator–Optimizer</t>
        </is>
      </c>
      <c r="I79" s="47" t="inlineStr">
        <is>
          <t>Thêm `sim.criteria_check`. (a) Chạy sim với mã sản phẩm bị đột biến (dùng lại dot_bien) và ghi assert nào CHƯA BAO GIỜ đổi kết luận, tức assert không canh được gì. (b) Subagent 'criteria-critic' (model khác, chỉ đọc REQ + tiêu chí) trả danh sách: assert tự so với chính nó, ngưỡng không nguồn, REQ không có assert, tiêu chí khuyến khích mã rỗng. Kết quả hiện trên thẻ xác nhận tiêu chí TRƯỚC khi người bấm duyệt.</t>
        </is>
      </c>
      <c r="J79" s="47" t="inlineStr">
        <is>
          <t>Nâng chất lượng đề bài, đúng chỗ tài liệu đo được là quyết định chất lượng kết quả.</t>
        </is>
      </c>
      <c r="K79" s="48" t="inlineStr">
        <is>
          <t>P1</t>
        </is>
      </c>
      <c r="L79" s="48" t="inlineStr">
        <is>
          <t>M</t>
        </is>
      </c>
      <c r="M79" s="48">
        <f>IF(K79="P0",IF(OR(L79="L",L79="XL"),"GĐ2","GĐ1"),IF(K79="P1",IF(L79="S","GĐ2","GĐ3"),"GĐ4"))</f>
        <v/>
      </c>
      <c r="N79" s="47" t="inlineStr">
        <is>
          <t>Thêm 1 lần gọi LLM và N lần chạy sim cho mỗi tiêu chí; critic có thể kêu thừa.</t>
        </is>
      </c>
      <c r="O79" s="47" t="inlineStr">
        <is>
          <t>Số assert 'không thể đỏ' bị phát hiện; số REQ không có assert; số lần người sửa tiêu chí sau khi critic báo</t>
        </is>
      </c>
      <c r="P79" s="47" t="n"/>
      <c r="Q79" s="48" t="inlineStr">
        <is>
          <t>Chưa làm</t>
        </is>
      </c>
      <c r="R79" s="47" t="n"/>
      <c r="S79" s="47" t="n"/>
    </row>
    <row r="80" ht="90.75" customHeight="1" s="27">
      <c r="A80" s="46" t="inlineStr">
        <is>
          <t>M4-13</t>
        </is>
      </c>
      <c r="B80" s="47" t="inlineStr">
        <is>
          <t>4. Kiểm thử &amp; kiểm chứng</t>
        </is>
      </c>
      <c r="C80" s="47" t="inlineStr">
        <is>
          <t>Kiểm 'nối' tĩnh — mã viết đúng nhưng không ai gọi</t>
        </is>
      </c>
      <c r="D80" s="47" t="inlineStr">
        <is>
          <t>T09 Phân tích mã tĩnh &amp; CodeAct</t>
        </is>
      </c>
      <c r="E80" s="47" t="inlineStr">
        <is>
          <t>docs/md/DANH-GIA-NGUOI-VS-AGENT-2-VIEC.md §3.1 (7 lần); tools/xay_dung.py::build_map, _tep_khong_vao_anh</t>
        </is>
      </c>
      <c r="F80" s="47" t="inlineStr">
        <is>
          <t>build.compile kiểm tệp .c không có trong lệnh dịch (_tep_khong_vao_anh); build.map đọc kích thước symbol. Không có phép kiểm vector table trỏ Default_Handler, hàm/ISR định nghĩa mà không ai tham chiếu, cờ/bit không ai set (PENDSVSET), hay hàm chỉ return hằng.</t>
        </is>
      </c>
      <c r="G80" s="47" t="inlineStr">
        <is>
          <t>Tài liệu đánh giá gọi đây là 'điểm yếu lớn nhất', lặp 7 lần, 'không lần nào có lỗi báo ra'. Tất cả đều phát hiện được tĩnh từ ELF/map trước khi nạp bo.</t>
        </is>
      </c>
      <c r="H80" s="47" t="inlineStr">
        <is>
          <t>Prompt Chaining (cổng kiểm bằng code)</t>
        </is>
      </c>
      <c r="I80" s="47" t="inlineStr">
        <is>
          <t>Thêm build/kiem_noi.py, gọi tự động sau build.compile thành công: (1) đọc bảng vector từ ELF (.isr_vector), liệt kê ô trỏ Default_Handler/weak trong khi có hàm cùng tên XXX_Handler mạnh trong mã người dùng; (2) dùng `nm`/`-Wl,--gc-sections -Wl,--print-gc-sections` để liệt kê hàm người dùng bị loại bỏ (tức không ai gọi); (3) đồ thị gọi đơn giản từ objdump, tìm hàm không tới được từ main/ISR; (4) cảnh báo hàm chỉ 'return const' (đã có ý tưởng ở target.debug). Đưa vào note_vi của build.compile và thành điều kiện cho verifier.</t>
        </is>
      </c>
      <c r="J80" s="47" t="inlineStr">
        <is>
          <t>Bắt lỗi nối trước khi lên bo, tiết kiệm hàng giờ gỡ lỗi bo tối.</t>
        </is>
      </c>
      <c r="K80" s="48" t="inlineStr">
        <is>
          <t>P0</t>
        </is>
      </c>
      <c r="L80" s="48" t="inlineStr">
        <is>
          <t>M</t>
        </is>
      </c>
      <c r="M80" s="48">
        <f>IF(K80="P0",IF(OR(L80="L",L80="XL"),"GĐ2","GĐ1"),IF(K80="P1",IF(L80="S","GĐ2","GĐ3"),"GĐ4"))</f>
        <v/>
      </c>
      <c r="N80" s="47" t="inlineStr">
        <is>
          <t>Báo thừa với hàm callback qua con trỏ (cần danh sách loại trừ); khác biệt toolchain AVR/ARM/RISC-V.</t>
        </is>
      </c>
      <c r="O80" s="47" t="inlineStr">
        <is>
          <t>Số lỗi nối bắt được ở build so với bắt ở bo; số giờ phiên dành cho 'bo tối'</t>
        </is>
      </c>
      <c r="P80" s="47" t="inlineStr">
        <is>
          <t>M2-09</t>
        </is>
      </c>
      <c r="Q80" s="48" t="inlineStr">
        <is>
          <t>Chưa làm</t>
        </is>
      </c>
      <c r="R80" s="47" t="n"/>
      <c r="S80" s="47" t="n"/>
    </row>
    <row r="81" ht="68.25" customHeight="1" s="27">
      <c r="A81" s="46" t="inlineStr">
        <is>
          <t>M4-14</t>
        </is>
      </c>
      <c r="B81" s="47" t="inlineStr">
        <is>
          <t>4. Kiểm thử &amp; kiểm chứng</t>
        </is>
      </c>
      <c r="C81" s="47" t="inlineStr">
        <is>
          <t>HIL — kiểm thử trên bo thật có tiêu chí và máy chấm</t>
        </is>
      </c>
      <c r="D81" s="47" t="inlineStr">
        <is>
          <t>T12 Kiểm thử sản phẩm (unit, đột biến, hồi quy, HIL)</t>
        </is>
      </c>
      <c r="E81" s="47" t="inlineStr">
        <is>
          <t>tools/mach_that.py::target_log (dòng 880-940), build/mach_that.py::doc_log; BAO-CAO-TONG TC053 'Cần thiết bị — HIL'</t>
        </is>
      </c>
      <c r="F81" s="47" t="inlineStr">
        <is>
          <t>target.log đọc thô cổng nối tiếp trong `giay` giây, ghi hiện vật target:log 8000 ký tự cuối. Không xả bộ đệm cũ trước khi đọc, không gắn mốc với lần nạp, không có assert trên log (regex/đếm dòng/giá trị), không có chu trình nạp → reset → đọc → chấm lặp N lần.</t>
        </is>
      </c>
      <c r="G81" s="47" t="inlineStr">
        <is>
          <t>DANH-GIA §5.2-5.3: đọc cổng 92s trước khi bitstream tồn tại; 173 byte rác của lượt trước có cả dấu kết thúc. Mọi việc chấm log hiện do mô hình đọc bằng mắt nên là đạt giả tiềm năng. TC053 (chạy lặp 20 lần) chưa làm được.</t>
        </is>
      </c>
      <c r="H81" s="47" t="inlineStr">
        <is>
          <t>Prompt Chaining, Evaluator–Optimizer</t>
        </is>
      </c>
      <c r="I81" s="47" t="inlineStr">
        <is>
          <t>Thêm `hil.criteria` (giống sim.criteria, assert kiểu {regex, nhom, phep_so, nguong} hoặc {dem_dong&gt;=N}) và `hil.run(lan=N)`: target.flash → target.verify → xả cổng tới khi im ≥300ms → reset (openocd `reset run`) → đọc tới khi đủ số dòng hoặc hết timeout → trích {"do":…} → xet_ket_qua. Ghi mốc thời gian nạp/đọc vào hiện vật và từ chối khi t_doc &lt; t_nap. Gộp N lần thành tỉ lệ đạt và độ trôi (flaky).</t>
        </is>
      </c>
      <c r="J81" s="47" t="inlineStr">
        <is>
          <t>Biến log UART thành bằng chứng chấm được bằng code; làm được TC053; phát hiện lỗi không ổn định.</t>
        </is>
      </c>
      <c r="K81" s="48" t="inlineStr">
        <is>
          <t>P1</t>
        </is>
      </c>
      <c r="L81" s="48" t="inlineStr">
        <is>
          <t>L</t>
        </is>
      </c>
      <c r="M81" s="48">
        <f>IF(K81="P0",IF(OR(L81="L",L81="XL"),"GĐ2","GĐ1"),IF(K81="P1",IF(L81="S","GĐ2","GĐ3"),"GĐ4"))</f>
        <v/>
      </c>
      <c r="N81" s="47" t="inlineStr">
        <is>
          <t>Phụ thuộc phần cứng; nạp nhiều lần làm mòn Flash; mỗi lần nạp cần thẻ HITL nên phải có chế độ duyệt một lần cho cả loạt.</t>
        </is>
      </c>
      <c r="O81" s="47" t="inlineStr">
        <is>
          <t>Số ca HIL tự động; tỉ lệ đạt/N lần; số lần đọc log bị từ chối do lệch mốc</t>
        </is>
      </c>
      <c r="P81" s="47" t="n"/>
      <c r="Q81" s="48" t="inlineStr">
        <is>
          <t>Chưa làm</t>
        </is>
      </c>
      <c r="R81" s="47" t="n"/>
      <c r="S81" s="47" t="n"/>
    </row>
    <row r="82" ht="57" customHeight="1" s="27">
      <c r="A82" s="46" t="inlineStr">
        <is>
          <t>M4-15</t>
        </is>
      </c>
      <c r="B82" s="47" t="inlineStr">
        <is>
          <t>4. Kiểm thử &amp; kiểm chứng</t>
        </is>
      </c>
      <c r="C82" s="47" t="inlineStr">
        <is>
          <t>Đối chiếu mô phỏng ↔ bo thật (so sánh tín hiệu/đo đạc)</t>
        </is>
      </c>
      <c r="D82" s="47" t="inlineStr">
        <is>
          <t>T12 Kiểm thử sản phẩm (unit, đột biến, hồi quy, HIL)</t>
        </is>
      </c>
      <c r="E82" s="47" t="inlineStr">
        <is>
          <t>tools/xay_dung.py::sim_run (note 'KHÔNG nói mạch thật sẽ chạy'); DANH-GIA §3.2 ('nhịp 1000 Hz' theo cấu hình, thật là 91 Hz)</t>
        </is>
      </c>
      <c r="F82" s="47" t="inlineStr">
        <is>
          <t>sim.run khai rõ giới hạn mô hình; target.debug đọc thanh ghi, lấy mẫu PC. Không có công cụ đo đại lượng thời gian thực trên bo (tần số nhịp, xung nhịp lõi qua DWT-&gt;CYCCNT) và so với số đo mô phỏng theo cùng mã assert.</t>
        </is>
      </c>
      <c r="G82" s="47" t="inlineStr">
        <is>
          <t>'Giá trị cấu hình không phải phép đo': tác tử suy nhịp từ LOAD của SysTick. Không có cầu nối khiến kết quả mô phỏng và bo được so trực tiếp, nên lệch mô hình không bị phát hiện.</t>
        </is>
      </c>
      <c r="H82" s="47" t="inlineStr">
        <is>
          <t>Evaluator–Optimizer</t>
        </is>
      </c>
      <c r="I82" s="47" t="inlineStr">
        <is>
          <t>Thêm `target.measure`: qua openocd, bật DWT_CTRL.CYCCNTENA, đọc CYCCNT và một biến đếm tick hai lần cách nhau Δt, rồi tính f_cpu và f_tick thật; đọc biến debug_* do tiêu chí khai. Trả {"do":{ma:giá_trị}} cùng mã assert với sim.criteria để xet_ket_qua chấm, kèm cột 'sim vs bo' và độ lệch %. Ghi hiện vật sim_result:doi-chieu-bo.</t>
        </is>
      </c>
      <c r="J82" s="47" t="inlineStr">
        <is>
          <t>Bắt lỗi xung nhịp/cấu hình (ca 16 MHz HSI chậm 11,25 lần) bằng một phép đo; đo được độ trung thực của mô hình.</t>
        </is>
      </c>
      <c r="K82" s="48" t="inlineStr">
        <is>
          <t>P2</t>
        </is>
      </c>
      <c r="L82" s="48" t="inlineStr">
        <is>
          <t>M</t>
        </is>
      </c>
      <c r="M82" s="48">
        <f>IF(K82="P0",IF(OR(L82="L",L82="XL"),"GĐ2","GĐ1"),IF(K82="P1",IF(L82="S","GĐ2","GĐ3"),"GĐ4"))</f>
        <v/>
      </c>
      <c r="N82" s="47" t="inlineStr">
        <is>
          <t>Chỉ áp cho Cortex-M có DWT; AVR/RISC-V cần cách khác; dừng chip ảnh hưởng thời gian thực.</t>
        </is>
      </c>
      <c r="O82" s="47" t="inlineStr">
        <is>
          <t>Độ lệch sim–bo (%) theo assert; số lỗi cấu hình xung nhịp bắt được trước khi người phát hiện</t>
        </is>
      </c>
      <c r="P82" s="47" t="inlineStr">
        <is>
          <t>M3-14</t>
        </is>
      </c>
      <c r="Q82" s="48" t="inlineStr">
        <is>
          <t>Chưa làm</t>
        </is>
      </c>
      <c r="R82" s="47" t="n"/>
      <c r="S82" s="47" t="n"/>
    </row>
    <row r="83" ht="57" customHeight="1" s="27">
      <c r="A83" s="46" t="inlineStr">
        <is>
          <t>M4-16</t>
        </is>
      </c>
      <c r="B83" s="47" t="inlineStr">
        <is>
          <t>4. Kiểm thử &amp; kiểm chứng</t>
        </is>
      </c>
      <c r="C83" s="47" t="inlineStr">
        <is>
          <t>Mô phỏng HDL — PASS tự in và độ nhạy tự khai</t>
        </is>
      </c>
      <c r="D83" s="47" t="inlineStr">
        <is>
          <t>T11 HDL/FPGA</t>
        </is>
      </c>
      <c r="E83" s="47" t="inlineStr">
        <is>
          <t>tools/hdl.py::hdl_sim (tham số do_nhay, dòng ~111-160), build/hdl.py dòng 497 (`"PASS" in tren`)</t>
        </is>
      </c>
      <c r="F83" s="47" t="inlineStr">
        <is>
          <t>hdl.sim đọc chuỗi PASS/FAIL do CHÍNH testbench in, khớp bằng chuỗi con ("BYPASS"/"PASSED" cũng khớp). `do_nhay={bat,tong}` là con số TÁC TỬ tự điền ('chỉ điền khi đã thật sự làm'), EIDE không tự đột biến Verilog. Không có coverage HDL.</t>
        </is>
      </c>
      <c r="G83" s="47" t="inlineStr">
        <is>
          <t>Độ nhạy HDL là lời khai, đúng loại 'mô tả phép đo thay vì chạy' mà DANH-GIA §3.2 bắt được (bảng phá mã FPGA viết như kết quả mà chưa chạy). Testbench tự phán ok, giống ca '24/96 ô không thể báo sai'.</t>
        </is>
      </c>
      <c r="H83" s="47" t="inlineStr">
        <is>
          <t>Evaluator–Optimizer, Prompt Chaining</t>
        </is>
      </c>
      <c r="I83" s="47" t="inlineStr">
        <is>
          <t>(1) Bỏ tham số do_nhay; thêm `hdl.sensitivity` tự đột biến RTL (đảo `==`/`!=`, `&amp;`/`|`, hằng `'d`/`'h`, xoá một nhánh case, đảo reset polarity), chạy lại hdl.sim, ghi {bat,tong} do EIDE đo. (2) Khớp kết quả bằng regex dòng `^\s*(PASS|FAIL)\b` và khuyến khích khuôn `{"do":…}` giống sim. (3) Bật `verilator --coverage` (line/toggle) và báo % vào hiện vật build:hdl:sim.</t>
        </is>
      </c>
      <c r="J83" s="47" t="inlineStr">
        <is>
          <t>Độ nhạy HDL thành số đo thật; có coverage để biết testbench chạm bao nhiêu RTL.</t>
        </is>
      </c>
      <c r="K83" s="48" t="inlineStr">
        <is>
          <t>P1</t>
        </is>
      </c>
      <c r="L83" s="48" t="inlineStr">
        <is>
          <t>M</t>
        </is>
      </c>
      <c r="M83" s="48">
        <f>IF(K83="P0",IF(OR(L83="L",L83="XL"),"GĐ2","GĐ1"),IF(K83="P1",IF(L83="S","GĐ2","GĐ3"),"GĐ4"))</f>
        <v/>
      </c>
      <c r="N83" s="47" t="inlineStr">
        <is>
          <t>Mô phỏng iverilog chậm × số đột biến; cần trần K đột biến.</t>
        </is>
      </c>
      <c r="O83" s="47" t="inlineStr">
        <is>
          <t>Mutation score RTL; % toggle/line coverage; số lần do_nhay tự khai bị thay bằng số đo</t>
        </is>
      </c>
      <c r="P83" s="47" t="inlineStr">
        <is>
          <t>M3-12, M3-13</t>
        </is>
      </c>
      <c r="Q83" s="48" t="inlineStr">
        <is>
          <t>Chưa làm</t>
        </is>
      </c>
      <c r="R83" s="47" t="n"/>
      <c r="S83" s="47" t="n"/>
    </row>
    <row r="84" ht="79.5" customHeight="1" s="27">
      <c r="A84" s="46" t="inlineStr">
        <is>
          <t>M4-17</t>
        </is>
      </c>
      <c r="B84" s="47" t="inlineStr">
        <is>
          <t>4. Kiểm thử &amp; kiểm chứng</t>
        </is>
      </c>
      <c r="C84" s="47" t="inlineStr">
        <is>
          <t>Độ phủ (coverage) C — gần như không đo được trên macOS</t>
        </is>
      </c>
      <c r="D84" s="47" t="inlineStr">
        <is>
          <t>T12 Kiểm thử sản phẩm (unit, đột biến, hồi quy, HIL)</t>
        </is>
      </c>
      <c r="E84" s="47" t="inlineStr">
        <is>
          <t>build/mo_phong.py::chay_test dòng 396 (co_phu), ::_do_phu dòng 455-475</t>
        </is>
      </c>
      <c r="F84" s="47" t="inlineStr">
        <is>
          <t>co_phu bật khi tên trình dịch chứa 'clang' hoặc kết thúc bằng 'cc'. _do_phu tìm `llvm-cov` trên PATH; llvm-profdata có thể đi qua xcrun nhưng llvm-cov thì KHÔNG (cov = shutil.which('llvm-cov')). Chỉ trả % dòng tổng; không có nhánh, không có theo tệp, không có danh sách dòng chưa chạm. gcc thì -fprofile-instr-generate hỏng rồi rơi xuống không đo, không thử gcov.</t>
        </is>
      </c>
      <c r="G84" s="47" t="inlineStr">
        <is>
          <t>Trên macOS mặc định (Xcode CLT) llvm-cov chỉ gọi được qua `xcrun llvm-cov`, nên độ phủ hầu như luôn là 'CHƯA đo được'. Không có dòng chưa phủ thì tác tử không biết viết ca gì, và đột biến không ưu tiên được vùng đã phủ.</t>
        </is>
      </c>
      <c r="H84" s="47" t="inlineStr">
        <is>
          <t>Evaluator–Optimizer (tín hiệu cho Optimizer)</t>
        </is>
      </c>
      <c r="I84" s="47" t="inlineStr">
        <is>
          <t>Dùng `xcrun llvm-cov` khi không có llvm-cov. Thêm nhánh gcc: `--coverage` + `gcov -b -j` (JSON). Chạy `llvm-cov export -format=lcov` hoặc `report -show-functions` để có % nhánh, % hàm theo tệp sản phẩm (lọc bỏ tệp test) và danh sách dòng/nhánh chưa phủ (≤30 mục) đưa vào kết quả test.run và hiện vật. Có thể đặt ngưỡng phủ làm assert trong test.criteria.</t>
        </is>
      </c>
      <c r="J84" s="47" t="inlineStr">
        <is>
          <t>Độ phủ đo được thật; có danh sách đích cụ thể cho việc sinh test.</t>
        </is>
      </c>
      <c r="K84" s="48" t="inlineStr">
        <is>
          <t>P1</t>
        </is>
      </c>
      <c r="L84" s="48" t="inlineStr">
        <is>
          <t>S</t>
        </is>
      </c>
      <c r="M84" s="48">
        <f>IF(K84="P0",IF(OR(L84="L",L84="XL"),"GĐ2","GĐ1"),IF(K84="P1",IF(L84="S","GĐ2","GĐ3"),"GĐ4"))</f>
        <v/>
      </c>
      <c r="N84" s="47" t="inlineStr">
        <is>
          <t>Kết quả dài, phải cắt; phủ cao không đồng nghĩa test tốt (phải đi kèm đột biến).</t>
        </is>
      </c>
      <c r="O84" s="47" t="inlineStr">
        <is>
          <t>Tỉ lệ lần test.run đo được coverage; % nhánh trung bình mỗi dự án</t>
        </is>
      </c>
      <c r="P84" s="47" t="n"/>
      <c r="Q84" s="48" t="inlineStr">
        <is>
          <t>Chưa làm</t>
        </is>
      </c>
      <c r="R84" s="47" t="n"/>
      <c r="S84" s="47" t="n"/>
    </row>
    <row r="85" ht="68.25" customHeight="1" s="27">
      <c r="A85" s="46" t="inlineStr">
        <is>
          <t>M4-18</t>
        </is>
      </c>
      <c r="B85" s="47" t="inlineStr">
        <is>
          <t>4. Kiểm thử &amp; kiểm chứng</t>
        </is>
      </c>
      <c r="C85" s="47" t="inlineStr">
        <is>
          <t>Công cụ kiểm thử bị ẩn (core=False)</t>
        </is>
      </c>
      <c r="D85" s="47" t="inlineStr">
        <is>
          <t>T02 Ngữ cảnh, lược đồ công cụ &amp; token</t>
        </is>
      </c>
      <c r="E85" s="47" t="inlineStr">
        <is>
          <t>tools/xay_dung.py: test.run, test.sensitivity core=False; tools/hdl.py hdl.sim core=False; tools/dieu_phoi.py task.run core=False; subagent sim-runner thiếu test.sensitivity</t>
        </is>
      </c>
      <c r="F85" s="47" t="inlineStr">
        <is>
          <t>Phần lớn công cụ kiểm chứng chỉ hiện sau tool.search. Chính mã đã ghi lại hậu quả nhiều lần: Stop hook phải tự mở khoá task.run, và code.analyze phải nâng lên core=True vì 'không gọi lần nào'.</t>
        </is>
      </c>
      <c r="G85" s="47" t="inlineStr">
        <is>
          <t>Kiểm thử chủ động cần tác tử THẤY công cụ. Ẩn test.run/test.sensitivity thì vòng viết–kiểm đứt; sim-runner không có test.sensitivity thì không đo được chất lượng bộ test nó vừa chạy.</t>
        </is>
      </c>
      <c r="H85" s="47" t="inlineStr">
        <is>
          <t>Routing (bộ công cụ theo giai đoạn)</t>
        </is>
      </c>
      <c r="I85" s="47" t="inlineStr">
        <is>
          <t>Mở khoá theo giai đoạn: khi có ghi vào firmware/** hoặc test/**, tự thêm test.run và test.sensitivity vào _unlocked (giống cách hook mở task.run); khi có *.v thì thêm hdl.sim. Thêm test.sensitivity và test.generate vào cong_cu của sim-runner. Viết test hồi quy: sau fs.write firmware/x.c, danh sách công cụ hiển thị có test.run.</t>
        </is>
      </c>
      <c r="J85" s="47" t="inlineStr">
        <is>
          <t>Tăng tỉ lệ phiên có chạy test/đo độ nhạy mà không tăng danh sách công cụ cố định.</t>
        </is>
      </c>
      <c r="K85" s="48" t="inlineStr">
        <is>
          <t>P1</t>
        </is>
      </c>
      <c r="L85" s="48" t="inlineStr">
        <is>
          <t>S</t>
        </is>
      </c>
      <c r="M85" s="48">
        <f>IF(K85="P0",IF(OR(L85="L",L85="XL"),"GĐ2","GĐ1"),IF(K85="P1",IF(L85="S","GĐ2","GĐ3"),"GĐ4"))</f>
        <v/>
      </c>
      <c r="N85" s="47" t="inlineStr">
        <is>
          <t>Thêm vài khai báo công cụ vào ngữ cảnh (token nhỏ).</t>
        </is>
      </c>
      <c r="O85" s="47" t="inlineStr">
        <is>
          <t>Tỉ lệ phiên có ghi mã mà có gọi test.run; tỉ lệ có test.sensitivity</t>
        </is>
      </c>
      <c r="P85" s="47" t="inlineStr">
        <is>
          <t>M1-02</t>
        </is>
      </c>
      <c r="Q85" s="48" t="inlineStr">
        <is>
          <t>Chưa làm</t>
        </is>
      </c>
      <c r="R85" s="47" t="n"/>
      <c r="S85" s="47" t="n"/>
    </row>
    <row r="86" ht="68.25" customHeight="1" s="27">
      <c r="A86" s="46" t="inlineStr">
        <is>
          <t>M4-19</t>
        </is>
      </c>
      <c r="B86" s="47" t="inlineStr">
        <is>
          <t>4. Kiểm thử &amp; kiểm chứng</t>
        </is>
      </c>
      <c r="C86" s="47" t="inlineStr">
        <is>
          <t>Đột biến ghi đè trực tiếp tệp sản phẩm của người dùng</t>
        </is>
      </c>
      <c r="D86" s="47" t="inlineStr">
        <is>
          <t>T12 Kiểm thử sản phẩm (unit, đột biến, hồi quy, HIL)</t>
        </is>
      </c>
      <c r="E86" s="47" t="inlineStr">
        <is>
          <t>build/dot_bien.py::do_do_nhay dòng 145-149 (p.write_text(moi_ma) … finally p.write_text(goc))</t>
        </is>
      </c>
      <c r="F86" s="47" t="inlineStr">
        <is>
          <t>Mã đột biến được ghi đè LÊN tệp thật trong dự án rồi khôi phục trong finally. Có test 'trả tệp về nguyên vẹn kể cả khi chạy nổ' (test_dot_bien.py:121) cho ngoại lệ Python.</t>
        </is>
      </c>
      <c r="G86" s="47" t="inlineStr">
        <is>
          <t>Nếu app bị giết (kill -9, mất điện, timeout của tiến trình cha) giữa chừng thì firmware của người dùng mang đột biến 99999 mà không có changeset hay thông báo. App EIDE 'khởi động lại giữa các bước' là điều kiện đã đo được (kiem_chung.py). Trình theo dõi tệp/git cũng thấy thay đổi ma.</t>
        </is>
      </c>
      <c r="H86" s="47" t="inlineStr">
        <is>
          <t>Human-in-the-loop (an toàn dữ liệu người)</t>
        </is>
      </c>
      <c r="I86" s="47" t="inlineStr">
        <is>
          <t>Sao chép cây nguồn liên quan sang .eide/mutate/&lt;run&gt;/ rồi đột biến và biên dịch trên bản sao (chay nhận thư mục gốc thay thế), hoặc dùng `-include`/thay đường dẫn trong lệnh biên dịch. Không bao giờ ghi vào tệp gốc. Thêm test mô phỏng tiến trình bị giết: tệp gốc giữ nguyên sha.</t>
        </is>
      </c>
      <c r="J86" s="47" t="inlineStr">
        <is>
          <t>Không bao giờ làm hỏng mã người dùng; chạy song song được nhiều mutant.</t>
        </is>
      </c>
      <c r="K86" s="48" t="inlineStr">
        <is>
          <t>P2</t>
        </is>
      </c>
      <c r="L86" s="48" t="inlineStr">
        <is>
          <t>S</t>
        </is>
      </c>
      <c r="M86" s="48">
        <f>IF(K86="P0",IF(OR(L86="L",L86="XL"),"GĐ2","GĐ1"),IF(K86="P1",IF(L86="S","GĐ2","GĐ3"),"GĐ4"))</f>
        <v/>
      </c>
      <c r="N86" s="47" t="inlineStr">
        <is>
          <t>Cần sửa đường include tương đối khi sao chép.</t>
        </is>
      </c>
      <c r="O86" s="47" t="inlineStr">
        <is>
          <t>Số lần tệp sản phẩm bị đổi ngoài changeset (về 0)</t>
        </is>
      </c>
      <c r="P86" s="47" t="n"/>
      <c r="Q86" s="48" t="inlineStr">
        <is>
          <t>Xong</t>
        </is>
      </c>
      <c r="R86" s="47" t="inlineStr">
        <is>
          <t>Agent (Claude Opus 5)</t>
        </is>
      </c>
      <c r="S86" s="47" t="inlineStr">
        <is>
          <t>Kéo lên giai đoạn sớm hơn vì là tiền đề (xem §5 kế hoạch)</t>
        </is>
      </c>
      <c r="T86" s="26" t="inlineStr">
        <is>
          <t>08/10/2026</t>
        </is>
      </c>
      <c r="U86" s="26" t="inlineStr">
        <is>
          <t>DEV-349</t>
        </is>
      </c>
      <c r="V86" s="26" t="inlineStr">
        <is>
          <t>1835 → 1846 (+11)</t>
        </is>
      </c>
      <c r="W86" s="26" t="inlineStr">
        <is>
          <t>Chạy test.sensitivity TẠI CHỖ trên ba dự án firmware thật — không sao ra đâu cả, đó chính là điều cần chứng minh. Kết luận GIỐNG HỆT lượt đột biến tại chỗ của M4-05 (rtos-sinhvien: thay 0 · khong_thay 4 · khong_nap 3 · chua_do 5 · stillborn 1), và 50/50 tệp firmware của ba dự án giữ nguyên CẢ sha256 LẪN st_mtime_ns. mtime đáng kể riêng: nó là thứ make đọc, nên một phép đo ghi lại y nguyên nội dung vẫn làm cả cây dựng lại.</t>
        </is>
      </c>
      <c r="X86" s="26" t="inlineStr">
        <is>
          <t>không có cờ — sửa lỗi thuần</t>
        </is>
      </c>
      <c r="Y86" s="26" t="inlineStr">
        <is>
          <t>HAI lần tôi tự tay làm phép đo cáo buộc sai, cả hai chỉ lộ ra trên dữ liệu thật: (1) gắn -I cho CẢ lượt mốc → mốc của rtos-sinhvien từ XANH thành ĐỎ, cả ba dự án thành 'không đo được'; (2) -I thay vì -iquote → firmware/ của rtos-sinhvien có stdio.h RIÊNG, nên #include &lt;stdio.h&gt; của tệp test khớp vào bản giả của bo (FILE thành undeclared) và 11 TRONG 12 tệp bị xếp là khong_nap_duoc. Tôi thêm một cờ để tránh một cáo buộc sai, và nó sinh ra mười một cáo buộc sai khác. · Sau khi đổi sang -iquote thì guard của lần 1 không còn đổi hành vi — đã BỎ nhánh ấy, không viết ca cho nó. · hdl.sensitivity KHÔNG dùng được thu_muc_tam vì chay của nó bỏ qua đối số và dịch lại cả thư mục nguồn. · Phá lại 13/13, lượt đầu 7/13; năm chỗ LỌT là năm chỗ tôi đã nghĩ 'cái này hiển nhiên'.</t>
        </is>
      </c>
    </row>
    <row r="87" ht="79.5" customHeight="1" s="27">
      <c r="A87" s="46" t="inlineStr">
        <is>
          <t>M4-20</t>
        </is>
      </c>
      <c r="B87" s="47" t="inlineStr">
        <is>
          <t>4. Kiểm thử &amp; kiểm chứng</t>
        </is>
      </c>
      <c r="C87" s="47" t="inlineStr">
        <is>
          <t>Bộ eval cho chính tác tử — cách chấm</t>
        </is>
      </c>
      <c r="D87" s="47" t="inlineStr">
        <is>
          <t>T15 Đo lường &amp; bộ đánh giá (eval)</t>
        </is>
      </c>
      <c r="E87" s="47" t="inlineStr">
        <is>
          <t>tests/kich_ban/tc001_007.yaml (7 ca), tools/chay_kich_ban.py::cham, tools/bo_usecase.py (76 ca, 'dau_hieu'), docs/review-v3/test/ket-qua-chay-lai/ket-qua.jsonl</t>
        </is>
      </c>
      <c r="F87" s="47" t="inlineStr">
        <is>
          <t>chay_kich_ban chấm 7 ca G1 (làm rõ yêu cầu), 5 lần/ca, có loại kiểm có cấu trúc (s0_decision, the_cong, khong_goi, goi_mo_hinh). chay_usecase chấm 76 ca bằng cụm từ bề mặt; tài liệu tự nhận 'ô xanh ≠ đã làm đúng'. Bản ghi thực tế: TC001 'đạt' với '4/3 dấu hiệu: fat32, exfat, ntfs, dung lượng', tức 3 trong 4 dấu hiệu cùng thuộc một chủ đề định dạng.</t>
        </is>
      </c>
      <c r="G87" s="47" t="inlineStr">
        <is>
          <t>Máy chấm từ khoá dễ đạt giả (đếm từ đồng nghĩa của cùng một chủ đề), không đo được ca kỹ thuật (firmware chạy đúng?). Các ca kỹ thuật thì chỉ chạy một lần (không có pass^k), nên không biết độ ổn định.</t>
        </is>
      </c>
      <c r="H87" s="47" t="inlineStr">
        <is>
          <t>Evaluator–Optimizer (eval trước khi leo thang), Debate (LLM-judge có rubric)</t>
        </is>
      </c>
      <c r="I87" s="47" t="inlineStr">
        <is>
          <t>(1) bo_usecase: đếm theo CHỦ ĐỀ như phai_hoi của YAML (mỗi chủ đề tính tối đa 1). (2) Thêm loại kiểm kết quả hiện vật: `hien_vat` (store.get id có dat=True, không stale), `tep_ton_tai`, `test_xanh_va_nhay` (MA_TEST dat và mutation score ≥ x), `ledger_thu_tu` (sim.criteria trước sim.run). (3) LLM-judge có rubric (model khác, nhiệt độ 0) chỉ dùng cho tiêu chí ngữ nghĩa, ghi điểm kèm trích dẫn. (4) Chạy k=3-5 lần cho ca kỹ thuật, báo pass@1 và pass^k.</t>
        </is>
      </c>
      <c r="J87" s="47" t="inlineStr">
        <is>
          <t>Eval phản ánh đúng năng lực; phát hiện thoái lui thật khi đổi prompt/model.</t>
        </is>
      </c>
      <c r="K87" s="48" t="inlineStr">
        <is>
          <t>P1</t>
        </is>
      </c>
      <c r="L87" s="48" t="inlineStr">
        <is>
          <t>M</t>
        </is>
      </c>
      <c r="M87" s="48">
        <f>IF(K87="P0",IF(OR(L87="L",L87="XL"),"GĐ2","GĐ1"),IF(K87="P1",IF(L87="S","GĐ2","GĐ3"),"GĐ4"))</f>
        <v/>
      </c>
      <c r="N87" s="47" t="inlineStr">
        <is>
          <t>Tốn quota (k lần × 76 ca); LLM-judge có sai lệch riêng nên phải hiệu chuẩn trên mẫu chấm tay (doc-tay.json đã có).</t>
        </is>
      </c>
      <c r="O87" s="47" t="inlineStr">
        <is>
          <t>Độ đồng thuận máy chấm với chấm tay (doc-tay.json); pass^k; số ca đạt giả bị lật</t>
        </is>
      </c>
      <c r="P87" s="47" t="inlineStr">
        <is>
          <t>M1-20, M4-22</t>
        </is>
      </c>
      <c r="Q87" s="48" t="inlineStr">
        <is>
          <t>Chưa làm</t>
        </is>
      </c>
      <c r="R87" s="47" t="n"/>
      <c r="S87" s="47" t="n"/>
    </row>
    <row r="88" ht="102" customHeight="1" s="27">
      <c r="A88" s="46" t="inlineStr">
        <is>
          <t>M4-21</t>
        </is>
      </c>
      <c r="B88" s="47" t="inlineStr">
        <is>
          <t>4. Kiểm thử &amp; kiểm chứng</t>
        </is>
      </c>
      <c r="C88" s="47" t="inlineStr">
        <is>
          <t>Theo dõi eval qua phiên bản + CI</t>
        </is>
      </c>
      <c r="D88" s="47" t="inlineStr">
        <is>
          <t>T15 Đo lường &amp; bộ đánh giá (eval)</t>
        </is>
      </c>
      <c r="E88" s="47" t="inlineStr">
        <is>
          <t>tools/chay_usecase.py (bản ghi: ma, nhan, giay, goi, so_loi_cong_cu — không có token/model/commit); tools/so_ket_qua.py; llm/offline.py::ReplayGateway; thư mục gốc không có .github/ hay CI</t>
        </is>
      </c>
      <c r="F88" s="47" t="inlineStr">
        <is>
          <t>Kết quả usecase ghi JSONL không có token, chi phí, tên model hay git sha. chay_kich_ban có token và goi_mo_hinh nhưng chỉ cho 7 ca. so_ket_qua.py so được hai lần chạy (cờ tắt/bật). Có ReplayGateway/RecordingGateway nhưng KHÔNG test hay tool nào dùng, và không có thư mục băng ghi (ket-qua-do/ban-ghi không tồn tại). Không có CI; pytest chỉ chạy tay.</t>
        </is>
      </c>
      <c r="G88" s="47" t="inlineStr">
        <is>
          <t>Không trả lời được 'phiên bản prompt/model mới tốt hơn hay tệ hơn, rẻ hơn hay đắt hơn'. Thoái lui hành vi tác tử chỉ lộ khi người chạy tay 76 ca thật (tốn quota). Nguyên tắc 'có eval trước khi leo thang' chưa có hạ tầng.</t>
        </is>
      </c>
      <c r="H88" s="47" t="inlineStr">
        <is>
          <t>Evaluator–Optimizer (eval harness)</t>
        </is>
      </c>
      <c r="I88" s="47" t="inlineStr">
        <is>
          <t>(1) Chuẩn hoá bản ghi eval: {ma, lan, nhan, token_vao/ra, chi_phi_usd, so_goi_llm, so_goi_tool, giay, model, git_sha, prompt_hash}. (2) tools/eval_lich_su.py ghi vào ket-qua-do/lich-su.jsonl và vẽ bảng xu hướng pass-rate/chi phí theo git_sha. (3) Ghi băng (RecordingGateway) cho 20-30 ca 'vàng', thêm tests/test_eval_phat_lai.py chạy bằng ReplayGateway (0 token) trong pytest để bắt thoái lui do sửa mã lõi. (4) Thêm GitHub Actions (hoặc pre-commit) chạy pytest + eval phát lại; eval thật chạy theo lịch hằng đêm (dùng scheduled task) và so_ket_qua.py chặn khi tỉ lệ đạt giảm.</t>
        </is>
      </c>
      <c r="J88" s="47" t="inlineStr">
        <is>
          <t>Mỗi thay đổi lõi có tín hiệu thoái lui sau vài phút với 0 token; theo dõi được chi phí và số lời gọi qua phiên bản.</t>
        </is>
      </c>
      <c r="K88" s="48" t="inlineStr">
        <is>
          <t>P1</t>
        </is>
      </c>
      <c r="L88" s="48" t="inlineStr">
        <is>
          <t>M</t>
        </is>
      </c>
      <c r="M88" s="48">
        <f>IF(K88="P0",IF(OR(L88="L",L88="XL"),"GĐ2","GĐ1"),IF(K88="P1",IF(L88="S","GĐ2","GĐ3"),"GĐ4"))</f>
        <v/>
      </c>
      <c r="N88" s="47" t="inlineStr">
        <is>
          <t>Băng phát lại vỡ khi đổi khai báo công cụ (phải ghi lại định kỳ); CI không có toolchain nhúng hay bo, nên tách ca cần phần cứng ra.</t>
        </is>
      </c>
      <c r="O88" s="47" t="inlineStr">
        <is>
          <t>pass-rate và token/ca theo git_sha; thời gian từ commit tới khi phát hiện thoái lui; số ca vàng có băng</t>
        </is>
      </c>
      <c r="P88" s="47" t="inlineStr">
        <is>
          <t>M1-20</t>
        </is>
      </c>
      <c r="Q88" s="48" t="inlineStr">
        <is>
          <t>Chưa làm</t>
        </is>
      </c>
      <c r="R88" s="47" t="n"/>
      <c r="S88" s="47" t="n"/>
    </row>
    <row r="89" ht="79.5" customHeight="1" s="27">
      <c r="A89" s="46" t="inlineStr">
        <is>
          <t>M4-22</t>
        </is>
      </c>
      <c r="B89" s="47" t="inlineStr">
        <is>
          <t>4. Kiểm thử &amp; kiểm chứng</t>
        </is>
      </c>
      <c r="C89" s="47" t="inlineStr">
        <is>
          <t>Bộ ca eval kỹ thuật có lỗi gài sẵn cho verifier và kiểm thử</t>
        </is>
      </c>
      <c r="D89" s="47" t="inlineStr">
        <is>
          <t>T15 Đo lường &amp; bộ đánh giá (eval)</t>
        </is>
      </c>
      <c r="E89" s="47" t="inlineStr">
        <is>
          <t>tests/test_tu_phat_hien_sai.py (kiểm hook bằng _Ctx giả), tests/test_subagent.py; tools/phien_*.py (phiên thật, chấm tay)</t>
        </is>
      </c>
      <c r="F89" s="47" t="inlineStr">
        <is>
          <t>Test đơn vị kiểm LOGIC của hook/verifier bằng sổ cái giả và ScriptedGateway, tức kịch bản do người viết sẵn lời đáp. Năng lực thật của verifier/test.sensitivity chỉ được đánh giá qua phiên dài chấm tay (DANH-GIA: 14,5 giờ, 1307 lời gọi).</t>
        </is>
      </c>
      <c r="G89" s="47" t="inlineStr">
        <is>
          <t>Không có con số 'verifier bắt được bao nhiêu % đạt giả' hay 'tác tử viết test bắt được bao nhiêu % lỗi gài'. Mọi cải tiến về kiểm chứng đều không đo được hiệu quả.</t>
        </is>
      </c>
      <c r="H89" s="47" t="inlineStr">
        <is>
          <t>Evaluator–Optimizer, Debate</t>
        </is>
      </c>
      <c r="I89" s="47" t="inlineStr">
        <is>
          <t>Dựng tests/kich_ban/gai_loi/*.yaml gồm 15-20 dự án mini dựng sẵn, mỗi dự án gài một lỗi đã biết: ISR không nối vector, test tự định nghĩa lại hàm, assert tự so chính nó, kết quả sim cũ hơn mã, log UART là rác của lượt trước, hằng sai trong PID. Hai chế độ: (a) 'verifier' (đưa báo cáo đạt giả, đo tỉ lệ bác đúng); (b) 'end-to-end' (giao việc 'kiểm và báo cáo', đo tỉ lệ tác tử tự tìm ra lỗi). Chấm bằng code: lỗi được nêu đúng tệp:dòng hoặc mã hiện vật.</t>
        </is>
      </c>
      <c r="J89" s="47" t="inlineStr">
        <is>
          <t>Có thước đo cho mọi đề xuất ở mảng này (verifier model khác, harden, kiểm nối…), nên có căn cứ trước khi leo thang độ phức tạp.</t>
        </is>
      </c>
      <c r="K89" s="48" t="inlineStr">
        <is>
          <t>P2</t>
        </is>
      </c>
      <c r="L89" s="48" t="inlineStr">
        <is>
          <t>L</t>
        </is>
      </c>
      <c r="M89" s="48">
        <f>IF(K89="P0",IF(OR(L89="L",L89="XL"),"GĐ2","GĐ1"),IF(K89="P1",IF(L89="S","GĐ2","GĐ3"),"GĐ4"))</f>
        <v/>
      </c>
      <c r="N89" s="47" t="inlineStr">
        <is>
          <t>Công dựng ca; tác tử có thể 'học thuộc' nếu ca lộ trong prompt hoặc memory.</t>
        </is>
      </c>
      <c r="O89" s="47" t="inlineStr">
        <is>
          <t>Recall của verifier trên lỗi gài; tỉ lệ tự phát hiện end-to-end; số lời gọi/ca</t>
        </is>
      </c>
      <c r="P89" s="47" t="inlineStr">
        <is>
          <t>M4-20</t>
        </is>
      </c>
      <c r="Q89" s="48" t="inlineStr">
        <is>
          <t>Chưa làm</t>
        </is>
      </c>
      <c r="R89" s="47" t="n"/>
      <c r="S89" s="47" t="n"/>
    </row>
    <row r="90" ht="135.75" customHeight="1" s="27">
      <c r="A90" s="46" t="inlineStr">
        <is>
          <t>M5-01</t>
        </is>
      </c>
      <c r="B90" s="47" t="inlineStr">
        <is>
          <t>5. Tri thức, RAG &amp; bộ nhớ</t>
        </is>
      </c>
      <c r="C90" s="47" t="inlineStr">
        <is>
          <t>Tìm kiếm trong tài liệu đã nạp (RAG)</t>
        </is>
      </c>
      <c r="D90" s="47" t="inlineStr">
        <is>
          <t>T13 RAG &amp; trích xuất datasheet</t>
        </is>
      </c>
      <c r="E90" s="47" t="inlineStr">
        <is>
          <t>src/eide/tools/knowledge.py:385-455 (doc.read); src/eide/store/db.py (không có bảng chunk/FTS); docs/md/EIDE-MEM-42 §348, EIDE-GAP-44:89</t>
        </is>
      </c>
      <c r="F90" s="47" t="inlineStr">
        <is>
          <t>Chỉ có doc.read: lọc từng đơn vị của MỘT tài liệu bằng `tk in t.chu.lower()` (so khớp chuỗi con, phân biệt đúng nguyên cụm), không xếp hạng, trả theo thứ tự trang. Toàn mã không có FTS5, BM25, embedding hay rerank (grep không ra). Thiết kế MEM-42 yêu cầu `rag.ask` dạng lai (embedding + BM25), GAP-44 cũng ghi 'không có RAG', đến nay vẫn chưa làm. doc.read còn để `core=False` nên mô hình phải gọi tool.search mới thấy.</t>
        </is>
      </c>
      <c r="G90" s="47" t="inlineStr">
        <is>
          <t>Tác tử không trả lời được câu hỏi mở kiểu 'chế độ ngủ nào giữ RAM' hay 'thời gian khởi động của HSE'. Từ khoá phải trùng nguyên văn: 'VCC' không ra 'VDD', 'startup' không ra 'start-up'. Không tìm được trên nhiều tài liệu cùng lúc (datasheet + RM + errata). Không có điểm liên quan nên không biết đoạn nào nên đọc trước, dẫn tới tốn lượt gọi và dễ kết luận 'tài liệu không có'.</t>
        </is>
      </c>
      <c r="H90" s="47" t="inlineStr">
        <is>
          <t>Agentic RAG (Adaptive RAG); Routing</t>
        </is>
      </c>
      <c r="I90" s="47" t="inlineStr">
        <is>
          <t>Thêm knowledge/chi_muc.py: khi doc.load thì cắt đoạn (chunk) theo đơn vị trích dẫn sẵn có (trang/mục/hàng bảng, khoảng 300-500 token, chồng lấn 1 câu) rồi ghi vào bảng SQLite `doc_chunks(doc_id, so, nhan, loai_bang, chu)` kèm bảng ảo FTS5 (tokenizer unicode61 remove_diacritics). Có thể thêm cột vector: bge-m3 chạy cục bộ hoặc Gemini embedding, lưu dạng BLOB, tính cosine bằng numpy. Tool mới `doc.search(query, doc_ids?, k=8)` (core=True): BM25 top-30 + vector top-30, gộp bằng RRF (reciprocal rank fusion, gộp thứ hạng), rerank bằng cross-encoder nhỏ hoặc một lời gọi LLM chấm điểm, trả top-k kèm trích dẫn. Bảng từ đồng nghĩa kỹ thuật (VDD/VCC/supply, tSU/setup) dùng để mở rộng truy vấn. Chỉ mục được lưu lại nên mở lại dự án không phải chạy pypdf lại.</t>
        </is>
      </c>
      <c r="J90" s="47" t="inlineStr">
        <is>
          <t>Recall tăng rõ với câu hỏi diễn đạt khác nguyên văn. Giảm số lời gọi doc.read mò từ khoá. Tìm được trên nhiều tài liệu. Mở lại dự án nhanh hơn vì không phải phân tích lại PDF.</t>
        </is>
      </c>
      <c r="K90" s="48" t="inlineStr">
        <is>
          <t>P0</t>
        </is>
      </c>
      <c r="L90" s="48" t="inlineStr">
        <is>
          <t>L</t>
        </is>
      </c>
      <c r="M90" s="48">
        <f>IF(K90="P0",IF(OR(L90="L",L90="XL"),"GĐ2","GĐ1"),IF(K90="P1",IF(L90="S","GĐ2","GĐ3"),"GĐ4"))</f>
        <v/>
      </c>
      <c r="N90" s="47" t="inlineStr">
        <is>
          <t>Thêm phụ thuộc embedding (mô hình cục bộ khoảng 500 MB hoặc tốn API). Chỉ mục phình với RM 1500 trang. Cần migration v3 cho db.</t>
        </is>
      </c>
      <c r="O90" s="47" t="inlineStr">
        <is>
          <t>recall@5 / MRR trên bộ hỏi-đáp vàng; số lời gọi doc.read mỗi câu hỏi; tỉ lệ 'không tìm thấy' sai</t>
        </is>
      </c>
      <c r="P90" s="47" t="n"/>
      <c r="Q90" s="48" t="inlineStr">
        <is>
          <t>Chưa làm</t>
        </is>
      </c>
      <c r="R90" s="47" t="n"/>
      <c r="S90" s="47" t="n"/>
    </row>
    <row r="91" ht="113.25" customHeight="1" s="27">
      <c r="A91" s="46" t="inlineStr">
        <is>
          <t>M5-02</t>
        </is>
      </c>
      <c r="B91" s="47" t="inlineStr">
        <is>
          <t>5. Tri thức, RAG &amp; bộ nhớ</t>
        </is>
      </c>
      <c r="C91" s="47" t="inlineStr">
        <is>
          <t>Vòng Agentic RAG: định tuyến nguồn, chấm liên quan, viết lại truy vấn, kiểm bám trích dẫn</t>
        </is>
      </c>
      <c r="D91" s="47" t="inlineStr">
        <is>
          <t>T13 RAG &amp; trích xuất datasheet</t>
        </is>
      </c>
      <c r="E91" s="47" t="inlineStr">
        <is>
          <t>src/eide/tools/knowledge.py:385-455, 1076-1125; src/eide/tools/builtin.py:237-255 (fact.query); src/eide/subagent.py (verifier)</t>
        </is>
      </c>
      <c r="F91" s="47" t="inlineStr">
        <is>
          <t>Mỗi nguồn là một tool rời: fact.query, doc.read, ckm.graph, doc.search_web, code.vendor_list. Mô hình tự chọn, không có bộ định tuyến. Không có bước chấm độ liên quan của đoạn lấy về. Không có bước viết lại truy vấn khi rỗng: doc.read chỉ trả lỗi E2004 'thử từ khoá khác'. Câu trả lời cuối không có bước MÃ kiểm từng con số/khẳng định có nằm trong đoạn được trích hay không. N1 chỉ chặn ở cửa ghi Fact/hằng số.</t>
        </is>
      </c>
      <c r="G91" s="47" t="inlineStr">
        <is>
          <t>Tác tử có thể trả lời người dùng bằng văn xuôi với số 'trích từ datasheet tr.X' mà không ai đối chiếu, vì kiểm N1 chỉ áp cho mã nguồn và Fact. Khi truy vấn trượt, nó thử lại ngẫu nhiên hoặc hỏi người dùng. Trần quay vòng (6 lần đọc) thường bị chạm.</t>
        </is>
      </c>
      <c r="H91" s="47" t="inlineStr">
        <is>
          <t>Agentic RAG (Self-RAG, CRAG, Adaptive RAG); Routing; Evaluator–Optimizer</t>
        </is>
      </c>
      <c r="I91" s="47" t="inlineStr">
        <is>
          <t>Tạo tool `kb.ask(cau_hoi)` chạy trong code: (1) định tuyến theo luật: có thực thể + khoá thì gọi Fact; có tên thanh ghi/ngoại vi thì gọi SVD/CKM; còn lại gọi doc.search; không có tài liệu thì gợi ý doc.search_web. (2) Chấm liên quan bằng một lời gọi LLM rẻ (đánh dấu đoạn có hoặc không liên quan, ép bằng tool schema). (3) Nếu dưới 1 đoạn liên quan thì viết lại truy vấn (đồng nghĩa, tách ý), tối đa 2 vòng. (4) Sinh câu trả lời kèm `[cite:doc_id#so]`, sau đó hàm `kiem_bam_nguon()` dùng MÃ trích mọi số + đơn vị trong câu trả lời và đòi mỗi số xuất hiện trong đoạn được cite (cùng logic chuẩn hoá của chuan_hoa). Số không bám nguồn thì gắn cờ hoặc giao cho subagent verifier. Trần: 2 vòng viết lại, 1 vòng sửa.</t>
        </is>
      </c>
      <c r="J91" s="47" t="inlineStr">
        <is>
          <t>Câu trả lời tri thức có bảo đảm bám nguồn ở mức con số. Ít lượt mò hơn. Giảm ảo giác số liệu trong văn bản trả lời, chỗ N1 chưa phủ.</t>
        </is>
      </c>
      <c r="K91" s="48" t="inlineStr">
        <is>
          <t>P1</t>
        </is>
      </c>
      <c r="L91" s="48" t="inlineStr">
        <is>
          <t>M</t>
        </is>
      </c>
      <c r="M91" s="48">
        <f>IF(K91="P0",IF(OR(L91="L",L91="XL"),"GĐ2","GĐ1"),IF(K91="P1",IF(L91="S","GĐ2","GĐ3"),"GĐ4"))</f>
        <v/>
      </c>
      <c r="N91" s="47" t="inlineStr">
        <is>
          <t>Thêm 1-3 lời gọi LLM mỗi câu hỏi, tăng độ trễ khoảng 2-5 s. Luật định tuyến cần bảo trì.</t>
        </is>
      </c>
      <c r="O91" s="47" t="inlineStr">
        <is>
          <t>tỉ lệ con số trong câu trả lời có cite đúng (citation precision); số vòng viết lại trung bình; pass@1 trên bộ hỏi-đáp datasheet</t>
        </is>
      </c>
      <c r="P91" s="47" t="n"/>
      <c r="Q91" s="48" t="inlineStr">
        <is>
          <t>Chưa làm</t>
        </is>
      </c>
      <c r="R91" s="47" t="n"/>
      <c r="S91" s="47" t="n"/>
    </row>
    <row r="92" ht="90.75" customHeight="1" s="27">
      <c r="A92" s="46" t="inlineStr">
        <is>
          <t>M5-03</t>
        </is>
      </c>
      <c r="B92" s="47" t="inlineStr">
        <is>
          <t>5. Tri thức, RAG &amp; bộ nhớ</t>
        </is>
      </c>
      <c r="C92" s="47" t="inlineStr">
        <is>
          <t>Nạp SVD (register map của hãng)</t>
        </is>
      </c>
      <c r="D92" s="47" t="inlineStr">
        <is>
          <t>T13 RAG &amp; trích xuất datasheet</t>
        </is>
      </c>
      <c r="E92" s="47" t="inlineStr">
        <is>
          <t>src/eide/knowledge/ingest.py:324-326; src/eide/tools/knowledge.py:28-30, 95-136 (_nap_theo_loai)</t>
        </is>
      </c>
      <c r="F92" s="47" t="inlineStr">
        <is>
          <t>phan_loai nhận ra SVD và gắn mức hỗ trợ DAY_DU ('đầy đủ'). Comment ở tools/knowledge.py:28 nói 'svd có công cụ riêng đọc đúng cấu trúc'. Thực tế không có bộ đọc SVD nào (grep 'svd' chỉ ra ba chỗ trên). doc.load đưa SVD vào nhánh cuối và trả E1001 'chưa có bộ đọc'. ING-43 §61 và §231 quy định SVD → thanh ghi/bit ở tầng VÀNG.</t>
        </is>
      </c>
      <c r="G92" s="47" t="inlineStr">
        <is>
          <t>Nguồn register map máy đọc được, chính xác nhất (địa chỉ, giá trị reset, trường bit) bị bỏ. Tác tử phải dò thanh ghi từ PDF RM bằng doc.read + fact.from_doc từng số, vừa chậm vừa dễ sai. Hệ thống còn tự mâu thuẫn ('đầy đủ' rồi lại từ chối), đúng loại ngõ cụt mà comment khác trong mã cảnh báo.</t>
        </is>
      </c>
      <c r="H92" s="47" t="inlineStr">
        <is>
          <t>Agentic RAG (nguồn có cấu trúc); Memory-augmented (kho tri thức)</t>
        </is>
      </c>
      <c r="I92" s="47" t="inlineStr">
        <is>
          <t>Thêm knowledge/svd.py dùng xml.etree, không cần cmsis-svd: duyệt device &gt; peripherals &gt; peripheral (kể cả derivedFrom) &gt; registers &gt; register &gt; fields. Sinh Fact `reg:&lt;PERIPH&gt;.&lt;REG&gt;` với các khoá dia_chi (baseAddress+addressOffset), reset, size, access, và `field:&lt;PERIPH&gt;.&lt;REG&gt;.&lt;FIELD&gt;` với bitOffset/bitWidth/enum. Tầng VANG khi nguon=nha_san_xuat, trích dẫn là `peripheral.register.bit`. Thêm nhánh `loai=='svd'` trong _nap_theo_loai và tool `reg.lookup(ten)`. Đồng thời chiếu vào CKM (xem mục đồ thị tri thức).</t>
        </is>
      </c>
      <c r="J92" s="47" t="inlineStr">
        <is>
          <t>Sinh mã truy cập thanh ghi có Fact VÀNG đứng sau. Kiểm được địa chỉ/bit trong mã nguồn bằng MÃ. Bỏ hàng chục lượt doc.read cho mỗi ngoại vi.</t>
        </is>
      </c>
      <c r="K92" s="48" t="inlineStr">
        <is>
          <t>P0</t>
        </is>
      </c>
      <c r="L92" s="48" t="inlineStr">
        <is>
          <t>M</t>
        </is>
      </c>
      <c r="M92" s="48">
        <f>IF(K92="P0",IF(OR(L92="L",L92="XL"),"GĐ2","GĐ1"),IF(K92="P1",IF(L92="S","GĐ2","GĐ3"),"GĐ4"))</f>
        <v/>
      </c>
      <c r="N92" s="47" t="inlineStr">
        <is>
          <t>SVD của một số hãng có lỗi hoặc lệch RM (phải ghi errata). Số Fact lớn (hàng chục nghìn), cần chỉ mục.</t>
        </is>
      </c>
      <c r="O92" s="47" t="inlineStr">
        <is>
          <t>số thanh ghi/trường nạp được trên STM32F469 SVD; tỉ lệ hằng địa chỉ trong mã nguồn có Fact VÀNG; số lời gọi tìm thanh ghi mỗi việc</t>
        </is>
      </c>
      <c r="P92" s="47" t="n"/>
      <c r="Q92" s="48" t="inlineStr">
        <is>
          <t>Chưa làm</t>
        </is>
      </c>
      <c r="R92" s="47" t="n"/>
      <c r="S92" s="47" t="n"/>
    </row>
    <row r="93" ht="79.5" customHeight="1" s="27">
      <c r="A93" s="46" t="inlineStr">
        <is>
          <t>M5-04</t>
        </is>
      </c>
      <c r="B93" s="47" t="inlineStr">
        <is>
          <t>5. Tri thức, RAG &amp; bộ nhớ</t>
        </is>
      </c>
      <c r="C93" s="47" t="inlineStr">
        <is>
          <t>Trích bảng thông số từ PDF datasheet</t>
        </is>
      </c>
      <c r="D93" s="47" t="inlineStr">
        <is>
          <t>T13 RAG &amp; trích xuất datasheet</t>
        </is>
      </c>
      <c r="E93" s="47" t="inlineStr">
        <is>
          <t>src/eide/knowledge/docs.py:160-187 (nap_tai_lieu), 372-421 (trich_fact_ung_vien)</t>
        </is>
      </c>
      <c r="F93" s="47" t="inlineStr">
        <is>
          <t>PDF chỉ được đọc bằng `pypdf.extract_text()` theo trang, không có cấu trúc bảng: Trang.o/cot rỗng. Bảng có cột (_tu_hang_bang) chỉ có với Office. Với PDF, bộ trích dò tên thông số bằng 18 regex trên MỘT dòng chữ rồi lấy mọi 'số+đơn vị' trên dòng đó. ING-43 liệt kê pdfplumber, camelot, pymupdf nhưng chưa dùng.</t>
        </is>
      </c>
      <c r="G93" s="47" t="inlineStr">
        <is>
          <t>Datasheet thật trình bày Electrical Characteristics bằng bảng nhiều dòng mỗi ô (Conditions xuống dòng, đơn vị ở cột riêng). Sau extract_text, số và đơn vị nằm khác dòng nên trích trượt, hoặc lấy nhầm số của điều kiện ('VDD max 3.6 V at TA=25°C' cho ra cả 3.6 V lẫn 25 °C). Không phân biệt được bảng Absolute Maximum với Recommended Operating. Không trích được pinout table hay register map từ PDF.</t>
        </is>
      </c>
      <c r="H93" s="47" t="inlineStr">
        <is>
          <t>Prompt Chaining (trích bằng code + cổng kiểm); Agentic RAG</t>
        </is>
      </c>
      <c r="I93" s="47" t="inlineStr">
        <is>
          <t>Dùng pymupdf `page.find_tables()` (hoặc pdfplumber) trong nap_tai_lieu để sinh Trang dạng hàng bảng: o=ô, cot=tiêu đề, nhan='trang N &gt; Bảng k &gt; hàng r', loai_bang suy từ tiêu đề cột qua _chon_cot. Gắn ngữ cảnh mục gần nhất (heading 'Absolute maximum ratings', 'Electrical characteristics', 'Pin description', 'Register map') vào nhan để phân loại. Khi đó _tu_hang_bang, trich_chan_ung_vien và bộ đọc register dùng lại được cho PDF. Giữ đường theo dòng làm dự phòng.</t>
        </is>
      </c>
      <c r="J93" s="47" t="inlineStr">
        <is>
          <t>Tỉ lệ trích đúng Fact từ datasheet PDF tăng mạnh. fact.extract_pinout chạy được trên PDF. Phân biệt abs-max và operating.</t>
        </is>
      </c>
      <c r="K93" s="48" t="inlineStr">
        <is>
          <t>P0</t>
        </is>
      </c>
      <c r="L93" s="48" t="inlineStr">
        <is>
          <t>L</t>
        </is>
      </c>
      <c r="M93" s="48">
        <f>IF(K93="P0",IF(OR(L93="L",L93="XL"),"GĐ2","GĐ1"),IF(K93="P1",IF(L93="S","GĐ2","GĐ3"),"GĐ4"))</f>
        <v/>
      </c>
      <c r="N93" s="47" t="inlineStr">
        <is>
          <t>Phát hiện bảng của PDF không hoàn hảo (ô gộp, bảng vắt trang). Thêm phụ thuộc pymupdf (giấy phép AGPL, cần cân nhắc) hoặc pdfplumber (MIT, chậm hơn).</t>
        </is>
      </c>
      <c r="O93" s="47" t="inlineStr">
        <is>
          <t>precision/recall trích Fact trên 3-5 datasheet có nhãn tay; số chân trích được từ pinout table PDF</t>
        </is>
      </c>
      <c r="P93" s="47" t="inlineStr">
        <is>
          <t>M3-09</t>
        </is>
      </c>
      <c r="Q93" s="48" t="inlineStr">
        <is>
          <t>Chưa làm</t>
        </is>
      </c>
      <c r="R93" s="47" t="n"/>
      <c r="S93" s="47" t="n"/>
    </row>
    <row r="94" ht="79.5" customHeight="1" s="27">
      <c r="A94" s="46" t="inlineStr">
        <is>
          <t>M5-05</t>
        </is>
      </c>
      <c r="B94" s="47" t="inlineStr">
        <is>
          <t>5. Tri thức, RAG &amp; bộ nhớ</t>
        </is>
      </c>
      <c r="C94" s="47" t="inlineStr">
        <is>
          <t>Kiểm đơn vị và khoảng giá trị của Fact trích</t>
        </is>
      </c>
      <c r="D94" s="47" t="inlineStr">
        <is>
          <t>T13 RAG &amp; trích xuất datasheet</t>
        </is>
      </c>
      <c r="E94" s="47" t="inlineStr">
        <is>
          <t>src/eide/knowledge/docs.py:345-362 (_MAU_THONG_SO), 437-447 (PHAM_VI_HOP_LY), 507-514 (hop_ly), 526-593 (_tu_hang_bang)</t>
        </is>
      </c>
      <c r="F94" s="47" t="inlineStr">
        <is>
          <t>hop_ly() chỉ kiểm ĐỘ LỚN sau khi quy tiền tố, không kiểm THỨ NGUYÊN đơn vị. Khoá không khớp nhau: bộ trích sinh `fmax` và `ta.max`, còn PHAM_VI_HOP_LY khai `f.max`, `temp.min/max` (test cũng dùng temp.max), nên tần số và nhiệt độ không bao giờ được kiểm khoảng. Đường bảng _tu_hang_bang (Office) hoàn toàn không gọi hop_ly.</t>
        </is>
      </c>
      <c r="G94" s="47" t="inlineStr">
        <is>
          <t>'VDD ... 25 °C' cho ra vdd.max = 25 vì 25 nằm trong (0.5, 60). Hai Fact cùng khoá nhưng khác đơn vị lọt vào kho, rồi fact.compare/muc_logic so V với °C mà không báo. Fact từ bảng Word/Excel không có phanh nào. Đây đúng loại 'sai mà trông đúng' mà comment trong mã cảnh báo.</t>
        </is>
      </c>
      <c r="H94" s="47" t="inlineStr">
        <is>
          <t>Prompt Chaining (cổng kiểm bằng code)</t>
        </is>
      </c>
      <c r="I94" s="47" t="inlineStr">
        <is>
          <t>Thêm `THU_NGUYEN_KHOA = {'vdd':'V','vih':'V','vil':'V','voh':'V','vol':'V','icc':'A','iol':'A','ioh':'A','fmax':'Hz','ta':'°C','flash':'B','ram':'B','eeprom':'B','i2c.pullup':'Ω',...}`. Trong hop_ly dùng ve_si() để lấy đơn vị cơ bản và từ chối khi thứ nguyên lệch. Thống nhất tên khoá (đổi PHAM_VI sang fmax/ta.*, thêm icc, iol). Gọi hop_ly trong _tu_hang_bang. Thêm test hồi quy: 'VDD max 3.6 V at TA=25°C' chỉ cho đúng một Fact 3.6 V; ô 'fmax | 72 | °C' bị loại.</t>
        </is>
      </c>
      <c r="J94" s="47" t="inlineStr">
        <is>
          <t>Chặn cả một lớp Fact sai trước khi vào kho và lan sang so sánh, hạn mức build, sinh mã. Công sức rất nhỏ.</t>
        </is>
      </c>
      <c r="K94" s="48" t="inlineStr">
        <is>
          <t>P0</t>
        </is>
      </c>
      <c r="L94" s="48" t="inlineStr">
        <is>
          <t>S</t>
        </is>
      </c>
      <c r="M94" s="48">
        <f>IF(K94="P0",IF(OR(L94="L",L94="XL"),"GĐ2","GĐ1"),IF(K94="P1",IF(L94="S","GĐ2","GĐ3"),"GĐ4"))</f>
        <v/>
      </c>
      <c r="N94" s="47" t="inlineStr">
        <is>
          <t>Có thể loại nhầm Fact đúng khi đơn vị viết lạ (cần bí danh đơn vị đầy đủ).</t>
        </is>
      </c>
      <c r="O94" s="47" t="inlineStr">
        <is>
          <t>số Fact sai thứ nguyên trong kho (0 là đạt); precision trích trên bộ vàng</t>
        </is>
      </c>
      <c r="P94" s="47" t="inlineStr">
        <is>
          <t>M3-07</t>
        </is>
      </c>
      <c r="Q94" s="48" t="inlineStr">
        <is>
          <t>Chưa làm</t>
        </is>
      </c>
      <c r="R94" s="47" t="n"/>
      <c r="S94" s="47" t="n"/>
    </row>
    <row r="95" ht="68.25" customHeight="1" s="27">
      <c r="A95" s="46" t="inlineStr">
        <is>
          <t>M5-06</t>
        </is>
      </c>
      <c r="B95" s="47" t="inlineStr">
        <is>
          <t>5. Tri thức, RAG &amp; bộ nhớ</t>
        </is>
      </c>
      <c r="C95" s="47" t="inlineStr">
        <is>
          <t>Giá trị tương đối và ngữ cảnh mục trong datasheet</t>
        </is>
      </c>
      <c r="D95" s="47" t="inlineStr">
        <is>
          <t>T13 RAG &amp; trích xuất datasheet</t>
        </is>
      </c>
      <c r="E95" s="47" t="inlineStr">
        <is>
          <t>src/eide/knowledge/chuan_hoa.py:161 (chuan_hoa); src/eide/knowledge/docs.py:345-362</t>
        </is>
      </c>
      <c r="F95" s="47" t="inlineStr">
        <is>
          <t>chuan_hoa xử lý ký hiệu (4R7, 3V3, 100n), N/A, TBD và điều kiện '@ VDD=3.3V', nhưng không có dạng tương đối theo nguồn như '0.7 × VDD', 'VDD + 0.3', '0.3·VDDIO'. Bộ mẫu chỉ có khoảng 18 khoá. vdd.max được gán cho bất kỳ dòng 'VDD max' nào, kể cả trong bảng Absolute Maximum Ratings.</t>
        </is>
      </c>
      <c r="G95" s="47" t="inlineStr">
        <is>
          <t>VIH/VIL của MCU hiện đại hầu như luôn viết dạng tương đối nên bị bỏ hoặc đọc sai (lấy 0.7 thành 0.7 V). Do đó luật muc_logic, chỗ quan trọng nhất của bước kiểm giao tiếp, thiếu dữ liệu. abs-max 4.0 V và operating 3.6 V cùng thành vdd.max nên cross_check báo mâu thuẫn giả.</t>
        </is>
      </c>
      <c r="H95" s="47" t="inlineStr">
        <is>
          <t>Prompt Chaining (chuẩn hoá bằng code)</t>
        </is>
      </c>
      <c r="I95" s="47" t="inlineStr">
        <is>
          <t>Mở rộng GiaTri: thêm `bieu_thuc_tuong_doi={'he_so':0.7,'tham_chieu':'VDD','cong':0}`. Lưu Fact với value=None, vtyp='0.7*VDD', và thêm hàm `giai_tuong_doi(fact, vdd_fact)` gọi lúc so sánh. Thêm khoá theo mục: vdd.abs_max, vdd.op.min/max, lấy từ heading gần nhất (sau khi có trích bảng PDF). Mở rộng _MAU_THONG_SO: tSU, tHD, tr/tf, IDD sleep/stop, VBOR, fADC.</t>
        </is>
      </c>
      <c r="J95" s="47" t="inlineStr">
        <is>
          <t>muc_logic dùng được trên chip thật. Bớt mâu thuẫn giả trong cross_check. Phủ nhiều thông số timing/nguồn hơn.</t>
        </is>
      </c>
      <c r="K95" s="48" t="inlineStr">
        <is>
          <t>P1</t>
        </is>
      </c>
      <c r="L95" s="48" t="inlineStr">
        <is>
          <t>M</t>
        </is>
      </c>
      <c r="M95" s="48">
        <f>IF(K95="P0",IF(OR(L95="L",L95="XL"),"GĐ2","GĐ1"),IF(K95="P1",IF(L95="S","GĐ2","GĐ3"),"GĐ4"))</f>
        <v/>
      </c>
      <c r="N95" s="47" t="inlineStr">
        <is>
          <t>Biểu thức lạ hiếm gặp vẫn cần người xác nhận. Đổi lược đồ Fact (thêm trường).</t>
        </is>
      </c>
      <c r="O95" s="47" t="inlineStr">
        <is>
          <t>tỉ lệ VIH/VIL trích được trên 5 datasheet; số cảnh báo mâu thuẫn giả mỗi dự án</t>
        </is>
      </c>
      <c r="P95" s="47" t="inlineStr">
        <is>
          <t>M3-02</t>
        </is>
      </c>
      <c r="Q95" s="48" t="inlineStr">
        <is>
          <t>Chưa làm</t>
        </is>
      </c>
      <c r="R95" s="47" t="n"/>
      <c r="S95" s="47" t="n"/>
    </row>
    <row r="96" ht="68.25" customHeight="1" s="27">
      <c r="A96" s="46" t="inlineStr">
        <is>
          <t>M5-07</t>
        </is>
      </c>
      <c r="B96" s="47" t="inlineStr">
        <is>
          <t>5. Tri thức, RAG &amp; bộ nhớ</t>
        </is>
      </c>
      <c r="C96" s="47" t="inlineStr">
        <is>
          <t>fact.from_doc: kiểm giá trị có trong đoạn</t>
        </is>
      </c>
      <c r="D96" s="47" t="inlineStr">
        <is>
          <t>T13 RAG &amp; trích xuất datasheet</t>
        </is>
      </c>
      <c r="E96" s="47" t="inlineStr">
        <is>
          <t>src/eide/tools/knowledge.py:866-960 (khối `_chuan(gt) in _chuan(noi_dung)`)</t>
        </is>
      </c>
      <c r="F96" s="47" t="inlineStr">
        <is>
          <t>MÃ kiểm 'giá trị có mặt trong đoạn' bằng cách xoá mọi khoảng trắng, dấu chấm, dấu phẩy rồi kiểm chuỗi con trên CẢ trang hoặc đơn vị (có thể vài nghìn ký tự). Có thêm nhánh hex/thập phân. Không kiểm đơn vị, không kiểm nhãn hay khoá có gần con số không.</t>
        </is>
      </c>
      <c r="G96" s="47" t="inlineStr">
        <is>
          <t>Giá trị ngắn như '3', '1', '27' hay '0x1' gần như luôn khớp ở đâu đó trong trang ('3' khớp 'Table 3', '27' khớp '2.7 V' sau khi xoá dấu chấm). Kết quả là chốt N1 vẫn cho một con số nhớ được hoặc suy ra đi vào kho, kèm câu 'đã được MÃ đối chiếu', tức một bảo đảm giả.</t>
        </is>
      </c>
      <c r="H96" s="47" t="inlineStr">
        <is>
          <t>Prompt Chaining (cổng kiểm bằng code); Agentic RAG (kiểm bám nguồn)</t>
        </is>
      </c>
      <c r="I96" s="47" t="inlineStr">
        <is>
          <t>Bắt buộc tham số `trich` (câu nguyên văn ≤ 200 ký tự) phải có mặt nguyên văn trong đoạn (chỉ chuẩn hoá khoảng trắng). Giá trị phải khớp theo ranh giới token trong `trich` (regex `(?&lt;![\w.])gt(?![\w])`, không xoá dấu chấm). Nếu có don_vi_do thì đơn vị phải đứng sát sau số. Nếu `khoa` là thông số chuẩn thì nhãn tương ứng (VDD, VIH...) phải có trong `trich`. Lưu `trich` làm quote thay cho noi_dung[:200].</t>
        </is>
      </c>
      <c r="J96" s="47" t="inlineStr">
        <is>
          <t>Lời hứa 'MÃ đã đối chiếu' thành thật. Fact thủ công có trích đoạn chính xác để người duyệt lên VÀNG nhanh.</t>
        </is>
      </c>
      <c r="K96" s="48" t="inlineStr">
        <is>
          <t>P0</t>
        </is>
      </c>
      <c r="L96" s="48" t="inlineStr">
        <is>
          <t>S</t>
        </is>
      </c>
      <c r="M96" s="48">
        <f>IF(K96="P0",IF(OR(L96="L",L96="XL"),"GĐ2","GĐ1"),IF(K96="P1",IF(L96="S","GĐ2","GĐ3"),"GĐ4"))</f>
        <v/>
      </c>
      <c r="N96" s="47" t="inlineStr">
        <is>
          <t>Mô hình phải chép thêm một câu (tốn thêm vài token), có thể bị từ chối nhiều hơn lúc đầu.</t>
        </is>
      </c>
      <c r="O96" s="47" t="inlineStr">
        <is>
          <t>tỉ lệ fact.from_doc bị từ chối đúng trên bộ ca bẫy (số ngắn, số lân cận); số Fact thủ công bị người hạ ĐỒNG</t>
        </is>
      </c>
      <c r="P96" s="47" t="n"/>
      <c r="Q96" s="48" t="inlineStr">
        <is>
          <t>Chưa làm</t>
        </is>
      </c>
      <c r="R96" s="47" t="n"/>
      <c r="S96" s="47" t="n"/>
    </row>
    <row r="97" ht="79.5" customHeight="1" s="27">
      <c r="A97" s="46" t="inlineStr">
        <is>
          <t>M5-08</t>
        </is>
      </c>
      <c r="B97" s="47" t="inlineStr">
        <is>
          <t>5. Tri thức, RAG &amp; bộ nhớ</t>
        </is>
      </c>
      <c r="C97" s="47" t="inlineStr">
        <is>
          <t>Phiên bản Fact, thay thế và hết hiệu lực</t>
        </is>
      </c>
      <c r="D97" s="47" t="inlineStr">
        <is>
          <t>T14 Bộ nhớ, nén &amp; phục hồi phiên</t>
        </is>
      </c>
      <c r="E97" s="47" t="inlineStr">
        <is>
          <t>src/eide/store/db.py:67-84 (cột supersedes/superseded_by), 480-511; src/eide/knowledge/docs.py:627-631 (fact_id có doc.hash); src/eide/tools/knowledge.py:200 (E2005 khi tệp đổi)</t>
        </is>
      </c>
      <c r="F97" s="47" t="inlineStr">
        <is>
          <t>Lược đồ có supersedes/superseded_by và query_facts lọc `superseded_by IS NULL`, nhưng không chỗ nào trong mã ghi hai cột này (grep chỉ ra db.py). fact_id băm cả doc.hash, nên nạp datasheet bản mới (cùng doc_id) sinh bộ Fact mới mà bộ cũ vẫn sống. Tệp đổi sau khi nạp thì chỉ báo E2005.</t>
        </is>
      </c>
      <c r="G97" s="47" t="inlineStr">
        <is>
          <t>Kho tích Fact lỗi thời qua các phiên bản datasheet hay errata. fact.cross_check báo 'mâu thuẫn' mãi mà không có đường đóng lại. Tác tử có thể dùng số của bản cũ để sinh mã. Không có khái niệm làm mới hay hết hạn cho tri thức dài hạn.</t>
        </is>
      </c>
      <c r="H97" s="47" t="inlineStr">
        <is>
          <t>Memory-augmented/MemGPT (sửa và thay bộ nhớ); Human-in-the-loop</t>
        </is>
      </c>
      <c r="I97" s="47" t="inlineStr">
        <is>
          <t>Thêm `store.supersede_fact(cu, moi, ly_do)` và tool `fact.supersede` (R2, cần người duyệt). Khi doc.load gặp doc_id cũ với hash mới: chạy diff Fact (subject, key, condition), lập bảng thay đổi, đánh dấu Fact cũ stale, và tạo thẻ duyệt hàng loạt 'bản X thay bản Y'. fact.cross_check thêm hành động 'chọn bên' để ghi superseded_by. Thêm cột `verified_at` để inventory cảnh báo Fact BAC quá N ngày chưa duyệt.</t>
        </is>
      </c>
      <c r="J97" s="47" t="inlineStr">
        <is>
          <t>Tri thức không lỗi thời âm thầm. Mâu thuẫn có vòng đời rõ (phát hiện, người chọn, đóng). Truy vết lịch sử số liệu.</t>
        </is>
      </c>
      <c r="K97" s="48" t="inlineStr">
        <is>
          <t>P1</t>
        </is>
      </c>
      <c r="L97" s="48" t="inlineStr">
        <is>
          <t>M</t>
        </is>
      </c>
      <c r="M97" s="48">
        <f>IF(K97="P0",IF(OR(L97="L",L97="XL"),"GĐ2","GĐ1"),IF(K97="P1",IF(L97="S","GĐ2","GĐ3"),"GĐ4"))</f>
        <v/>
      </c>
      <c r="N97" s="47" t="inlineStr">
        <is>
          <t>Thêm thẻ duyệt làm phiền người dùng nếu diff lớn (cần gom nhóm).</t>
        </is>
      </c>
      <c r="O97" s="47" t="inlineStr">
        <is>
          <t>số cặp mâu thuẫn mở lâu quá 7 ngày; số Fact active trỏ tới doc hash không còn tồn tại</t>
        </is>
      </c>
      <c r="P97" s="47" t="n"/>
      <c r="Q97" s="48" t="inlineStr">
        <is>
          <t>Chưa làm</t>
        </is>
      </c>
      <c r="R97" s="47" t="n"/>
      <c r="S97" s="47" t="n"/>
    </row>
    <row r="98" ht="79.5" customHeight="1" s="27">
      <c r="A98" s="46" t="inlineStr">
        <is>
          <t>M5-09</t>
        </is>
      </c>
      <c r="B98" s="47" t="inlineStr">
        <is>
          <t>5. Tri thức, RAG &amp; bộ nhớ</t>
        </is>
      </c>
      <c r="C98" s="47" t="inlineStr">
        <is>
          <t>So sánh và đối chiếu chéo Fact theo điều kiện và đơn vị</t>
        </is>
      </c>
      <c r="D98" s="47" t="inlineStr">
        <is>
          <t>T13 RAG &amp; trích xuất datasheet</t>
        </is>
      </c>
      <c r="E98" s="47" t="inlineStr">
        <is>
          <t>src/eide/knowledge/compare.py:82-130 (doi_chieu_cheo), 169-174 (_so), 192-226 (muc_logic, qua_ap)</t>
        </is>
      </c>
      <c r="F98" s="47" t="inlineStr">
        <is>
          <t>doi_chieu_cheo gom theo (subject, key), BỎ QUA condition, nên 'VOL @IOL=4mA' và 'VOL @IOL=20mA' bị gọi là mâu thuẫn. Các luật so `_so()` lấy giá trị SI nhưng không kiểm hai vế cùng thứ nguyên, không kiểm điều kiện tương thích (VOH đo ở VDD=3.3 V so với VIH ở VDD=5 V), không tính biên nhiễu (noise margin). Điểm mạnh: chặn vế ĐỒNG (N2), luôn kèm hai trích dẫn.</t>
        </is>
      </c>
      <c r="G98" s="47" t="inlineStr">
        <is>
          <t>Kết luận 'đạt' có thể dựa trên hai con số đo ở điều kiện khác nhau, hoặc trên một Fact sai đơn vị lọt từ khâu trích. Mâu thuẫn giả làm người dùng mệt và bỏ qua mâu thuẫn thật.</t>
        </is>
      </c>
      <c r="H98" s="47" t="inlineStr">
        <is>
          <t>Evaluator–Optimizer (luật chấm có kiểm điều kiện); Debate (đối chiếu nhiều nguồn)</t>
        </is>
      </c>
      <c r="I98" s="47" t="inlineStr">
        <is>
          <t>Trong `so_sanh()`: (1) kiểm `ve_si(a)[1] == ve_si(b)[1]`, lệch thì trả `chua_kiem_chung` với lý do thứ nguyên. (2) Parse condition bằng chuan_hoa.tach_dieu_kien rồi so các khoá chung (vdd, ta, iol): lệch thì canh_bao 'khác điều kiện' kèm cả hai. (3) muc_logic trả biên nhiễu `voh - vih` và cảnh báo khi nhỏ hơn 0.2 V. doi_chieu_cheo nhóm theo (subject, key, condition chuẩn hoá).</t>
        </is>
      </c>
      <c r="J98" s="47" t="inlineStr">
        <is>
          <t>Kết luận so sánh đáng tin hơn. Giảm mâu thuẫn giả. Bắt lỗi giao tiếp mức biên.</t>
        </is>
      </c>
      <c r="K98" s="48" t="inlineStr">
        <is>
          <t>P1</t>
        </is>
      </c>
      <c r="L98" s="48" t="inlineStr">
        <is>
          <t>M</t>
        </is>
      </c>
      <c r="M98" s="48">
        <f>IF(K98="P0",IF(OR(L98="L",L98="XL"),"GĐ2","GĐ1"),IF(K98="P1",IF(L98="S","GĐ2","GĐ3"),"GĐ4"))</f>
        <v/>
      </c>
      <c r="N98" s="47" t="inlineStr">
        <is>
          <t>Điều kiện ghi không chuẩn có thể làm tăng 'chưa kiểm chứng'.</t>
        </is>
      </c>
      <c r="O98" s="47" t="inlineStr">
        <is>
          <t>tỉ lệ mâu thuẫn giả trong cross_check; số kết luận 'dat' sai trên bộ ca bẫy điều kiện</t>
        </is>
      </c>
      <c r="P98" s="47" t="n"/>
      <c r="Q98" s="48" t="inlineStr">
        <is>
          <t>Chưa làm</t>
        </is>
      </c>
      <c r="R98" s="47" t="n"/>
      <c r="S98" s="47" t="n"/>
    </row>
    <row r="99" ht="79.5" customHeight="1" s="27">
      <c r="A99" s="46" t="inlineStr">
        <is>
          <t>M5-10</t>
        </is>
      </c>
      <c r="B99" s="47" t="inlineStr">
        <is>
          <t>5. Tri thức, RAG &amp; bộ nhớ</t>
        </is>
      </c>
      <c r="C99" s="47" t="inlineStr">
        <is>
          <t>Truy vấn Fact theo id và theo thực thể</t>
        </is>
      </c>
      <c r="D99" s="47" t="inlineStr">
        <is>
          <t>T13 RAG &amp; trích xuất datasheet</t>
        </is>
      </c>
      <c r="E99" s="47" t="inlineStr">
        <is>
          <t>src/eide/tools/knowledge.py:962-1027 (fact.review, fact.compare dùng query_facts(limit=1000)); src/eide/store/db.py:496-511; src/eide/tools/builtin.py:237-255</t>
        </is>
      </c>
      <c r="F99" s="47" t="inlineStr">
        <is>
          <t>fact.review và fact.compare lấy 1000 Fact đầu rồi lọc fact_id bằng Python. Nếu kho có hơn 1000 Fact (chắc chắn xảy ra khi có SVD) thì báo 'Không có Fact' hoặc âm thầm bỏ qua (review đếm da_doi thiếu). query_facts dùng `subject LIKE %x%`, nên 'STM32F4' khớp cả F407 lẫn F469. fact.query trả `count=len(rows)` (tối đa 100) dù có dem_fact, không sắp theo tầng, trả nguyên JSON source/explain.</t>
        </is>
      </c>
      <c r="G99" s="47" t="inlineStr">
        <is>
          <t>Lỗi im lặng khi kho lớn. Trộn Fact của hai chip họ gần nhau, đúng kiểu sai 'trông đúng' mà tim_kiem.py đã đo được với tên repo. Kết quả fact.query dài, tốn ngữ cảnh.</t>
        </is>
      </c>
      <c r="H99" s="47" t="inlineStr">
        <is>
          <t>Memory-augmented (truy xuất chính xác)</t>
        </is>
      </c>
      <c r="I99" s="47" t="inlineStr">
        <is>
          <t>Thêm `Store.get_fact(fact_id)` (SELECT theo khoá chính) cho review/compare. query_facts: so khớp subject chính xác hoặc tiền tố có phân tách (`subject = ? OR subject LIKE ?||'@%'`), giữ LIKE như chế độ `mo=true`. Sắp `ORDER BY tier_rank, key`. fact.query trả `tong=dem_fact(...)` cùng dòng gọn (_fact_line của assemble.py) thay cho bản ghi thô.</t>
        </is>
      </c>
      <c r="J99" s="47" t="inlineStr">
        <is>
          <t>Hết lỗi im lặng ở quy mô lớn. Không trộn chip. Kết quả gọn hơn 3-5 lần.</t>
        </is>
      </c>
      <c r="K99" s="48" t="inlineStr">
        <is>
          <t>P1</t>
        </is>
      </c>
      <c r="L99" s="48" t="inlineStr">
        <is>
          <t>S</t>
        </is>
      </c>
      <c r="M99" s="48">
        <f>IF(K99="P0",IF(OR(L99="L",L99="XL"),"GĐ2","GĐ1"),IF(K99="P1",IF(L99="S","GĐ2","GĐ3"),"GĐ4"))</f>
        <v/>
      </c>
      <c r="N99" s="47" t="inlineStr">
        <is>
          <t>Đổi ngữ nghĩa subject có thể làm vỡ test cũ dựa trên LIKE.</t>
        </is>
      </c>
      <c r="O99" s="47" t="inlineStr">
        <is>
          <t>test với 5000 Fact; số token trung bình của kết quả fact.query</t>
        </is>
      </c>
      <c r="P99" s="47" t="n"/>
      <c r="Q99" s="48" t="inlineStr">
        <is>
          <t>Chưa làm</t>
        </is>
      </c>
      <c r="R99" s="47" t="n"/>
      <c r="S99" s="47" t="n"/>
    </row>
    <row r="100" ht="90.75" customHeight="1" s="27">
      <c r="A100" s="46" t="inlineStr">
        <is>
          <t>M5-11</t>
        </is>
      </c>
      <c r="B100" s="47" t="inlineStr">
        <is>
          <t>5. Tri thức, RAG &amp; bộ nhớ</t>
        </is>
      </c>
      <c r="C100" s="47" t="inlineStr">
        <is>
          <t>Đồ thị tri thức linh kiện–chân–ngoại vi–thanh ghi và truy vấn đa bước</t>
        </is>
      </c>
      <c r="D100" s="47" t="inlineStr">
        <is>
          <t>T13 RAG &amp; trích xuất datasheet</t>
        </is>
      </c>
      <c r="E100" s="47" t="inlineStr">
        <is>
          <t>src/eide/knowledge/ckm.py:39-42 (LOAI_NUT, LOAI_CANH), 388-500 (chieu); src/eide/tools/ckm.py:813-854 (ckm.graph)</t>
        </is>
      </c>
      <c r="F100" s="47" t="inlineStr">
        <is>
          <t>CKM có các nút chip, pin, net, module, bus, rail, chuc_nang, linh_kien và các cạnh CO_CHAN, NOI, DUOC_GAN (duy nhất theo chỉ mục, rất tốt), GOM, CAP... Không có nút ngoại vi, thanh ghi, trường bit, nguồn clock, hay cạnh AF (chân có thể làm chức năng gì) ở dạng đồ thị. ckm.graph chỉ liệt kê hoặc đếm theo loại/chip, không có truy vấn đường đi.</t>
        </is>
      </c>
      <c r="G100" s="47" t="inlineStr">
        <is>
          <t>Câu hỏi nhiều bước của nhúng ('muốn dùng PA9 làm USART1_TX thì bật clock nào, cấu hình thanh ghi nào, có xung đột DMA không') phải do mô hình tự ghép từ nhiều lời gọi, dễ sót bước. Không kiểm được bằng MÃ rằng firmware đã bật đúng RCC enable cho ngoại vi đang dùng.</t>
        </is>
      </c>
      <c r="H100" s="47" t="inlineStr">
        <is>
          <t>Agentic RAG (GraphRAG); Plan-and-Execute</t>
        </is>
      </c>
      <c r="I100" s="47" t="inlineStr">
        <is>
          <t>Mở rộng LOAI_NUT với ngoai_vi, thanh_ghi, truong_bit, clock, dma_kenh, ngat, và LOAI_CANH với CO_AF (pin→chuc_nang của ngoại vi, lấy từ bảng AF), THUOC (chức năng→ngoại vi), CO_THANH_GHI, BAT_CLOCK (ngoại vi→truong_bit RCC), DUNG_DMA, CO_NGAT. Nguồn là SVD và bảng AF trích từ datasheet. Tool `ckm.path(tu, den, loai_canh?, sau_toi_da=4)` chạy BFS trong SQLite (CTE đệ quy) và trả chuỗi kèm Fact/trích dẫn từng cạnh. Tool `ckm.requires(chuc_nang)` trả danh sách cấu hình cần (clock, GPIO AF, thanh ghi) để đối chiếu với mã.</t>
        </is>
      </c>
      <c r="J100" s="47" t="inlineStr">
        <is>
          <t>Trả lời truy vấn đa bước bằng một lời gọi, có trích dẫn. Làm nền cho bộ kiểm 'thiếu bật clock / sai AF' trong mã.</t>
        </is>
      </c>
      <c r="K100" s="48" t="inlineStr">
        <is>
          <t>P1</t>
        </is>
      </c>
      <c r="L100" s="48" t="inlineStr">
        <is>
          <t>L</t>
        </is>
      </c>
      <c r="M100" s="48">
        <f>IF(K100="P0",IF(OR(L100="L",L100="XL"),"GĐ2","GĐ1"),IF(K100="P1",IF(L100="S","GĐ2","GĐ3"),"GĐ4"))</f>
        <v/>
      </c>
      <c r="N100" s="47" t="inlineStr">
        <is>
          <t>Đồ thị lớn (hàng chục nghìn nút) cần chỉ mục tốt. Bảng AF ở dạng PDF khó trích.</t>
        </is>
      </c>
      <c r="O100" s="47" t="inlineStr">
        <is>
          <t>số lời gọi để trả lời 10 câu hỏi đa bước chuẩn; tỉ lệ firmware sinh ra thiếu bật clock ngoại vi</t>
        </is>
      </c>
      <c r="P100" s="47" t="n"/>
      <c r="Q100" s="48" t="inlineStr">
        <is>
          <t>Chưa làm</t>
        </is>
      </c>
      <c r="R100" s="47" t="n"/>
      <c r="S100" s="47" t="n"/>
    </row>
    <row r="101" ht="68.25" customHeight="1" s="27">
      <c r="A101" s="46" t="inlineStr">
        <is>
          <t>M5-12</t>
        </is>
      </c>
      <c r="B101" s="47" t="inlineStr">
        <is>
          <t>5. Tri thức, RAG &amp; bộ nhớ</t>
        </is>
      </c>
      <c r="C101" s="47" t="inlineStr">
        <is>
          <t>PDF scan và OCR khi nạp</t>
        </is>
      </c>
      <c r="D101" s="47" t="inlineStr">
        <is>
          <t>T13 RAG &amp; trích xuất datasheet</t>
        </is>
      </c>
      <c r="E101" s="47" t="inlineStr">
        <is>
          <t>src/eide/knowledge/ingest.py:560-578 (_doc_pdf); src/eide/tools/knowledge.py:507-553 (doc.figures)</t>
        </is>
      </c>
      <c r="F101" s="47" t="inlineStr">
        <is>
          <t>PDF không có lớp chữ ở 5 trang đầu thì doc_duoc=False, doc.load từ chối. Đề xuất 'Chấp nhận OCR với nhãn độ tin cậy thấp' không có đường nào thực hiện. OCR (tesseract, có điểm tin cậy, trần BẠC, kiểm gói ngôn ngữ, đều tốt) chỉ dùng cho hình trong doc.figures. PDF lai (có trang scan sau trang 5) cho ra trang rỗng mà không cảnh báo.</t>
        </is>
      </c>
      <c r="G101" s="47" t="inlineStr">
        <is>
          <t>Tài liệu cũ hoặc scan (rất phổ biến với linh kiện cũ, bảng tay) là ngõ cụt. Trang rỗng âm thầm khiến doc.read hay fact.extract kết luận 'không có' là sai.</t>
        </is>
      </c>
      <c r="H101" s="47" t="inlineStr">
        <is>
          <t>Routing (chọn bộ đọc theo nội dung); Human-in-the-loop</t>
        </is>
      </c>
      <c r="I101" s="47" t="inlineStr">
        <is>
          <t>Thêm tham số `ocr: bool` cho doc.load. Với PDF scan hoặc trang có chữ ít hơn 20 ký tự, render trang (pymupdf hoặc pdftoppm) rồi chạy ocr_anh. Đặt Trang.chu bằng văn bản OCR kèm `do_tin`, gắn nhan 'trang N (OCR, tin cậy x)'. Fact trích từ trang OCR thì tier tối đa BAC; nếu điểm dưới NGUONG_TIN_CAY thì tier NGUOI và bắt buộc người duyệt. Báo số trang rỗng hay OCR trong kết quả doc.load.</t>
        </is>
      </c>
      <c r="J101" s="47" t="inlineStr">
        <is>
          <t>Mở được lớp tài liệu đang bị chặn hoàn toàn. Không còn trang rỗng âm thầm.</t>
        </is>
      </c>
      <c r="K101" s="48" t="inlineStr">
        <is>
          <t>P2</t>
        </is>
      </c>
      <c r="L101" s="48" t="inlineStr">
        <is>
          <t>M</t>
        </is>
      </c>
      <c r="M101" s="48">
        <f>IF(K101="P0",IF(OR(L101="L",L101="XL"),"GĐ2","GĐ1"),IF(K101="P1",IF(L101="S","GĐ2","GĐ3"),"GĐ4"))</f>
        <v/>
      </c>
      <c r="N101" s="47" t="inlineStr">
        <is>
          <t>OCR chậm (300 trang mất vài phút, cần chạy nền). Số OCR sai trông như đúng (đã có trần tầng).</t>
        </is>
      </c>
      <c r="O101" s="47" t="inlineStr">
        <is>
          <t>số tài liệu bị từ chối vì scan; tỉ lệ ký tự đúng OCR trên mẫu</t>
        </is>
      </c>
      <c r="P101" s="47" t="n"/>
      <c r="Q101" s="48" t="inlineStr">
        <is>
          <t>Chưa làm</t>
        </is>
      </c>
      <c r="R101" s="47" t="n"/>
      <c r="S101" s="47" t="n"/>
    </row>
    <row r="102" ht="68.25" customHeight="1" s="27">
      <c r="A102" s="46" t="inlineStr">
        <is>
          <t>M5-13</t>
        </is>
      </c>
      <c r="B102" s="47" t="inlineStr">
        <is>
          <t>5. Tri thức, RAG &amp; bộ nhớ</t>
        </is>
      </c>
      <c r="C102" s="47" t="inlineStr">
        <is>
          <t>Phong bì kết quả (envelope) cho công cụ tri thức</t>
        </is>
      </c>
      <c r="D102" s="47" t="inlineStr">
        <is>
          <t>T02 Ngữ cảnh, lược đồ công cụ &amp; token</t>
        </is>
      </c>
      <c r="E102" s="47" t="inlineStr">
        <is>
          <t>src/eide/memory/envelope.py:254-268 (CHINH_SACH), 331-343 (_cat_chung); src/eide/tools/knowledge.py:441-448 (doc.read trả chu[:2000] × tối đa 40, tới 200)</t>
        </is>
      </c>
      <c r="F102" s="47" t="inlineStr">
        <is>
          <t>doc.read không có chính sách riêng nên rơi vào trần chung. _cat_chung với list chỉ cắt còn 30 phần tử, KHÔNG cắt độ dài từng phần tử, nên 30 đoạn × 2000 ký tự cộng ô bảng vẫn vào ngữ cảnh (khoảng 20k token). CHINH_SACH có mục 'rag.ask', một tool không tồn tại. fact.query và fact.extract (40 Fact kèm trích đoạn) cũng không có chính sách riêng.</t>
        </is>
      </c>
      <c r="G102" s="47" t="inlineStr">
        <is>
          <t>Một lời gọi doc.read rộng có thể nuốt 10-20 % cửa sổ, đẩy C1/C2 chạy sớm và làm loãng chú ý, đúng nguyên tắc 'lỗi thường nằm ở kết quả tool quá dài'.</t>
        </is>
      </c>
      <c r="H102" s="47" t="inlineStr">
        <is>
          <t>ReAct (vệ sinh quan sát); Memory-augmented (nén)</t>
        </is>
      </c>
      <c r="I102" s="47" t="inlineStr">
        <is>
          <t>Thêm `_cs_doc_read`: tối đa 8 đoạn, mỗi đoạn tối đa 600 ký tự quanh vị trí khớp từ khoá (cửa sổ ±300), ô bảng tối đa 10, cộng `so_khop`, `tu_ke_tiep` và blob_ref. Thêm `_cs_fact` cho fact.query/fact.extract (dòng gọn dạng _fact_line, tối đa 30). Đổi 'rag.ask' thành tên tool tìm kiếm thật khi có (doc.search). Sửa _cat_chung để cắt cả phần tử chuỗi dài trong list.</t>
        </is>
      </c>
      <c r="J102" s="47" t="inlineStr">
        <is>
          <t>Giảm token mỗi lượt có đọc tài liệu khoảng 60-80 %. C2 chạy ít hơn. Đúng đoạn cần đọc hiện ra trước.</t>
        </is>
      </c>
      <c r="K102" s="48" t="inlineStr">
        <is>
          <t>P0</t>
        </is>
      </c>
      <c r="L102" s="48" t="inlineStr">
        <is>
          <t>S</t>
        </is>
      </c>
      <c r="M102" s="48">
        <f>IF(K102="P0",IF(OR(L102="L",L102="XL"),"GĐ2","GĐ1"),IF(K102="P1",IF(L102="S","GĐ2","GĐ3"),"GĐ4"))</f>
        <v/>
      </c>
      <c r="N102" s="47" t="inlineStr">
        <is>
          <t>Cắt quá tay khiến phải gọi blob.read thêm.</t>
        </is>
      </c>
      <c r="O102" s="47" t="inlineStr">
        <is>
          <t>token trung bình mỗi kết quả doc.read; tần suất nén C2 mỗi phiên (memory.metrics)</t>
        </is>
      </c>
      <c r="P102" s="47" t="inlineStr">
        <is>
          <t>M1-12</t>
        </is>
      </c>
      <c r="Q102" s="48" t="inlineStr">
        <is>
          <t>Chưa làm</t>
        </is>
      </c>
      <c r="R102" s="47" t="n"/>
      <c r="S102" s="47" t="n"/>
    </row>
    <row r="103" ht="102" customHeight="1" s="27">
      <c r="A103" s="46" t="inlineStr">
        <is>
          <t>M5-14</t>
        </is>
      </c>
      <c r="B103" s="47" t="inlineStr">
        <is>
          <t>5. Tri thức, RAG &amp; bộ nhớ</t>
        </is>
      </c>
      <c r="C103" s="47" t="inlineStr">
        <is>
          <t>Bộ nhớ bài học kỹ thuật dài hạn (Reflexion/MemGPT)</t>
        </is>
      </c>
      <c r="D103" s="47" t="inlineStr">
        <is>
          <t>T06 Reflexion – bài học dài hạn</t>
        </is>
      </c>
      <c r="E103" s="47" t="inlineStr">
        <is>
          <t>src/eide/tools/writing.py:229-276 (memory.note, section enum), 317-367 (memory.remember_user); src/eide/memory/nguoi_dung.py:28-35 (CHU_DE); src/eide/memory/summary.py:37 (loi_da_gap)</t>
        </is>
      </c>
      <c r="F103" s="47" t="inlineStr">
        <is>
          <t>Có ba lớp bộ nhớ: EIDE.md theo dự án (Mục tiêu, Chip, Quyết định, Giả định, Quy ước, Đừng); bộ nhớ người dùng 6 chủ đề sở thích, bắt người duyệt; và mục `loi_da_gap` trong bản tóm tắt C2, vốn chỉ sống trong phiên. Không có loại 'bài học' kiểu lỗi, nguyên nhân, cách sửa, điều kiện áp dụng. Không có cơ chế tự tra lại bài học khi gặp lỗi tương tự. Các bài học hiện chỉ nằm trong comment mã nguồn (ket_qua.py, tim_kiem.py: 'Đo được trên bo STM32F469...'), tức là con người học, tác tử không học.</t>
        </is>
      </c>
      <c r="G103" s="47" t="inlineStr">
        <is>
          <t>Tác tử lặp lại cùng lỗi qua phiên và dự án: đoán nhánh main/master, lệch API driver v1/v2, nhầm địa chỉ thành giá trị, nạp sai toolchain. Mỗi lần mất nhiều lượt gọi để tự tìm ra lại.</t>
        </is>
      </c>
      <c r="H103" s="47" t="inlineStr">
        <is>
          <t>Reflexion; Memory-augmented/MemGPT</t>
        </is>
      </c>
      <c r="I103" s="47" t="inlineStr">
        <is>
          <t>Thêm loại hiện vật `lesson` trong store: {trigger: {tool, ma_loi, chip/ho, tu_khoa}, trieu_chung, nguyen_nhan, cach_sua, bang_chung: [run_id, changeset], do_tin, so_lan_ap_dung, verified_at, het_han_sau}. Hai nguồn sinh: (1) hook post_tool_use khi một chuỗi lỗi X rồi sửa thành công, sinh đề xuất bài học bằng một lời gọi LLM ngắn ép schema; (2) tool `memory.lesson` để tác tử chủ động ghi. Truy xuất bằng mã: khi tool trả lỗi có ma_loi hoặc khi gọi tool khớp trigger thì chèn tối đa 3 bài học vào note_vi của kết quả. Kho xuyên dự án `~/.eide/lessons.sqlite` chỉ nhận bài học đã được người duyệt hoặc đã áp dụng thành công 2 lần trở lên.</t>
        </is>
      </c>
      <c r="J103" s="47" t="inlineStr">
        <is>
          <t>Giảm lặp lỗi qua phiên. Ít lượt gọi hơn cho lỗi đã biết. Biến tri thức 'đo được' trong comment thành tri thức tác tử dùng được.</t>
        </is>
      </c>
      <c r="K103" s="48" t="inlineStr">
        <is>
          <t>P1</t>
        </is>
      </c>
      <c r="L103" s="48" t="inlineStr">
        <is>
          <t>M</t>
        </is>
      </c>
      <c r="M103" s="48">
        <f>IF(K103="P0",IF(OR(L103="L",L103="XL"),"GĐ2","GĐ1"),IF(K103="P1",IF(L103="S","GĐ2","GĐ3"),"GĐ4"))</f>
        <v/>
      </c>
      <c r="N103" s="47" t="inlineStr">
        <is>
          <t>Bài học sai hoặc quá khái quát sẽ lan sai (cần do_tin, hết hạn, người duyệt). Tốn token chèn gợi ý.</t>
        </is>
      </c>
      <c r="O103" s="47" t="inlineStr">
        <is>
          <t>số lần cùng ma_loi lặp lại qua phiên; số lời gọi để khắc phục lỗi đã có bài học; tỉ lệ bài học bị người bác</t>
        </is>
      </c>
      <c r="P103" s="47" t="inlineStr">
        <is>
          <t>M1-14, M3-21</t>
        </is>
      </c>
      <c r="Q103" s="48" t="inlineStr">
        <is>
          <t>Chưa làm</t>
        </is>
      </c>
      <c r="R103" s="47" t="n"/>
      <c r="S103" s="47" t="n"/>
    </row>
    <row r="104" ht="90.75" customHeight="1" s="27">
      <c r="A104" s="46" t="inlineStr">
        <is>
          <t>M5-15</t>
        </is>
      </c>
      <c r="B104" s="47" t="inlineStr">
        <is>
          <t>5. Tri thức, RAG &amp; bộ nhớ</t>
        </is>
      </c>
      <c r="C104" s="47" t="inlineStr">
        <is>
          <t>Làm mới, hết hạn và phát hiện mâu thuẫn trong EIDE.md</t>
        </is>
      </c>
      <c r="D104" s="47" t="inlineStr">
        <is>
          <t>T06 Reflexion – bài học dài hạn</t>
        </is>
      </c>
      <c r="E104" s="47" t="inlineStr">
        <is>
          <t>src/eide/store/eide_md.py:135-147 (append_line), 168-198 (de_xuat_luoc); src/eide/tools/writing.py:229-276</t>
        </is>
      </c>
      <c r="F104" s="47" t="inlineStr">
        <is>
          <t>memory.note nối thêm dòng có hậu tố [run-xx]. Vượt 3000 token thì cảnh báo và đề xuất lược, không tự xoá (tốt). Có tombstone chống hồi sinh (tốt). Nhưng dòng không có ngày ghi hay điều kiện huỷ. Không kiểm dòng mới có mâu thuẫn với dòng cũ ('Quyết định: dùng HSE 8 MHz' với 'dùng HSI') hay với Fact/ADR trong kho không. Lược đồ `gia_dinh_dang_dung` của C2 có `huy_khi` nhưng EIDE.md thì không.</t>
        </is>
      </c>
      <c r="G104" s="47" t="inlineStr">
        <is>
          <t>Bộ nhớ dài hạn tích luỹ giả định đã hết hiệu lực và quyết định trái nhau, mô hình đọc mỗi lượt và có thể theo dòng cũ. Không ai biết giả định nào còn đúng.</t>
        </is>
      </c>
      <c r="H104" s="47" t="inlineStr">
        <is>
          <t>Memory-augmented/MemGPT (sửa bộ nhớ); Evaluator–Optimizer</t>
        </is>
      </c>
      <c r="I104" s="47" t="inlineStr">
        <is>
          <t>Định dạng dòng: `- nội dung [run-xx · 2026-10-06 · huy_khi: ...]`. Trong memory.note: (1) so khớp từ khoá/thực thể với các dòng cùng mục và các Fact/ADR liên quan, nếu nghi trùng hoặc mâu thuẫn thì trả `nghi_mau_thuan=[...]` và yêu cầu memory.forget hoặc ghi 'thay cho'. (2) Mục Giả định bắt buộc có huy_khi. Inventory liệt kê giả định quá 30 ngày hoặc có điều kiện huỷ đã thoả (ví dụ có Fact mới cho khoá đó).</t>
        </is>
      </c>
      <c r="J104" s="47" t="inlineStr">
        <is>
          <t>Bộ nhớ dự án không mục ruỗng theo thời gian. Bớt hành vi theo quyết định đã bị thay.</t>
        </is>
      </c>
      <c r="K104" s="48" t="inlineStr">
        <is>
          <t>P2</t>
        </is>
      </c>
      <c r="L104" s="48" t="inlineStr">
        <is>
          <t>M</t>
        </is>
      </c>
      <c r="M104" s="48">
        <f>IF(K104="P0",IF(OR(L104="L",L104="XL"),"GĐ2","GĐ1"),IF(K104="P1",IF(L104="S","GĐ2","GĐ3"),"GĐ4"))</f>
        <v/>
      </c>
      <c r="N104" s="47" t="inlineStr">
        <is>
          <t>Heuristic mâu thuẫn có thể báo nhầm. Dòng dài hơn, tốn thêm token mỗi lượt.</t>
        </is>
      </c>
      <c r="O104" s="47" t="inlineStr">
        <is>
          <t>số cặp dòng mâu thuẫn phát hiện được; số giả định quá hạn chưa xử lý</t>
        </is>
      </c>
      <c r="P104" s="47" t="n"/>
      <c r="Q104" s="48" t="inlineStr">
        <is>
          <t>Chưa làm</t>
        </is>
      </c>
      <c r="R104" s="47" t="n"/>
      <c r="S104" s="47" t="n"/>
    </row>
    <row r="105" ht="57" customHeight="1" s="27">
      <c r="A105" s="46" t="inlineStr">
        <is>
          <t>M5-16</t>
        </is>
      </c>
      <c r="B105" s="47" t="inlineStr">
        <is>
          <t>5. Tri thức, RAG &amp; bộ nhớ</t>
        </is>
      </c>
      <c r="C105" s="47" t="inlineStr">
        <is>
          <t>Đưa EIDE.md vào ngữ cảnh khi quá dài</t>
        </is>
      </c>
      <c r="D105" s="47" t="inlineStr">
        <is>
          <t>T14 Bộ nhớ, nén &amp; phục hồi phiên</t>
        </is>
      </c>
      <c r="E105" s="47" t="inlineStr">
        <is>
          <t>src/eide/store/eide_md.py:22-24 (SECTIONS), 229-242 (render)</t>
        </is>
      </c>
      <c r="F105" s="47" t="inlineStr">
        <is>
          <t>Docstring của render ghi 'cắt từ dưới lên: các mục cuối (Quy ước, Người vừa sửa) quan trọng hơn, giữ nguyên mục, chỉ cắt thân mục dài nhất'. Mã thực tế làm `text[:keep]`, tức cắt ĐUÔI. Thứ tự SECTIONS đặt 'Đừng' và 'Người vừa sửa' ở cuối, nên đó chính là hai mục bị cắt trước.</t>
        </is>
      </c>
      <c r="G105" s="47" t="inlineStr">
        <is>
          <t>Khi EIDE.md vượt ngân sách (người chưa duyệt lược), ranh giới 'Đừng' do người đặt và các sửa tay gần nhất biến khỏi ngữ cảnh. Tác tử có thể đề xuất lại thứ người đã cấm. Mã trái với chính docstring của nó.</t>
        </is>
      </c>
      <c r="H105" s="47" t="inlineStr">
        <is>
          <t>Memory-augmented (ưu tiên bộ nhớ); Human-in-the-loop (tôn trọng ranh giới)</t>
        </is>
      </c>
      <c r="I105" s="47" t="inlineStr">
        <is>
          <t>Viết lại render theo độ ưu tiên: luôn giữ nguyên 'Đừng', 'Người vừa sửa', 'Quyết định'. Rồi cấp ngân sách còn lại cho Quy ước, Giả định, Chip, Mục tiêu. Mục bị cắt giữ N dòng mới nhất cộng dòng '(còn k dòng — memory.read section=...)'. Thêm test: EIDE.md 15k ký tự thì render vẫn chứa toàn bộ §Đừng.</t>
        </is>
      </c>
      <c r="J105" s="47" t="inlineStr">
        <is>
          <t>Ranh giới của người không bao giờ rơi khỏi ngữ cảnh. Sửa nhanh, rủi ro thấp.</t>
        </is>
      </c>
      <c r="K105" s="48" t="inlineStr">
        <is>
          <t>P1</t>
        </is>
      </c>
      <c r="L105" s="48" t="inlineStr">
        <is>
          <t>S</t>
        </is>
      </c>
      <c r="M105" s="48">
        <f>IF(K105="P0",IF(OR(L105="L",L105="XL"),"GĐ2","GĐ1"),IF(K105="P1",IF(L105="S","GĐ2","GĐ3"),"GĐ4"))</f>
        <v/>
      </c>
      <c r="N105" s="47" t="inlineStr">
        <is>
          <t>Không đáng kể.</t>
        </is>
      </c>
      <c r="O105" s="47" t="inlineStr">
        <is>
          <t>test hồi quy; số lần tác tử đề xuất lại điều trong §Đừng</t>
        </is>
      </c>
      <c r="P105" s="47" t="n"/>
      <c r="Q105" s="48" t="inlineStr">
        <is>
          <t>Chưa làm</t>
        </is>
      </c>
      <c r="R105" s="47" t="n"/>
      <c r="S105" s="47" t="n"/>
    </row>
    <row r="106" ht="102" customHeight="1" s="27">
      <c r="A106" s="46" t="inlineStr">
        <is>
          <t>M5-17</t>
        </is>
      </c>
      <c r="B106" s="47" t="inlineStr">
        <is>
          <t>5. Tri thức, RAG &amp; bộ nhớ</t>
        </is>
      </c>
      <c r="C106" s="47" t="inlineStr">
        <is>
          <t>Phục hồi phiên (resume): bản tóm tắt phiên trước</t>
        </is>
      </c>
      <c r="D106" s="47" t="inlineStr">
        <is>
          <t>T14 Bộ nhớ, nén &amp; phục hồi phiên</t>
        </is>
      </c>
      <c r="E106" s="47" t="inlineStr">
        <is>
          <t>src/eide/memory/nen.py:125-135 (BoNen.__init__ đặt tom_tat_hien_tai=None); src/eide/loop.py:211-226, 499-505; src/eide/memory/resume.py:34-41</t>
        </is>
      </c>
      <c r="F106" s="47" t="inlineStr">
        <is>
          <t>Khi mở lại dự án (tiến trình mới), loop tạo session_id mới, messages rỗng và BoNen mới với tom_tat_hien_tai=None. Khối &lt;resume&gt; lấy `tom_tat_truoc=self.bo_nen.tom_tat_hien_tai`, nên LUÔN in 'Chưa có bản tóm tắt nào'. Bản tóm tắt C2 thật đã ghi vào ledger (`compact`/`buoc: ok`/`tom_tat`) nhưng không được đọc lại. Phiên ngắn chưa từng nén thì không có tường thuật nào. Resume cũng không có trạng thái kế hoạch (ke_hoach/plan), kết quả build/test gần nhất hay lỗi cuối.</t>
        </is>
      </c>
      <c r="G106" s="47" t="inlineStr">
        <is>
          <t>Mở lại dự án, tác tử chỉ có các cờ (việc dở, thẻ treo, integrity) mà mất toàn bộ mạch 'đang làm gì, đã thử gì, sai ở đâu'. Nó phải hỏi lại người hoặc đọc ledger thủ công. Test MEM17 chỉ khẳng định chuỗi 'Chưa có bản tóm tắt nào' nên che mất lỗi.</t>
        </is>
      </c>
      <c r="H106" s="47" t="inlineStr">
        <is>
          <t>Memory-augmented/MemGPT; Plan-and-Execute (tiếp kế hoạch); Human-in-the-loop (checkpoint chạy tiếp)</t>
        </is>
      </c>
      <c r="I106" s="47" t="inlineStr">
        <is>
          <t>(1) Trong BoNen.__init__ (hoặc loop), quét ngược ledger tìm sự kiện `compact` có buoc=='ok' và dựng lại `BanTomTat(**tom_tat)`. (2) Nếu không có, dựng 'tường thuật cơ học' 0 token từ transcript phiên trước: 3 yêu cầu cuối của người, 10 lời gọi tool cuối (tên, ok/lỗi, summary_line), lỗi cuối cùng, tệp đã sửa. (3) Thêm mục 'Kế hoạch đang chạy' (bước xong/đang/chưa từ ke_hoach) và 'Trạng thái kiểm' (build/test/sim gần nhất). (4) Viết test: nén C2, tạo agent mới cùng thư mục, khối resume chứa nội dung tóm tắt.</t>
        </is>
      </c>
      <c r="J106" s="47" t="inlineStr">
        <is>
          <t>Làm tiếp được ngay sau khi mở lại mà không phải hỏi lại. Giảm số lượt khởi động lại ngữ cảnh.</t>
        </is>
      </c>
      <c r="K106" s="48" t="inlineStr">
        <is>
          <t>P0</t>
        </is>
      </c>
      <c r="L106" s="48" t="inlineStr">
        <is>
          <t>S</t>
        </is>
      </c>
      <c r="M106" s="48">
        <f>IF(K106="P0",IF(OR(L106="L",L106="XL"),"GĐ2","GĐ1"),IF(K106="P1",IF(L106="S","GĐ2","GĐ3"),"GĐ4"))</f>
        <v/>
      </c>
      <c r="N106" s="47" t="inlineStr">
        <is>
          <t>Khối resume dài hơn (giới hạn khoảng 1.5k token).</t>
        </is>
      </c>
      <c r="O106" s="47" t="inlineStr">
        <is>
          <t>test hồi quy mở lại sau C2; số lời gọi ledger.query/ask_user ở lượt đầu sau mở lại; pass@1 nhiệm vụ 'làm tiếp' qua hai phiên</t>
        </is>
      </c>
      <c r="P106" s="47" t="n"/>
      <c r="Q106" s="48" t="inlineStr">
        <is>
          <t>Chưa làm</t>
        </is>
      </c>
      <c r="R106" s="47" t="n"/>
      <c r="S106" s="47" t="n"/>
    </row>
    <row r="107" ht="102" customHeight="1" s="27">
      <c r="A107" s="46" t="inlineStr">
        <is>
          <t>M5-18</t>
        </is>
      </c>
      <c r="B107" s="47" t="inlineStr">
        <is>
          <t>5. Tri thức, RAG &amp; bộ nhớ</t>
        </is>
      </c>
      <c r="C107" s="47" t="inlineStr">
        <is>
          <t>Đo mất mát thông tin sau nén C2 (phiếu kiểm)</t>
        </is>
      </c>
      <c r="D107" s="47" t="inlineStr">
        <is>
          <t>T14 Bộ nhớ, nén &amp; phục hồi phiên</t>
        </is>
      </c>
      <c r="E107" s="47" t="inlineStr">
        <is>
          <t>src/eide/memory/summary.py:142-200 (lam_phieu_kiem), 127-140 (CauKiem.dung)</t>
        </is>
      </c>
      <c r="F107" s="47" t="inlineStr">
        <is>
          <t>Sau C2, hệ thống hỏi lại 3 câu và chấm bằng mã, có bước loại câu 'không công bằng' bằng cách hỏi trên ngữ cảnh gốc (thiết kế tốt). Nhưng câu hỏi yếu: câu ADR là 'Quyết định ADR-03 là quyết định về việc gì? Nêu mã của nó.' với đáp án là 'ADR-03', đáp án nằm sẵn trong câu hỏi nên luôn đạt. Câu cổng là đúng/sai, đoán trúng 50 %. Câu bù lấy từ đầu tiên dài từ 5 chữ trong lời người đầu phiên. Câu hỏi lấy từ ledger toàn cục chứ không từ ĐOẠN bị nén. Không câu nào hỏi về con số, ràng buộc hay đường dẫn tệp trong đoạn.</t>
        </is>
      </c>
      <c r="G107" s="47" t="inlineStr">
        <is>
          <t>Điểm '3/3' gần như vô nghĩa nên không đo được mất mát thông tin thật. Nén có thể làm mất ràng buộc hay số then chốt mà vẫn qua kiểm.</t>
        </is>
      </c>
      <c r="H107" s="47" t="inlineStr">
        <is>
          <t>Evaluator–Optimizer</t>
        </is>
      </c>
      <c r="I107" s="47" t="inlineStr">
        <is>
          <t>Sinh phiếu bằng MÃ từ chính `doan`: (a) mọi số kèm đơn vị trong lời người hoặc kết quả tool, (b) fact_id, ADR, đường dẫn tệp được sửa, (c) câu chứa 'không được', 'đừng', 'phải', 'luôn' trong lời người. Hỏi dạng che đáp án ('Giới hạn dòng mà người dùng đặt cho kênh PWM là bao nhiêu?'). Chọn 5-8 câu. Thêm kiểm phủ (coverage) tất định không tốn token: tỉ lệ id và số của (a)(b) xuất hiện trong bản tóm tắt hoặc M2. Ghi `ty_le_phu` và `diem_kiem` vào ledger để memory.metrics theo dõi.</t>
        </is>
      </c>
      <c r="J107" s="47" t="inlineStr">
        <is>
          <t>Có chỉ số mất mát thông tin thật, chặn được bản nén làm rơi ràng buộc hay số liệu.</t>
        </is>
      </c>
      <c r="K107" s="48" t="inlineStr">
        <is>
          <t>P1</t>
        </is>
      </c>
      <c r="L107" s="48" t="inlineStr">
        <is>
          <t>M</t>
        </is>
      </c>
      <c r="M107" s="48">
        <f>IF(K107="P0",IF(OR(L107="L",L107="XL"),"GĐ2","GĐ1"),IF(K107="P1",IF(L107="S","GĐ2","GĐ3"),"GĐ4"))</f>
        <v/>
      </c>
      <c r="N107" s="47" t="inlineStr">
        <is>
          <t>Kiểm chặt hơn làm C2 bị huỷ nhiều hơn, cần ngưỡng hợp lý (ví dụ phủ ≥ 90 %).</t>
        </is>
      </c>
      <c r="O107" s="47" t="inlineStr">
        <is>
          <t>ty_le_phu id/số; tỉ lệ kiểm đạt lần đầu; số sự cố 'quên ràng buộc' sau nén</t>
        </is>
      </c>
      <c r="P107" s="47" t="n"/>
      <c r="Q107" s="48" t="inlineStr">
        <is>
          <t>Chưa làm</t>
        </is>
      </c>
      <c r="R107" s="47" t="n"/>
      <c r="S107" s="47" t="n"/>
    </row>
    <row r="108" ht="102" customHeight="1" s="27">
      <c r="A108" s="46" t="inlineStr">
        <is>
          <t>M5-19</t>
        </is>
      </c>
      <c r="B108" s="47" t="inlineStr">
        <is>
          <t>5. Tri thức, RAG &amp; bộ nhớ</t>
        </is>
      </c>
      <c r="C108" s="47" t="inlineStr">
        <is>
          <t>Lược đồ và đầu vào của bản tóm tắt C2; PreCompact</t>
        </is>
      </c>
      <c r="D108" s="47" t="inlineStr">
        <is>
          <t>T14 Bộ nhớ, nén &amp; phục hồi phiên</t>
        </is>
      </c>
      <c r="E108" s="47" t="inlineStr">
        <is>
          <t>src/eide/memory/summary.py:27-38 (MUC), ~238-242 (prompt_tom_tat cắt `str(chu)[:1500]`); src/eide/memory/nen.py:87-112 (pre_compact)</t>
        </is>
      </c>
      <c r="F108" s="47" t="inlineStr">
        <is>
          <t>Lược đồ có 10 mục (quyết định, giả định, sửa của người, việc còn lại, lỗi đã gặp...) nhưng không có mục 'ràng buộc kỹ thuật / yêu cầu của người' và 'con số then chốt kèm fact_id'. Trần token mỗi mục chỉ nằm trong description ('một con số trong mã là ràng buộc' nhưng không mã nào kiểm). Mỗi message đưa vào prompt bị cắt còn 1500 ký tự trước khi tóm tắt. pre_compact chỉ LIỆT KÊ mã ADR/FR chưa có trong M2 (`chua_co_trong_M2`), không ai xử lý danh sách đó (grep rut_vao_m2 chỉ ra nen.py).</t>
        </is>
      </c>
      <c r="G108" s="47" t="inlineStr">
        <is>
          <t>Ràng buộc người nói giữa chừng (không phải quyết định chính thức) và số nằm sau ký tự 1500 của một kết quả tool bị mất trước khi tóm tắt. Sự thật chưa vào M2 mất luôn khi đoạn bị nén.</t>
        </is>
      </c>
      <c r="H108" s="47" t="inlineStr">
        <is>
          <t>Memory-augmented/MemGPT; Prompt Chaining (cổng kiểm)</t>
        </is>
      </c>
      <c r="I108" s="47" t="inlineStr">
        <is>
          <t>Thêm mục `rang_buoc` [{noi_dung, nguon_luot}] và `so_lieu_then_chot` [{gia_tri, don_vi, fact_id|nguon}] vào MUC và MUC_KHONG_DUOC_BO. Kiểm trần bằng mã (uoc_token mỗi mục; vượt thì yêu cầu viết lại một lần). Thay việc cắt 1500 ký tự bằng envelope summary_line cộng các số và id trích bằng regex. Nếu pre_compact thấy `chua_co_trong_M2` khác rỗng thì chèn chúng vào bản tóm tắt nguyên văn, hoặc tạo thẻ đề xuất memory.note/store trước khi nén.</t>
        </is>
      </c>
      <c r="J108" s="47" t="inlineStr">
        <is>
          <t>Giữ được ràng buộc và số liệu qua nén. PreCompact thực sự bảo vệ sự thật.</t>
        </is>
      </c>
      <c r="K108" s="48" t="inlineStr">
        <is>
          <t>P1</t>
        </is>
      </c>
      <c r="L108" s="48" t="inlineStr">
        <is>
          <t>M</t>
        </is>
      </c>
      <c r="M108" s="48">
        <f>IF(K108="P0",IF(OR(L108="L",L108="XL"),"GĐ2","GĐ1"),IF(K108="P1",IF(L108="S","GĐ2","GĐ3"),"GĐ4"))</f>
        <v/>
      </c>
      <c r="N108" s="47" t="inlineStr">
        <is>
          <t>Bản tóm tắt dài thêm khoảng 300 token.</t>
        </is>
      </c>
      <c r="O108" s="47" t="inlineStr">
        <is>
          <t>ty_le_phu (mục phiếu kiểm); số id trong chua_co_trong_M2 bị mất sau nén</t>
        </is>
      </c>
      <c r="P108" s="47" t="n"/>
      <c r="Q108" s="48" t="inlineStr">
        <is>
          <t>Chưa làm</t>
        </is>
      </c>
      <c r="R108" s="47" t="n"/>
      <c r="S108" s="47" t="n"/>
    </row>
    <row r="109" ht="68.25" customHeight="1" s="27">
      <c r="A109" s="46" t="inlineStr">
        <is>
          <t>M5-20</t>
        </is>
      </c>
      <c r="B109" s="47" t="inlineStr">
        <is>
          <t>5. Tri thức, RAG &amp; bộ nhớ</t>
        </is>
      </c>
      <c r="C109" s="47" t="inlineStr">
        <is>
          <t>Nén cơ học C1</t>
        </is>
      </c>
      <c r="D109" s="47" t="inlineStr">
        <is>
          <t>T02 Ngữ cảnh, lược đồ công cụ &amp; token</t>
        </is>
      </c>
      <c r="E109" s="47" t="inlineStr">
        <is>
          <t>src/eide/memory/compact.py:5, 60-68 (_khoa_doc chỉ fs.read), 113-118 (stub quá 8 lượt)</t>
        </is>
      </c>
      <c r="F109" s="47" t="inlineStr">
        <is>
          <t>C1 thay kết quả tool quá 8 lượt bằng dòng tóm tắt cộng blob_ref, gộp trùng lần đọc lại, đánh dấu bản cũ, thu gọn thẻ đã đóng: 0 token, tốt. Docstring nói 'không được nhắc trong 8 lượt' nhưng mã không theo dõi việc nhắc, chỉ đếm tuổi. Gộp trùng chỉ áp cho fs.read, không áp cho doc.read, store.get, fact.query.</t>
        </is>
      </c>
      <c r="G109" s="47" t="inlineStr">
        <is>
          <t>Một kết quả quan trọng (bảng chân, đoạn datasheet) vẫn đang được dùng có thể bị thay bằng dòng tóm tắt, mô hình phải gọi blob.read hoặc đọc lại. Đọc lặp doc.read cùng đoạn thì không được gộp, tốn ngữ cảnh.</t>
        </is>
      </c>
      <c r="H109" s="47" t="inlineStr">
        <is>
          <t>Memory-augmented (quản lý ngữ cảnh làm việc)</t>
        </is>
      </c>
      <c r="I109" s="47" t="inlineStr">
        <is>
          <t>Ghi `_luot_nhac_cuoi` cho mỗi message tool: cập nhật khi lời gọi sau có args trùng (doc_id+muc/tim, path, fact_id) hoặc khi câu trả lời của mô hình trích blob hay trích dẫn của nó. Đổi điều kiện stub thành `luot_cuoi - max(_luot, _luot_nhac_cuoi) &gt;= 8`. Mở rộng _khoa_doc cho doc.read (doc_id, tim, muc, tu), store.get (id, version), fact.query (args).</t>
        </is>
      </c>
      <c r="J109" s="47" t="inlineStr">
        <is>
          <t>Ít đọc lại hơn. Ngữ cảnh giữ đúng thứ đang dùng.</t>
        </is>
      </c>
      <c r="K109" s="48" t="inlineStr">
        <is>
          <t>P2</t>
        </is>
      </c>
      <c r="L109" s="48" t="inlineStr">
        <is>
          <t>S</t>
        </is>
      </c>
      <c r="M109" s="48">
        <f>IF(K109="P0",IF(OR(L109="L",L109="XL"),"GĐ2","GĐ1"),IF(K109="P1",IF(L109="S","GĐ2","GĐ3"),"GĐ4"))</f>
        <v/>
      </c>
      <c r="N109" s="47" t="inlineStr">
        <is>
          <t>Heuristic 'nhắc' có thể giữ quá nhiều.</t>
        </is>
      </c>
      <c r="O109" s="47" t="inlineStr">
        <is>
          <t>số lời gọi blob.read hoặc đọc lại cùng nội dung mỗi phiên; giam_phan_tram của C1</t>
        </is>
      </c>
      <c r="P109" s="47" t="n"/>
      <c r="Q109" s="48" t="inlineStr">
        <is>
          <t>Chưa làm</t>
        </is>
      </c>
      <c r="R109" s="47" t="n"/>
      <c r="S109" s="47" t="n"/>
    </row>
    <row r="110" ht="90.75" customHeight="1" s="27">
      <c r="A110" s="46" t="inlineStr">
        <is>
          <t>M5-21</t>
        </is>
      </c>
      <c r="B110" s="47" t="inlineStr">
        <is>
          <t>5. Tri thức, RAG &amp; bộ nhớ</t>
        </is>
      </c>
      <c r="C110" s="47" t="inlineStr">
        <is>
          <t>Bộ đánh giá (eval) cho trích xuất, tìm kiếm và bộ nhớ</t>
        </is>
      </c>
      <c r="D110" s="47" t="inlineStr">
        <is>
          <t>T15 Đo lường &amp; bộ đánh giá (eval)</t>
        </is>
      </c>
      <c r="E110" s="47" t="inlineStr">
        <is>
          <t>tests/test_tri_thuc.py, test_doc_van_ban.py, test_ing_*.py, test_mem_*.py (khoảng 350 test đơn vị)</t>
        </is>
      </c>
      <c r="F110" s="47" t="inlineStr">
        <is>
          <t>Test bao các hợp đồng hành vi (tầng BẠC, tiêm lệnh, đơn vị SI, 8 luật so sánh, tombstone, resume có đủ mục) chủ yếu bằng dữ liệu tổng hợp nhỏ. Không có bộ vàng đo chất lượng: precision/recall trích Fact trên datasheet thật, recall@k tìm kiếm, độ đúng trích dẫn, độ mất mát sau nén, khả năng làm tiếp sau resume.</t>
        </is>
      </c>
      <c r="G110" s="47" t="inlineStr">
        <is>
          <t>Không đo được cải tiến (embedding, trích bảng PDF, phiếu kiểm mới) có thật sự tốt hơn không, trái nguyên tắc 'có eval trước khi leo thang'. Các lỗi như lệch khoá fmax/f.max hay resume luôn rỗng lọt qua vì test chỉ khẳng định hình dạng.</t>
        </is>
      </c>
      <c r="H110" s="47" t="inlineStr">
        <is>
          <t>Evaluator–Optimizer (eval trước khi leo thang)</t>
        </is>
      </c>
      <c r="I110" s="47" t="inlineStr">
        <is>
          <t>Tạo tests/eval_tri_thuc/: 3-5 datasheet thật có giấy phép phân phối (ATmega328P, một STM32, ESP32, một cảm biến I2C), mỗi cái có `vang.yaml` gồm khoảng 30 Fact (khoá, giá trị, đơn vị, điều kiện, trang), khoảng 20 câu hỏi kèm đoạn đúng, và pinout. Script `tools/eval_tri_thuc.py` in precision/recall trích, recall@5/MRR, citation precision. Bộ eval_nho: 5 phiên ghi sẵn có ràng buộc gài, đo ty_le_phu sau C2 và pass@1 nhiệm vụ làm tiếp sau resume. Chạy đêm, lưu xu hướng.</t>
        </is>
      </c>
      <c r="J110" s="47" t="inlineStr">
        <is>
          <t>Mọi đề xuất ở trên có số đo trước và sau. Bắt hồi quy chất lượng, không chỉ hồi quy hợp đồng.</t>
        </is>
      </c>
      <c r="K110" s="48" t="inlineStr">
        <is>
          <t>P1</t>
        </is>
      </c>
      <c r="L110" s="48" t="inlineStr">
        <is>
          <t>M</t>
        </is>
      </c>
      <c r="M110" s="48">
        <f>IF(K110="P0",IF(OR(L110="L",L110="XL"),"GĐ2","GĐ1"),IF(K110="P1",IF(L110="S","GĐ2","GĐ3"),"GĐ4"))</f>
        <v/>
      </c>
      <c r="N110" s="47" t="inlineStr">
        <is>
          <t>Công gán nhãn tay ban đầu. Phần eval có LLM tốn token (chạy định kỳ, không chạy mỗi commit).</t>
        </is>
      </c>
      <c r="O110" s="47" t="inlineStr">
        <is>
          <t>chính các chỉ số eval: P/R trích, recall@5, citation precision, ty_le_phu, pass@1 làm tiếp</t>
        </is>
      </c>
      <c r="P110" s="47" t="inlineStr">
        <is>
          <t>M2-18</t>
        </is>
      </c>
      <c r="Q110" s="48" t="inlineStr">
        <is>
          <t>Chưa làm</t>
        </is>
      </c>
      <c r="R110" s="47" t="n"/>
      <c r="S110" s="47" t="n"/>
    </row>
  </sheetData>
  <autoFilter ref="A4:S110"/>
  <conditionalFormatting sqref="K5:K110">
    <cfRule type="expression" rank="0" priority="2" equalAverage="0" aboveAverage="0" dxfId="7" text="" percent="0" bottom="0">
      <formula>$K5="P0"</formula>
    </cfRule>
    <cfRule type="expression" rank="0" priority="3" equalAverage="0" aboveAverage="0" dxfId="8" text="" percent="0" bottom="0">
      <formula>$K5="P1"</formula>
    </cfRule>
    <cfRule type="expression" rank="0" priority="4" equalAverage="0" aboveAverage="0" dxfId="9" text="" percent="0" bottom="0">
      <formula>$K5="P2"</formula>
    </cfRule>
    <cfRule type="expression" rank="0" priority="5" equalAverage="0" aboveAverage="0" dxfId="10" text="" percent="0" bottom="0">
      <formula>$K5="P3"</formula>
    </cfRule>
  </conditionalFormatting>
  <conditionalFormatting sqref="Q5:Q110">
    <cfRule type="expression" rank="0" priority="6" equalAverage="0" aboveAverage="0" dxfId="11" text="" percent="0" bottom="0">
      <formula>$Q5="Xong"</formula>
    </cfRule>
  </conditionalFormatting>
  <dataValidations count="3">
    <dataValidation sqref="Q5:Q110" showDropDown="0" showInputMessage="0" showErrorMessage="0" allowBlank="1" type="list" errorStyle="stop" operator="between">
      <formula1>"Chưa làm,Đang làm,Xong,Hoãn,Không làm"</formula1>
      <formula2>0</formula2>
    </dataValidation>
    <dataValidation sqref="K5:K110" showDropDown="0" showInputMessage="0" showErrorMessage="0" allowBlank="0" type="list" errorStyle="stop" operator="between">
      <formula1>"P0,P1,P2,P3"</formula1>
      <formula2>0</formula2>
    </dataValidation>
    <dataValidation sqref="L5:L110" showDropDown="0" showInputMessage="0" showErrorMessage="0" allowBlank="0" type="list" errorStyle="stop" operator="between">
      <formula1>"S,M,L,XL"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6" customWidth="1" style="26" min="1" max="1"/>
    <col width="24" customWidth="1" style="26" min="2" max="2"/>
    <col width="16" customWidth="1" style="26" min="3" max="3"/>
    <col width="55" customWidth="1" style="26" min="4" max="4"/>
    <col width="65" customWidth="1" style="26" min="5" max="5"/>
    <col width="13" customWidth="1" style="26" min="6" max="7"/>
    <col width="11" customWidth="1" style="26" min="8" max="8"/>
  </cols>
  <sheetData>
    <row r="1" ht="19.5" customHeight="1" s="27">
      <c r="A1" s="28" t="inlineStr">
        <is>
          <t>ĐỐI CHIẾU EIDE v3 VỚI 18 MẪU KIẾN TRÚC AGENT (+ HITL)</t>
        </is>
      </c>
    </row>
    <row r="2" ht="15" customHeight="1" s="27">
      <c r="A2" s="29" t="inlineStr">
        <is>
          <t>Hiện trạng đánh giá từ mã; cột 'Số đề xuất liên quan' đếm tự động các dòng ở sheet Danh mục có nhắc tên mẫu.</t>
        </is>
      </c>
    </row>
    <row r="4" ht="23.25" customHeight="1" s="27">
      <c r="A4" s="31" t="inlineStr">
        <is>
          <t>Nhóm</t>
        </is>
      </c>
      <c r="B4" s="31" t="inlineStr">
        <is>
          <t>Mẫu</t>
        </is>
      </c>
      <c r="C4" s="31" t="inlineStr">
        <is>
          <t>Hiện trạng trong EIDE</t>
        </is>
      </c>
      <c r="D4" s="31" t="inlineStr">
        <is>
          <t>Bằng chứng trong mã</t>
        </is>
      </c>
      <c r="E4" s="31" t="inlineStr">
        <is>
          <t>Hướng áp dụng cho EIDE</t>
        </is>
      </c>
      <c r="F4" s="31" t="inlineStr">
        <is>
          <t>Mức phù hợp</t>
        </is>
      </c>
      <c r="G4" s="31" t="inlineStr">
        <is>
          <t>Số đề xuất liên quan</t>
        </is>
      </c>
      <c r="H4" s="31" t="inlineStr">
        <is>
          <t>P0 liên quan</t>
        </is>
      </c>
    </row>
    <row r="5" ht="23.25" customHeight="1" s="27">
      <c r="A5" s="47" t="inlineStr">
        <is>
          <t>A. Workflow</t>
        </is>
      </c>
      <c r="B5" s="53" t="inlineStr">
        <is>
          <t>Prompt Chaining</t>
        </is>
      </c>
      <c r="C5" s="54" t="inlineStr">
        <is>
          <t>Một phần</t>
        </is>
      </c>
      <c r="D5" s="47" t="inlineStr">
        <is>
          <t>Hook S0 (0 token), kiem_ke_hoach, constant_guard, cổng G-* là các cổng kiểm bằng mã.</t>
        </is>
      </c>
      <c r="E5" s="47" t="inlineStr">
        <is>
          <t>Chưa có chuỗi chặng có cổng cho HDL (lint→sim→độ nhạy→ràng buộc→synth→pnr) và cho sinh mã từng bước (mỗi bước phải build/test).</t>
        </is>
      </c>
      <c r="F5" s="48" t="inlineStr">
        <is>
          <t>Cao</t>
        </is>
      </c>
      <c r="G5" s="48">
        <f>COUNTIF('Danh mục tối ưu'!$H$5:$H$110,"*Prompt Chaining*")</f>
        <v/>
      </c>
      <c r="H5" s="48">
        <f>COUNTIFS('Danh mục tối ưu'!$H$5:$H$110,"*Prompt Chaining*",'Danh mục tối ưu'!$K$5:$K$110,"P0")</f>
        <v/>
      </c>
    </row>
    <row r="6" ht="23.25" customHeight="1" s="27">
      <c r="A6" s="47" t="inlineStr">
        <is>
          <t>A. Workflow</t>
        </is>
      </c>
      <c r="B6" s="53" t="inlineStr">
        <is>
          <t>Routing</t>
        </is>
      </c>
      <c r="C6" s="54" t="inlineStr">
        <is>
          <t>Một phần</t>
        </is>
      </c>
      <c r="D6" s="47" t="inlineStr">
        <is>
          <t>S0 phân loại câu người dùng; công cụ core/ẩn + mở khoá theo ngữ cảnh (_mo_khoa_theo_ngu_canh).</t>
        </is>
      </c>
      <c r="E6" s="47" t="inlineStr">
        <is>
          <t>Định tuyến bộ công cụ theo loại việc (giảm 73→~20 công cụ hiện), định tuyến mức suy nghĩ (thinking) theo bước vì chỉ được dùng một model.</t>
        </is>
      </c>
      <c r="F6" s="48" t="inlineStr">
        <is>
          <t>Cao</t>
        </is>
      </c>
      <c r="G6" s="48">
        <f>COUNTIF('Danh mục tối ưu'!$H$5:$H$110,"*Routing*")</f>
        <v/>
      </c>
      <c r="H6" s="48">
        <f>COUNTIFS('Danh mục tối ưu'!$H$5:$H$110,"*Routing*",'Danh mục tối ưu'!$K$5:$K$110,"P0")</f>
        <v/>
      </c>
    </row>
    <row r="7" ht="23.25" customHeight="1" s="27">
      <c r="A7" s="47" t="inlineStr">
        <is>
          <t>A. Workflow</t>
        </is>
      </c>
      <c r="B7" s="53" t="inlineStr">
        <is>
          <t>Parallelization</t>
        </is>
      </c>
      <c r="C7" s="55" t="inlineStr">
        <is>
          <t>Chưa có</t>
        </is>
      </c>
      <c r="D7" s="47" t="inlineStr">
        <is>
          <t>Mọi lời gọi công cụ chạy tuần tự; không có bỏ phiếu.</t>
        </is>
      </c>
      <c r="E7" s="47" t="inlineStr">
        <is>
          <t>Song song các lời gọi chỉ-đọc trong một phản hồi; task.run_many cho nhiều worker chỉ-đọc; 2 verifier độc lập cho khẳng định R3/R4.</t>
        </is>
      </c>
      <c r="F7" s="48" t="inlineStr">
        <is>
          <t>Trung bình</t>
        </is>
      </c>
      <c r="G7" s="48">
        <f>COUNTIF('Danh mục tối ưu'!$H$5:$H$110,"*Parallelization*")</f>
        <v/>
      </c>
      <c r="H7" s="48">
        <f>COUNTIFS('Danh mục tối ưu'!$H$5:$H$110,"*Parallelization*",'Danh mục tối ưu'!$K$5:$K$110,"P0")</f>
        <v/>
      </c>
    </row>
    <row r="8" ht="23.25" customHeight="1" s="27">
      <c r="A8" s="47" t="inlineStr">
        <is>
          <t>A. Workflow</t>
        </is>
      </c>
      <c r="B8" s="53" t="inlineStr">
        <is>
          <t>Evaluator–Optimizer</t>
        </is>
      </c>
      <c r="C8" s="54" t="inlineStr">
        <is>
          <t>Một phần</t>
        </is>
      </c>
      <c r="D8" s="47" t="inlineStr">
        <is>
          <t>sim.criteria + xet_ket_qua (EIDE phán), subagent verifier, hook đòi tự kiểm.</t>
        </is>
      </c>
      <c r="E8" s="47" t="inlineStr">
        <is>
          <t>Thêm vòng sửa có trần: ERC delta sau mỗi ckm.*, test.harden khi đột biến sống, sửa sau khi verifier bác, phiếu kiểm nén C2 thật.</t>
        </is>
      </c>
      <c r="F8" s="48" t="inlineStr">
        <is>
          <t>Rất cao</t>
        </is>
      </c>
      <c r="G8" s="48">
        <f>COUNTIF('Danh mục tối ưu'!$H$5:$H$110,"*Evaluator*")</f>
        <v/>
      </c>
      <c r="H8" s="48">
        <f>COUNTIFS('Danh mục tối ưu'!$H$5:$H$110,"*Evaluator*",'Danh mục tối ưu'!$K$5:$K$110,"P0")</f>
        <v/>
      </c>
    </row>
    <row r="9" ht="23.25" customHeight="1" s="27">
      <c r="A9" s="47" t="inlineStr">
        <is>
          <t>B. Single-agent</t>
        </is>
      </c>
      <c r="B9" s="53" t="inlineStr">
        <is>
          <t>ReAct</t>
        </is>
      </c>
      <c r="C9" s="56" t="inlineStr">
        <is>
          <t>Đã có (lõi)</t>
        </is>
      </c>
      <c r="D9" s="47" t="inlineStr">
        <is>
          <t>loop.py: vòng native tool-calling, ngân sách 40 lời gọi/300 s, phát hiện quay vòng, câu thay cho im lặng.</t>
        </is>
      </c>
      <c r="E9" s="47" t="inlineStr">
        <is>
          <t>Sửa toàn vẹn cặp gọi–trả, xử lý finish_reason, chống lời gọi trùng y hệt, thử temperature theo khuyến nghị Gemini 3.</t>
        </is>
      </c>
      <c r="F9" s="48" t="inlineStr">
        <is>
          <t>Rất cao</t>
        </is>
      </c>
      <c r="G9" s="48">
        <f>COUNTIF('Danh mục tối ưu'!$H$5:$H$110,"*ReAct*")</f>
        <v/>
      </c>
      <c r="H9" s="48">
        <f>COUNTIFS('Danh mục tối ưu'!$H$5:$H$110,"*ReAct*",'Danh mục tối ưu'!$K$5:$K$110,"P0")</f>
        <v/>
      </c>
    </row>
    <row r="10" ht="23.25" customHeight="1" s="27">
      <c r="A10" s="47" t="inlineStr">
        <is>
          <t>B. Single-agent</t>
        </is>
      </c>
      <c r="B10" s="53" t="inlineStr">
        <is>
          <t>Plan-and-Execute</t>
        </is>
      </c>
      <c r="C10" s="54" t="inlineStr">
        <is>
          <t>Một phần</t>
        </is>
      </c>
      <c r="D10" s="47" t="inlineStr">
        <is>
          <t>Plan mode khoá công cụ ghi, kiểm kế hoạch bằng mã, G-SCOPE duyệt, plan.step_done đòi hiện vật.</t>
        </is>
      </c>
      <c r="E10" s="47" t="inlineStr">
        <is>
          <t>Thêm plan.revise (Replanner), phụ thuộc giữa bước, tiêu chí xong kiểm được bằng máy, ngân sách con theo bước.</t>
        </is>
      </c>
      <c r="F10" s="48" t="inlineStr">
        <is>
          <t>Rất cao</t>
        </is>
      </c>
      <c r="G10" s="48">
        <f>COUNTIF('Danh mục tối ưu'!$H$5:$H$110,"*Plan-and-Execute*")</f>
        <v/>
      </c>
      <c r="H10" s="48">
        <f>COUNTIFS('Danh mục tối ưu'!$H$5:$H$110,"*Plan-and-Execute*",'Danh mục tối ưu'!$K$5:$K$110,"P0")</f>
        <v/>
      </c>
    </row>
    <row r="11" ht="23.25" customHeight="1" s="27">
      <c r="A11" s="47" t="inlineStr">
        <is>
          <t>B. Single-agent</t>
        </is>
      </c>
      <c r="B11" s="53" t="inlineStr">
        <is>
          <t>ReWOO</t>
        </is>
      </c>
      <c r="C11" s="55" t="inlineStr">
        <is>
          <t>Chưa có</t>
        </is>
      </c>
      <c r="D11" s="47" t="inlineStr">
        <is>
          <t>—</t>
        </is>
      </c>
      <c r="E11" s="47" t="inlineStr">
        <is>
          <t>Phù hợp cho chuỗi tra cứu biết trước (nạp datasheet → trích khoá ERC → so sánh). Có thể gộp vào kb.ask / part.select thay vì làm riêng.</t>
        </is>
      </c>
      <c r="F11" s="48" t="inlineStr">
        <is>
          <t>Thấp</t>
        </is>
      </c>
      <c r="G11" s="48">
        <f>COUNTIF('Danh mục tối ưu'!$H$5:$H$110,"*ReWOO*")</f>
        <v/>
      </c>
      <c r="H11" s="48">
        <f>COUNTIFS('Danh mục tối ưu'!$H$5:$H$110,"*ReWOO*",'Danh mục tối ưu'!$K$5:$K$110,"P0")</f>
        <v/>
      </c>
    </row>
    <row r="12" ht="23.25" customHeight="1" s="27">
      <c r="A12" s="47" t="inlineStr">
        <is>
          <t>B. Single-agent</t>
        </is>
      </c>
      <c r="B12" s="53" t="inlineStr">
        <is>
          <t>LLMCompiler</t>
        </is>
      </c>
      <c r="C12" s="55" t="inlineStr">
        <is>
          <t>Chưa có</t>
        </is>
      </c>
      <c r="D12" s="47" t="inlineStr">
        <is>
          <t>—</t>
        </is>
      </c>
      <c r="E12" s="47" t="inlineStr">
        <is>
          <t>Bản nhẹ: DAG chỉ cho lời gọi đọc độc lập trong cùng phản hồi (pha kiểm quyền tuần tự, pha chạy song song).</t>
        </is>
      </c>
      <c r="F12" s="48" t="inlineStr">
        <is>
          <t>Trung bình</t>
        </is>
      </c>
      <c r="G12" s="48">
        <f>COUNTIF('Danh mục tối ưu'!$H$5:$H$110,"*LLMCompiler*")</f>
        <v/>
      </c>
      <c r="H12" s="48">
        <f>COUNTIFS('Danh mục tối ưu'!$H$5:$H$110,"*LLMCompiler*",'Danh mục tối ưu'!$K$5:$K$110,"P0")</f>
        <v/>
      </c>
    </row>
    <row r="13" ht="23.25" customHeight="1" s="27">
      <c r="A13" s="47" t="inlineStr">
        <is>
          <t>B. Single-agent</t>
        </is>
      </c>
      <c r="B13" s="53" t="inlineStr">
        <is>
          <t>Reflexion</t>
        </is>
      </c>
      <c r="C13" s="55" t="inlineStr">
        <is>
          <t>Chưa có</t>
        </is>
      </c>
      <c r="D13" s="47" t="inlineStr">
        <is>
          <t>Thất bại được ghi sổ cái nhưng không chưng cất thành bài học; bài học chỉ nằm trong chú thích mã.</t>
        </is>
      </c>
      <c r="E13" s="47" t="inlineStr">
        <is>
          <t>Hiện vật 'lesson' theo chữ ký lỗi (công cụ + mã lỗi + chip), sinh sau chuỗi lỗi→sửa thành công, tra lại khi gặp lỗi tương tự; mục Bài học trong EIDE.md.</t>
        </is>
      </c>
      <c r="F13" s="48" t="inlineStr">
        <is>
          <t>Rất cao</t>
        </is>
      </c>
      <c r="G13" s="48">
        <f>COUNTIF('Danh mục tối ưu'!$H$5:$H$110,"*Reflexion*")</f>
        <v/>
      </c>
      <c r="H13" s="48">
        <f>COUNTIFS('Danh mục tối ưu'!$H$5:$H$110,"*Reflexion*",'Danh mục tối ưu'!$K$5:$K$110,"P0")</f>
        <v/>
      </c>
    </row>
    <row r="14" ht="23.25" customHeight="1" s="27">
      <c r="A14" s="47" t="inlineStr">
        <is>
          <t>B. Single-agent</t>
        </is>
      </c>
      <c r="B14" s="53" t="inlineStr">
        <is>
          <t>Tree of Thoughts / LATS</t>
        </is>
      </c>
      <c r="C14" s="55" t="inlineStr">
        <is>
          <t>Chưa có</t>
        </is>
      </c>
      <c r="D14" s="47" t="inlineStr">
        <is>
          <t>Có option_create/option_choose nhưng do một mạch suy nghĩ sinh ra, không chấm điểm.</t>
        </is>
      </c>
      <c r="E14" s="47" t="inlineStr">
        <is>
          <t>Chỉ dùng cho quyết định kiến trúc: design.explore sinh ≤3 phương án độc lập + chấm theo rubric REQ. Không áp ToT cho vòng thường (quá đắt).</t>
        </is>
      </c>
      <c r="F14" s="48" t="inlineStr">
        <is>
          <t>Trung bình</t>
        </is>
      </c>
      <c r="G14" s="48">
        <f>COUNTIF('Danh mục tối ưu'!$H$5:$H$110,"*Tree of Thoughts*")</f>
        <v/>
      </c>
      <c r="H14" s="48">
        <f>COUNTIFS('Danh mục tối ưu'!$H$5:$H$110,"*Tree of Thoughts*",'Danh mục tối ưu'!$K$5:$K$110,"P0")</f>
        <v/>
      </c>
    </row>
    <row r="15" ht="23.25" customHeight="1" s="27">
      <c r="A15" s="47" t="inlineStr">
        <is>
          <t>B. Single-agent</t>
        </is>
      </c>
      <c r="B15" s="53" t="inlineStr">
        <is>
          <t>CodeAct</t>
        </is>
      </c>
      <c r="C15" s="54" t="inlineStr">
        <is>
          <t>Một phần</t>
        </is>
      </c>
      <c r="D15" s="47" t="inlineStr">
        <is>
          <t>tool.propose cho tác tử tự viết công cụ lâu dài (có test, có duyệt); 3 công thức đóng trong khoi_thu_vien.</t>
        </is>
      </c>
      <c r="E15" s="47" t="inlineStr">
        <is>
          <t>Thêm calc.eval (biểu thức có đơn vị, không eval tự do) và py.phan_tich chỉ-đọc trong sandbox cho phân tích dùng một lần.</t>
        </is>
      </c>
      <c r="F15" s="48" t="inlineStr">
        <is>
          <t>Cao</t>
        </is>
      </c>
      <c r="G15" s="48">
        <f>COUNTIF('Danh mục tối ưu'!$H$5:$H$110,"*CodeAct*")</f>
        <v/>
      </c>
      <c r="H15" s="48">
        <f>COUNTIFS('Danh mục tối ưu'!$H$5:$H$110,"*CodeAct*",'Danh mục tối ưu'!$K$5:$K$110,"P0")</f>
        <v/>
      </c>
    </row>
    <row r="16" ht="34.5" customHeight="1" s="27">
      <c r="A16" s="47" t="inlineStr">
        <is>
          <t>B. Single-agent</t>
        </is>
      </c>
      <c r="B16" s="53" t="inlineStr">
        <is>
          <t>Agentic RAG</t>
        </is>
      </c>
      <c r="C16" s="55" t="inlineStr">
        <is>
          <t>Chưa có</t>
        </is>
      </c>
      <c r="D16" s="47" t="inlineStr">
        <is>
          <t>doc.read khớp chuỗi con trong MỘT tài liệu, không xếp hạng; SVD được phân loại 'đầy đủ' nhưng không có bộ đọc; PDF không có cấu trúc bảng.</t>
        </is>
      </c>
      <c r="E16" s="47" t="inlineStr">
        <is>
          <t>doc.search lai (FTS5/BM25 + embedding + RRF), kb.ask có định tuyến nguồn – chấm liên quan – viết lại truy vấn – kiểm bám nguồn từng con số.</t>
        </is>
      </c>
      <c r="F16" s="48" t="inlineStr">
        <is>
          <t>Rất cao</t>
        </is>
      </c>
      <c r="G16" s="48">
        <f>COUNTIF('Danh mục tối ưu'!$H$5:$H$110,"*Agentic RAG*")</f>
        <v/>
      </c>
      <c r="H16" s="48">
        <f>COUNTIFS('Danh mục tối ưu'!$H$5:$H$110,"*Agentic RAG*",'Danh mục tối ưu'!$K$5:$K$110,"P0")</f>
        <v/>
      </c>
    </row>
    <row r="17" ht="23.25" customHeight="1" s="27">
      <c r="A17" s="47" t="inlineStr">
        <is>
          <t>B. Single-agent</t>
        </is>
      </c>
      <c r="B17" s="53" t="inlineStr">
        <is>
          <t>Memory-augmented (MemGPT)</t>
        </is>
      </c>
      <c r="C17" s="54" t="inlineStr">
        <is>
          <t>Một phần</t>
        </is>
      </c>
      <c r="D17" s="47" t="inlineStr">
        <is>
          <t>EIDE.md theo dự án, bộ nhớ người dùng có duyệt, nén C1–C4 có blob, tombstone chống hồi sinh, khối resume.</t>
        </is>
      </c>
      <c r="E17" s="47" t="inlineStr">
        <is>
          <t>Sửa resume không nạp bản tóm tắt, render EIDE.md cắt mất §Đừng, supersede Fact, hết hạn/mâu thuẫn, phiếu kiểm nén thật.</t>
        </is>
      </c>
      <c r="F17" s="48" t="inlineStr">
        <is>
          <t>Cao</t>
        </is>
      </c>
      <c r="G17" s="48">
        <f>COUNTIF('Danh mục tối ưu'!$H$5:$H$110,"*Memory*")</f>
        <v/>
      </c>
      <c r="H17" s="48">
        <f>COUNTIFS('Danh mục tối ưu'!$H$5:$H$110,"*Memory*",'Danh mục tối ưu'!$K$5:$K$110,"P0")</f>
        <v/>
      </c>
    </row>
    <row r="18" ht="23.25" customHeight="1" s="27">
      <c r="A18" s="47" t="inlineStr">
        <is>
          <t>C. Multi-agent</t>
        </is>
      </c>
      <c r="B18" s="53" t="inlineStr">
        <is>
          <t>Supervisor–Workers</t>
        </is>
      </c>
      <c r="C18" s="54" t="inlineStr">
        <is>
          <t>Một phần</t>
        </is>
      </c>
      <c r="D18" s="47" t="inlineStr">
        <is>
          <t>task.run với 6+ loại tác tử con, ngữ cảnh sạch, công cụ lọc, báo cáo 6 trường.</t>
        </is>
      </c>
      <c r="E18" s="47" t="inlineStr">
        <is>
          <t>Đưa tác tử con qua cùng hook/policy, ngân sách theo lời gọi + giây, cắt kết quả, nộp báo cáo bằng function call, chạy song song worker chỉ-đọc.</t>
        </is>
      </c>
      <c r="F18" s="48" t="inlineStr">
        <is>
          <t>Cao</t>
        </is>
      </c>
      <c r="G18" s="48">
        <f>COUNTIF('Danh mục tối ưu'!$H$5:$H$110,"*Supervisor*")</f>
        <v/>
      </c>
      <c r="H18" s="48">
        <f>COUNTIFS('Danh mục tối ưu'!$H$5:$H$110,"*Supervisor*",'Danh mục tối ưu'!$K$5:$K$110,"P0")</f>
        <v/>
      </c>
    </row>
    <row r="19" ht="23.25" customHeight="1" s="27">
      <c r="A19" s="47" t="inlineStr">
        <is>
          <t>C. Multi-agent</t>
        </is>
      </c>
      <c r="B19" s="53" t="inlineStr">
        <is>
          <t>Hierarchical</t>
        </is>
      </c>
      <c r="C19" s="55" t="inlineStr">
        <is>
          <t>Chưa có</t>
        </is>
      </c>
      <c r="D19" s="47" t="inlineStr">
        <is>
          <t>—</t>
        </is>
      </c>
      <c r="E19" s="47" t="inlineStr">
        <is>
          <t>Chưa cần: một supervisor một tầng chưa được chứng minh là thiếu. Chỉ xét khi có dự án nhiều miền (mạch + FPGA + firmware) chạy dài nhiều ngày.</t>
        </is>
      </c>
      <c r="F19" s="48" t="inlineStr">
        <is>
          <t>Thấp</t>
        </is>
      </c>
      <c r="G19" s="48">
        <f>COUNTIF('Danh mục tối ưu'!$H$5:$H$110,"*Hierarchical*")</f>
        <v/>
      </c>
      <c r="H19" s="48">
        <f>COUNTIFS('Danh mục tối ưu'!$H$5:$H$110,"*Hierarchical*",'Danh mục tối ưu'!$K$5:$K$110,"P0")</f>
        <v/>
      </c>
    </row>
    <row r="20" ht="23.25" customHeight="1" s="27">
      <c r="A20" s="47" t="inlineStr">
        <is>
          <t>C. Multi-agent</t>
        </is>
      </c>
      <c r="B20" s="53" t="inlineStr">
        <is>
          <t>Swarm / Handoff</t>
        </is>
      </c>
      <c r="C20" s="55" t="inlineStr">
        <is>
          <t>Chưa có</t>
        </is>
      </c>
      <c r="D20" s="47" t="inlineStr">
        <is>
          <t>—</t>
        </is>
      </c>
      <c r="E20" s="47" t="inlineStr">
        <is>
          <t>Không khuyến nghị: EIDE có một người dùng, một giao diện; chuyển giao ngang hàng làm mất bức tranh toàn cục.</t>
        </is>
      </c>
      <c r="F20" s="48" t="inlineStr">
        <is>
          <t>Thấp</t>
        </is>
      </c>
      <c r="G20" s="48">
        <f>COUNTIF('Danh mục tối ưu'!$H$5:$H$110,"*Swarm*")</f>
        <v/>
      </c>
      <c r="H20" s="48">
        <f>COUNTIFS('Danh mục tối ưu'!$H$5:$H$110,"*Swarm*",'Danh mục tối ưu'!$K$5:$K$110,"P0")</f>
        <v/>
      </c>
    </row>
    <row r="21" ht="34.5" customHeight="1" s="27">
      <c r="A21" s="47" t="inlineStr">
        <is>
          <t>C. Multi-agent</t>
        </is>
      </c>
      <c r="B21" s="53" t="inlineStr">
        <is>
          <t>Debate</t>
        </is>
      </c>
      <c r="C21" s="55" t="inlineStr">
        <is>
          <t>Chưa có</t>
        </is>
      </c>
      <c r="D21" s="47" t="inlineStr">
        <is>
          <t>design-review chỉ soi mạch và chỉ chạy khi tác tử chính tự giao.</t>
        </is>
      </c>
      <c r="E21" s="47" t="inlineStr">
        <is>
          <t>Phản biện tự động khi chốt ADR (phan-bien / sw-design-review), criteria-critic trước khi người duyệt tiêu chí, req-critic cho đặc tả. Trần 1 vòng phản biện + 1 vòng sửa.</t>
        </is>
      </c>
      <c r="F21" s="48" t="inlineStr">
        <is>
          <t>Trung bình</t>
        </is>
      </c>
      <c r="G21" s="48">
        <f>COUNTIF('Danh mục tối ưu'!$H$5:$H$110,"*Debate*")</f>
        <v/>
      </c>
      <c r="H21" s="48">
        <f>COUNTIFS('Danh mục tối ưu'!$H$5:$H$110,"*Debate*",'Danh mục tối ưu'!$K$5:$K$110,"P0")</f>
        <v/>
      </c>
    </row>
    <row r="22" ht="23.25" customHeight="1" s="27">
      <c r="A22" s="47" t="inlineStr">
        <is>
          <t>C. Multi-agent</t>
        </is>
      </c>
      <c r="B22" s="53" t="inlineStr">
        <is>
          <t>Blackboard</t>
        </is>
      </c>
      <c r="C22" s="54" t="inlineStr">
        <is>
          <t>Một phần</t>
        </is>
      </c>
      <c r="D22" s="47" t="inlineStr">
        <is>
          <t>Kho hiện vật + sổ cái + lan STALE (deps.py) đóng vai bảng trạng thái chung.</t>
        </is>
      </c>
      <c r="E22" s="47" t="inlineStr">
        <is>
          <t>Ghi deps.upstream thật (hiện luôn rỗng) để STALE đúng chỗ và có ma trận truy vết REQ→thiết kế→mã→test; address_map dùng chung RTL↔firmware.</t>
        </is>
      </c>
      <c r="F22" s="48" t="inlineStr">
        <is>
          <t>Cao</t>
        </is>
      </c>
      <c r="G22" s="48">
        <f>COUNTIF('Danh mục tối ưu'!$H$5:$H$110,"*Blackboard*")</f>
        <v/>
      </c>
      <c r="H22" s="48">
        <f>COUNTIFS('Danh mục tối ưu'!$H$5:$H$110,"*Blackboard*",'Danh mục tối ưu'!$K$5:$K$110,"P0")</f>
        <v/>
      </c>
    </row>
    <row r="23" ht="23.25" customHeight="1" s="27">
      <c r="A23" s="47" t="inlineStr">
        <is>
          <t>D. Cắt ngang</t>
        </is>
      </c>
      <c r="B23" s="53" t="inlineStr">
        <is>
          <t>Human-in-the-loop</t>
        </is>
      </c>
      <c r="C23" s="56" t="inlineStr">
        <is>
          <t>Đã có (mạnh)</t>
        </is>
      </c>
      <c r="D23" s="47" t="inlineStr">
        <is>
          <t>Policy R0–R4, thẻ cổng G-*, nhớ duyệt trong lượt (trừ không hoàn tác/never_auto/≥R4), soft-lock tệp, kiểm xuất xứ quyết định người.</t>
        </is>
      </c>
      <c r="E23" s="47" t="inlineStr">
        <is>
          <t>Thất bại an toàn khi luật policy lỗi; cổng G-QUAL cho việc sửa test sau khi đỏ; HITL cho đo mạch thật; tác tử con hiện đi vòng qua HITL.</t>
        </is>
      </c>
      <c r="F23" s="48" t="inlineStr">
        <is>
          <t>Rất cao</t>
        </is>
      </c>
      <c r="G23" s="48">
        <f>COUNTIF('Danh mục tối ưu'!$H$5:$H$110,"*Human-in-the-loop*")</f>
        <v/>
      </c>
      <c r="H23" s="48">
        <f>COUNTIFS('Danh mục tối ưu'!$H$5:$H$110,"*Human-in-the-loop*",'Danh mục tối ưu'!$K$5:$K$110,"P0")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6" min="1" max="1"/>
    <col width="34" customWidth="1" style="26" min="2" max="3"/>
    <col width="55" customWidth="1" style="26" min="4" max="5"/>
  </cols>
  <sheetData>
    <row r="1" ht="19.5" customHeight="1" s="27">
      <c r="A1" s="28" t="inlineStr">
        <is>
          <t>ĐIỂM MẠNH HIỆN CÓ — GIỮ NGUYÊN, KHÔNG ĐỀ XUẤT TRÙNG</t>
        </is>
      </c>
    </row>
    <row r="3" ht="15" customHeight="1" s="27">
      <c r="A3" s="31" t="inlineStr">
        <is>
          <t>#</t>
        </is>
      </c>
      <c r="B3" s="31" t="inlineStr">
        <is>
          <t>Cơ chế</t>
        </is>
      </c>
      <c r="C3" s="31" t="inlineStr">
        <is>
          <t>Vị trí</t>
        </is>
      </c>
      <c r="D3" s="31" t="inlineStr">
        <is>
          <t>Vì sao giá trị</t>
        </is>
      </c>
      <c r="E3" s="31" t="inlineStr">
        <is>
          <t>Cách tận dụng khi tối ưu</t>
        </is>
      </c>
    </row>
    <row r="4" ht="34.5" customHeight="1" s="27">
      <c r="A4" s="48" t="n">
        <v>1</v>
      </c>
      <c r="B4" s="53" t="inlineStr">
        <is>
          <t>Ba lớp xác định quanh mọi lời gọi công cụ</t>
        </is>
      </c>
      <c r="C4" s="47" t="inlineStr">
        <is>
          <t>loop.py::_one_tool; hooks/; policy/engine.py</t>
        </is>
      </c>
      <c r="D4" s="47" t="inlineStr">
        <is>
          <t>Mô hình không có đường nào làm việc mà không qua pre_tool_use → policy → post_tool_use; lỗi quay về mô hình như dữ liệu kèm hướng dẫn.</t>
        </is>
      </c>
      <c r="E4" s="47" t="inlineStr">
        <is>
          <t>Tách thành hàm dùng chung để tác tử con cũng đi qua (M1-03).</t>
        </is>
      </c>
    </row>
    <row r="5" ht="23.25" customHeight="1" s="27">
      <c r="A5" s="48" t="n">
        <v>2</v>
      </c>
      <c r="B5" s="53" t="inlineStr">
        <is>
          <t>Transcript ghi trước (write-ahead)</t>
        </is>
      </c>
      <c r="C5" s="47" t="inlineStr">
        <is>
          <t>loop.py::DanhSachGhiDia; memory/transcript.py</t>
        </is>
      </c>
      <c r="D5" s="47" t="inlineStr">
        <is>
          <t>Mọi message xuống đĩa trước khi vào RAM; phát hiện phiên dừng giữa chừng và công cụ có tác dụng phụ chưa có kết quả.</t>
        </is>
      </c>
      <c r="E5" s="47" t="inlineStr">
        <is>
          <t>Nền cho checkpoint HITL và resume đầy đủ (M5-17).</t>
        </is>
      </c>
    </row>
    <row r="6" ht="23.25" customHeight="1" s="27">
      <c r="A6" s="48" t="n">
        <v>3</v>
      </c>
      <c r="B6" s="53" t="inlineStr">
        <is>
          <t>Thẻ cổng + nhớ duyệt trong lượt</t>
        </is>
      </c>
      <c r="C6" s="47" t="inlineStr">
        <is>
          <t>loop.py::_da_duyet_roi</t>
        </is>
      </c>
      <c r="D6" s="47" t="inlineStr">
        <is>
          <t>Bớt 16 thẻ G-DATA cho cùng một công cụ, nhưng vẫn hỏi lại với thao tác không hoàn tác, never_auto, ≥R4.</t>
        </is>
      </c>
      <c r="E6" s="47" t="inlineStr">
        <is>
          <t>Giữ quy tắc này khi thêm cổng G-QUAL cho sửa test (M4-02).</t>
        </is>
      </c>
    </row>
    <row r="7" ht="23.25" customHeight="1" s="27">
      <c r="A7" s="48" t="n">
        <v>4</v>
      </c>
      <c r="B7" s="53" t="inlineStr">
        <is>
          <t>Plan mode khoá công cụ ghi + kiểm kế hoạch bằng mã</t>
        </is>
      </c>
      <c r="C7" s="47" t="inlineStr">
        <is>
          <t>ke_hoach.py; loop.py::_khoa_khi_soan_ke_hoach</t>
        </is>
      </c>
      <c r="D7" s="47" t="inlineStr">
        <is>
          <t>Trình cách làm trước khi tiêu lời gọi; đòi bước chọn kiến trúc và code.analyze.</t>
        </is>
      </c>
      <c r="E7" s="47" t="inlineStr">
        <is>
          <t>Mở rộng bằng tiêu chí xong + plan.revise (M1-13, M2-06).</t>
        </is>
      </c>
    </row>
    <row r="8" ht="23.25" customHeight="1" s="27">
      <c r="A8" s="48" t="n">
        <v>5</v>
      </c>
      <c r="B8" s="53" t="inlineStr">
        <is>
          <t>Phát hiện quay vòng + câu thay cho im lặng / hết ngân sách</t>
        </is>
      </c>
      <c r="C8" s="47" t="inlineStr">
        <is>
          <t>loop.py::_nhac_neu_dang_quay_vong, _cau_im_lang, _cau_het_ngan_sach</t>
        </is>
      </c>
      <c r="D8" s="47" t="inlineStr">
        <is>
          <t>Biến chỗ mù của mô hình thành tín hiệu; luôn nói ra đã làm gì và cần gõ gì để đi tiếp.</t>
        </is>
      </c>
      <c r="E8" s="47" t="inlineStr">
        <is>
          <t>Bổ sung chống lời gọi trùng y hệt và leo thang (M1-17).</t>
        </is>
      </c>
    </row>
    <row r="9" ht="34.5" customHeight="1" s="27">
      <c r="A9" s="48" t="n">
        <v>6</v>
      </c>
      <c r="B9" s="53" t="inlineStr">
        <is>
          <t>Tiêu chí-trước cho mô phỏng, EIDE phán bằng mã</t>
        </is>
      </c>
      <c r="C9" s="47" t="inlineStr">
        <is>
          <t>build/tieu_chi.py::xet_ket_qua; tools/xay_dung.py::sim_run</t>
        </is>
      </c>
      <c r="D9" s="47" t="inlineStr">
        <is>
          <t>Chương trình chỉ đo, EIDE so ngưỡng có nguồn; ba trạng thái dat/khong_dat/chua_do_duoc; đổi ngưỡng sau kết quả phải qua G-QUAL.</t>
        </is>
      </c>
      <c r="E9" s="47" t="inlineStr">
        <is>
          <t>Dùng làm lõi chung cho unit test, HDL, HIL (M4-01, M4-14, M3-12).</t>
        </is>
      </c>
    </row>
    <row r="10" ht="23.25" customHeight="1" s="27">
      <c r="A10" s="48" t="n">
        <v>7</v>
      </c>
      <c r="B10" s="53" t="inlineStr">
        <is>
          <t>Đọc ngược Flash khi nạp</t>
        </is>
      </c>
      <c r="C10" s="47" t="inlineStr">
        <is>
          <t>tools/mach_that.py::target_verify</t>
        </is>
      </c>
      <c r="D10" s="47" t="inlineStr">
        <is>
          <t>So từng byte sau khi nạp, và nói thẳng khi công cụ nạp không hỗ trợ verify.</t>
        </is>
      </c>
      <c r="E10" s="47" t="inlineStr">
        <is>
          <t>Nối với hil.run để kiểm thử trên bo có máy chấm (M4-14).</t>
        </is>
      </c>
    </row>
    <row r="11" ht="23.25" customHeight="1" s="27">
      <c r="A11" s="48" t="n">
        <v>8</v>
      </c>
      <c r="B11" s="53" t="inlineStr">
        <is>
          <t>Tác tử tự viết công cụ có test và duyệt</t>
        </is>
      </c>
      <c r="C11" s="47" t="inlineStr">
        <is>
          <t>nang_luc.py; tools/nang_luc.py (tool.propose)</t>
        </is>
      </c>
      <c r="D11" s="47" t="inlineStr">
        <is>
          <t>Năng lực tự mở rộng có kiểm soát; công cụ đã duyệt được nạp lại khi mở dự án.</t>
        </is>
      </c>
      <c r="E11" s="47" t="inlineStr">
        <is>
          <t>Làm đích nâng cấp cho đoạn py.phan_tich dùng lại ≥3 lần (M1-21).</t>
        </is>
      </c>
    </row>
    <row r="12" ht="23.25" customHeight="1" s="27">
      <c r="A12" s="48" t="n">
        <v>9</v>
      </c>
      <c r="B12" s="53" t="inlineStr">
        <is>
          <t>Kiểm xuất xứ quyết định của người</t>
        </is>
      </c>
      <c r="C12" s="47" t="inlineStr">
        <is>
          <t>tools/design.py::_kiem_nguoi_that_su_chon</t>
        </is>
      </c>
      <c r="D12" s="47" t="inlineStr">
        <is>
          <t>Chặn tác tử tự nhận 'người đã chọn' mà không có câu trích thật trong sổ cái.</t>
        </is>
      </c>
      <c r="E12" s="47" t="inlineStr">
        <is>
          <t>Áp lại cho store.req_create/req_update (M2-19).</t>
        </is>
      </c>
    </row>
    <row r="13" ht="23.25" customHeight="1" s="27">
      <c r="A13" s="48" t="n">
        <v>10</v>
      </c>
      <c r="B13" s="53" t="inlineStr">
        <is>
          <t>Chốt hằng số không nguồn (constant_guard, N1)</t>
        </is>
      </c>
      <c r="C13" s="47" t="inlineStr">
        <is>
          <t>hooks/standard.py</t>
        </is>
      </c>
      <c r="D13" s="47" t="inlineStr">
        <is>
          <t>Số trong mã phải có Fact hoặc lời người; chặn số nhớ/bịa.</t>
        </is>
      </c>
      <c r="E13" s="47" t="inlineStr">
        <is>
          <t>Cần chạy cả cho tác tử con (M1-03) và cho câu trả lời văn xuôi (M5-02).</t>
        </is>
      </c>
    </row>
    <row r="14" ht="23.25" customHeight="1" s="27">
      <c r="A14" s="48" t="n">
        <v>11</v>
      </c>
      <c r="B14" s="53" t="inlineStr">
        <is>
          <t>Phong bì kết quả + blob</t>
        </is>
      </c>
      <c r="C14" s="47" t="inlineStr">
        <is>
          <t>memory/envelope.py; memory/compact.py (C1)</t>
        </is>
      </c>
      <c r="D14" s="47" t="inlineStr">
        <is>
          <t>Kết quả dài không đi nguyên văn vào transcript; mô hình đọc lại bằng blob.read.</t>
        </is>
      </c>
      <c r="E14" s="47" t="inlineStr">
        <is>
          <t>Thêm chính sách riêng cho doc.read / fact.* (M5-13) và cho tác tử con (M1-05).</t>
        </is>
      </c>
    </row>
    <row r="15" ht="23.25" customHeight="1" s="27">
      <c r="A15" s="48" t="n">
        <v>12</v>
      </c>
      <c r="B15" s="53" t="inlineStr">
        <is>
          <t>Bộ dò 'ok nhưng rỗng'</t>
        </is>
      </c>
      <c r="C15" s="47" t="inlineStr">
        <is>
          <t>ket_qua.py::khong_noi_gi</t>
        </is>
      </c>
      <c r="D15" s="47" t="inlineStr">
        <is>
          <t>Phân biệt lời gọi thành công với kết quả có nội dung; nhắc một lần mỗi công cụ.</t>
        </is>
      </c>
      <c r="E15" s="47" t="inlineStr">
        <is>
          <t>Dời lời nhắc ra sau message tool để không lệch cặp gọi–trả (M1-01).</t>
        </is>
      </c>
    </row>
    <row r="16" ht="23.25" customHeight="1" s="27">
      <c r="A16" s="48" t="n">
        <v>13</v>
      </c>
      <c r="B16" s="53" t="inlineStr">
        <is>
          <t>Bộ nhớ có tombstone + duyệt trước khi nhớ người dùng</t>
        </is>
      </c>
      <c r="C16" s="47" t="inlineStr">
        <is>
          <t>store/eide_md.py; memory/nguoi_dung.py</t>
        </is>
      </c>
      <c r="D16" s="47" t="inlineStr">
        <is>
          <t>Điều đã quên không hồi sinh; không ghi bộ nhớ người dùng khi chưa bấm đồng ý.</t>
        </is>
      </c>
      <c r="E16" s="47" t="inlineStr">
        <is>
          <t>Giữ khi thêm hiện vật 'lesson' (M5-14).</t>
        </is>
      </c>
    </row>
    <row r="17" ht="15" customHeight="1" s="27">
      <c r="A17" s="48" t="n">
        <v>14</v>
      </c>
      <c r="B17" s="53" t="inlineStr">
        <is>
          <t>Sơ đồ kiến trúc chỉ vẽ khi có cạnh thật</t>
        </is>
      </c>
      <c r="C17" s="47" t="inlineStr">
        <is>
          <t>kien_truc.py</t>
        </is>
      </c>
      <c r="D17" s="47" t="inlineStr">
        <is>
          <t>Không vẽ sơ đồ trang trí; nói rõ vì sao không vẽ được.</t>
        </is>
      </c>
      <c r="E17" s="47" t="inlineStr">
        <is>
          <t>Mở rộng kiểm phân tầng (M2-12).</t>
        </is>
      </c>
    </row>
    <row r="18" ht="23.25" customHeight="1" s="27">
      <c r="A18" s="48" t="n">
        <v>15</v>
      </c>
      <c r="B18" s="53" t="inlineStr">
        <is>
          <t>Bộ 76 ca + ReplayGateway/RecordingGateway</t>
        </is>
      </c>
      <c r="C18" s="47" t="inlineStr">
        <is>
          <t>tools/bo_usecase.py; llm/offline.py</t>
        </is>
      </c>
      <c r="D18" s="47" t="inlineStr">
        <is>
          <t>Đã có hạ tầng phát lại 0 token, chỉ chưa được dùng trong pytest/CI.</t>
        </is>
      </c>
      <c r="E18" s="47" t="inlineStr">
        <is>
          <t>Dựng eval phát lại + CI (M4-21).</t>
        </is>
      </c>
    </row>
    <row r="19" ht="102" customHeight="1" s="27">
      <c r="A19" s="48" t="n">
        <v>16</v>
      </c>
      <c r="B19" s="53" t="inlineStr">
        <is>
          <t>Tổng hợp điểm mạnh mảng kiểm thử (từ người rà soát mảng 4)</t>
        </is>
      </c>
      <c r="C19" s="47" t="inlineStr">
        <is>
          <t>build/tieu_chi.py::xet_ket_qua; tools/xay_dung.py::sim_run (E4008/E4009/E4023); ket_qua.py::khong_noi_gi; kiem_chung.py::co_viec_chua_kiem; tools/mach_that.py::target_verify; loop.py dòng ~1070 (đổi ngưỡng → STALE)</t>
        </is>
      </c>
      <c r="D19" s="47" t="inlineStr">
        <is>
          <t>Đã có: criteria-first thật cho sim.run (chưa có tiêu chí thì từ chối, chưa có trich_loi người xác nhận thì từ chối); EIDE phán bằng code, thiếu số đo = chua_do_duoc; chặn lệch cặp tiêu chí/nguồn (E4023); khai phần không mô phỏng được đi kèm kết luận; đổi ngưỡng sau khi có kết quả đi qua G-QUAL; bộ dò 'ok nhưng rỗng'; Stop hook đòi verifier đọc từ sổ cái bền qua lần khởi động lại; target.verify đọc ngược Flash so từng byte; test.sensitivity phát hiện test tự định nghĩa lại hàm (khong_nap_duoc); test.run báo tệp sản phẩm nào được dịch cùng.</t>
        </is>
      </c>
      <c r="E19" s="47" t="inlineStr">
        <is>
          <t>Dùng lại tieu_chi.py (Assert/TieuChi/xet_ket_qua) làm lõi chung cho test.criteria, hil.criteria và khuôn {"do":…} của HDL, thay vì viết ba máy chấm. Giữ nguyên ngữ nghĩa ba trạng thái dat/khong_dat/chua_do_duoc ở mọi nơi.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26" min="1" max="1"/>
    <col width="110" customWidth="1" style="26" min="2" max="2"/>
  </cols>
  <sheetData>
    <row r="1" ht="19.5" customHeight="1" s="27">
      <c r="A1" s="28" t="inlineStr">
        <is>
          <t>PHƯƠNG PHÁP RÀ SOÁT VÀ NGUỒN</t>
        </is>
      </c>
    </row>
    <row r="3" ht="23.25" customHeight="1" s="27">
      <c r="A3" s="53" t="inlineStr">
        <is>
          <t>Phạm vi</t>
        </is>
      </c>
      <c r="B3" s="47" t="inlineStr">
        <is>
          <t>Thư mục EIDE_v3: src/eide (lõi Python), tests/ (69 tệp), tools/ (script phiên), docs/md (tài liệu thiết kế), ui/EIDEApp (Swift — chỉ tham khảo giao thức). Chỉ đọc, không sửa tệp nào của dự án.</t>
        </is>
      </c>
    </row>
    <row r="4" ht="23.25" customHeight="1" s="27">
      <c r="A4" s="53" t="inlineStr">
        <is>
          <t>Thang đối chiếu</t>
        </is>
      </c>
      <c r="B4" s="47" t="inlineStr">
        <is>
          <t>Tài liệu 'Các mẫu kiến trúc AI Agent' (10/2026) của anh: 4 mẫu workflow, 9 mẫu single-agent (gồm ReAct), 5 mẫu multi-agent và Human-in-the-loop; nguyên tắc chọn mẫu đơn giản nhất, có trần bước/thời gian/token, có eval trước khi leo thang.</t>
        </is>
      </c>
    </row>
    <row r="5" ht="23.25" customHeight="1" s="27">
      <c r="A5" s="53" t="inlineStr">
        <is>
          <t>Cách làm</t>
        </is>
      </c>
      <c r="B5" s="47" t="inlineStr">
        <is>
          <t>Chia 5 mảng rà soát song song (lõi tác tử; phân tích–thiết kế PM; mạch–ERC–HDL/FPGA; kiểm thử &amp; kiểm chứng; tri thức–RAG–bộ nhớ). Mỗi phát hiện phải dẫn tệp:dòng hoặc hàm đã đọc. Sau đó kiểm chứng lại trực tiếp các phát hiện P0 then chốt.</t>
        </is>
      </c>
    </row>
    <row r="6" ht="45.75" customHeight="1" s="27">
      <c r="A6" s="53" t="inlineStr">
        <is>
          <t>P0 đã kiểm lại bằng tay</t>
        </is>
      </c>
      <c r="B6" s="47" t="inlineStr">
        <is>
          <t>subagent.py:309 gọi thẳng registry.run (không qua hook/policy) · hooks/standard.py:562 'task.run' bất kỳ tắt kiểm chứng · build/hdl.py:497 '"PASS" in tren' dò chuỗi con · store/eide_md.py::render cắt đuôi text[:keep] · loop.py:503 resume lấy bo_nen.tom_tat_hien_tai luôn None ở phiên mới · build/dot_bien.py: chay(p) trả False khi không biên dịch được vẫn tính 'thay' · config.py:198 temperature 0.0 + seed cố định · history.ghi_kho không có tham số deps.</t>
        </is>
      </c>
    </row>
    <row r="7" ht="23.25" customHeight="1" s="27">
      <c r="A7" s="53" t="inlineStr">
        <is>
          <t>Số liệu đo trong mã</t>
        </is>
      </c>
      <c r="B7" s="47" t="inlineStr">
        <is>
          <t>Số công cụ (118, 73 core) và kích thước lược đồ (~77,6 nghìn ký tự ≈ 26 nghìn token) do người rà soát mảng 1 đo bằng build_registry(); các số 54% lời gọi là fs.read/grep/glob, 31/120 công cụ chưa nổ lần nào… lấy từ chú thích có số đo trong chính mã nguồn.</t>
        </is>
      </c>
    </row>
    <row r="8" ht="23.25" customHeight="1" s="27">
      <c r="A8" s="53" t="inlineStr">
        <is>
          <t>Lưu ý</t>
        </is>
      </c>
      <c r="B8" s="47" t="inlineStr">
        <is>
          <t>Số dòng là tại ngày 06/10/2026, có thể lệch sau khi sửa mã. Khuyến nghị temperature cho dòng Gemini 3 cần kiểm lại riêng cho gemini-3.8-flash bằng A/B trên 76 ca (M1-09). Công sức là ước lượng thô cho một người quen mã.</t>
        </is>
      </c>
    </row>
    <row r="9" ht="15" customHeight="1" s="27">
      <c r="A9" s="53" t="inlineStr">
        <is>
          <t>[1]</t>
        </is>
      </c>
      <c r="B9" s="47" t="inlineStr">
        <is>
          <t>Yao et al. (2022). ReAct: Synergizing Reasoning and Acting in Language Models. arXiv:2210.03629.</t>
        </is>
      </c>
    </row>
    <row r="10" ht="15" customHeight="1" s="27">
      <c r="A10" s="53" t="inlineStr">
        <is>
          <t>[2]</t>
        </is>
      </c>
      <c r="B10" s="47" t="inlineStr">
        <is>
          <t>Wang et al. (2023). Plan-and-Solve Prompting. arXiv:2305.04091.</t>
        </is>
      </c>
    </row>
    <row r="11" ht="15" customHeight="1" s="27">
      <c r="A11" s="53" t="inlineStr">
        <is>
          <t>[3]</t>
        </is>
      </c>
      <c r="B11" s="47" t="inlineStr">
        <is>
          <t>Xu et al. (2023). ReWOO. arXiv:2305.18323.</t>
        </is>
      </c>
    </row>
    <row r="12" ht="15" customHeight="1" s="27">
      <c r="A12" s="53" t="inlineStr">
        <is>
          <t>[4]</t>
        </is>
      </c>
      <c r="B12" s="47" t="inlineStr">
        <is>
          <t>Kim et al. (2023). An LLM Compiler for Parallel Function Calling. arXiv:2312.04511.</t>
        </is>
      </c>
    </row>
    <row r="13" ht="15" customHeight="1" s="27">
      <c r="A13" s="53" t="inlineStr">
        <is>
          <t>[5]</t>
        </is>
      </c>
      <c r="B13" s="47" t="inlineStr">
        <is>
          <t>Shinn et al. (2023). Reflexion: Language Agents with Verbal Reinforcement Learning. arXiv:2303.11366.</t>
        </is>
      </c>
    </row>
    <row r="14" ht="15" customHeight="1" s="27">
      <c r="A14" s="53" t="inlineStr">
        <is>
          <t>[6]</t>
        </is>
      </c>
      <c r="B14" s="47" t="inlineStr">
        <is>
          <t>Yao et al. (2023). Tree of Thoughts. arXiv:2305.10601.</t>
        </is>
      </c>
    </row>
    <row r="15" ht="15" customHeight="1" s="27">
      <c r="A15" s="53" t="inlineStr">
        <is>
          <t>[7]</t>
        </is>
      </c>
      <c r="B15" s="47" t="inlineStr">
        <is>
          <t>Zhou et al. (2023). Language Agent Tree Search (LATS). arXiv:2310.04406.</t>
        </is>
      </c>
    </row>
    <row r="16" ht="15" customHeight="1" s="27">
      <c r="A16" s="53" t="inlineStr">
        <is>
          <t>[8]</t>
        </is>
      </c>
      <c r="B16" s="47" t="inlineStr">
        <is>
          <t>Wang et al. (2024). Executable Code Actions Elicit Better LLM Agents (CodeAct). arXiv:2402.01030.</t>
        </is>
      </c>
    </row>
    <row r="17" ht="15" customHeight="1" s="27">
      <c r="A17" s="53" t="inlineStr">
        <is>
          <t>[9]</t>
        </is>
      </c>
      <c r="B17" s="47" t="inlineStr">
        <is>
          <t>Asai et al. (2023). Self-RAG. arXiv:2310.11511.</t>
        </is>
      </c>
    </row>
    <row r="18" ht="15" customHeight="1" s="27">
      <c r="A18" s="53" t="inlineStr">
        <is>
          <t>[10]</t>
        </is>
      </c>
      <c r="B18" s="47" t="inlineStr">
        <is>
          <t>Packer et al. (2023). MemGPT: Towards LLMs as Operating Systems. arXiv:2310.08560.</t>
        </is>
      </c>
    </row>
    <row r="19" ht="15" customHeight="1" s="27">
      <c r="A19" s="53" t="inlineStr">
        <is>
          <t>[11]</t>
        </is>
      </c>
      <c r="B19" s="47" t="inlineStr">
        <is>
          <t>Du et al. (2023). Improving Factuality and Reasoning through Multiagent Debate. arXiv:2305.14325.</t>
        </is>
      </c>
    </row>
    <row r="20" ht="15" customHeight="1" s="27">
      <c r="A20" s="53" t="inlineStr">
        <is>
          <t>[12]</t>
        </is>
      </c>
      <c r="B20" s="47" t="inlineStr">
        <is>
          <t>Wu et al. (2023). AutoGen. arXiv:2308.08155.</t>
        </is>
      </c>
    </row>
    <row r="21" ht="15" customHeight="1" s="27">
      <c r="A21" s="53" t="inlineStr">
        <is>
          <t>[13]</t>
        </is>
      </c>
      <c r="B21" s="47" t="inlineStr">
        <is>
          <t>Anthropic (2024). Building effective agents. anthropic.com/engineering/building-effective-agents.</t>
        </is>
      </c>
    </row>
    <row r="22" ht="15" customHeight="1" s="27">
      <c r="A22" s="53" t="inlineStr">
        <is>
          <t>[14]</t>
        </is>
      </c>
      <c r="B22" s="47" t="inlineStr">
        <is>
          <t>Anthropic (2025). How we built our multi-agent research system. anthropic.com/engineering/multi-agent-research-system.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2026-10-06T07:40:55Z</dcterms:created>
  <dcterms:modified xmlns:dcterms="http://purl.org/dc/terms/" xmlns:xsi="http://www.w3.org/2001/XMLSchema-instance" xsi:type="dcterms:W3CDTF">2026-10-09T04:26:25Z</dcterms:modified>
  <cp:revision>2</cp:revision>
</cp:coreProperties>
</file>